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ra\Downloads\drive-download-20260701T042827Z-3-001\"/>
    </mc:Choice>
  </mc:AlternateContent>
  <xr:revisionPtr revIDLastSave="0" documentId="8_{6E8EC613-BD92-4809-A0F8-0681294EC6BA}" xr6:coauthVersionLast="47" xr6:coauthVersionMax="47" xr10:uidLastSave="{00000000-0000-0000-0000-000000000000}"/>
  <bookViews>
    <workbookView xWindow="5388" yWindow="708" windowWidth="16464" windowHeight="12288" firstSheet="49" activeTab="50" xr2:uid="{00000000-000D-0000-FFFF-FFFF00000000}"/>
  </bookViews>
  <sheets>
    <sheet name="SFigure7" sheetId="2" r:id="rId1"/>
    <sheet name="STable7" sheetId="3" r:id="rId2"/>
    <sheet name="SFigure25-27" sheetId="4" r:id="rId3"/>
    <sheet name="SFigure28-32" sheetId="5" r:id="rId4"/>
    <sheet name="SFigure33-38" sheetId="6" r:id="rId5"/>
    <sheet name="SFigure39-45" sheetId="7" r:id="rId6"/>
    <sheet name="SFigure7-Data-1" sheetId="8" r:id="rId7"/>
    <sheet name="SFigure7-Data-2" sheetId="9" r:id="rId8"/>
    <sheet name="SFigure7-Data-3" sheetId="10" r:id="rId9"/>
    <sheet name="SFigure7-Data-4" sheetId="11" r:id="rId10"/>
    <sheet name="SFigure7-Data-5" sheetId="12" r:id="rId11"/>
    <sheet name="SFigure7-Data-6" sheetId="13" r:id="rId12"/>
    <sheet name="SFigure7-Data-7" sheetId="14" r:id="rId13"/>
    <sheet name="SFigure7-Data-8" sheetId="15" r:id="rId14"/>
    <sheet name="STable8" sheetId="16" r:id="rId15"/>
    <sheet name="SFigure15" sheetId="17" r:id="rId16"/>
    <sheet name="SFigure20" sheetId="18" r:id="rId17"/>
    <sheet name="SFigure16-17-Data-1" sheetId="19" r:id="rId18"/>
    <sheet name="SFigure16-17-Data-2" sheetId="20" r:id="rId19"/>
    <sheet name="SFigure19-Data-1" sheetId="21" r:id="rId20"/>
    <sheet name="SFigure19-Data-2" sheetId="22" r:id="rId21"/>
    <sheet name="SFigure18-Data-1" sheetId="23" r:id="rId22"/>
    <sheet name="SFigure18-Data-2" sheetId="24" r:id="rId23"/>
    <sheet name="SFIgure21-22 STable9" sheetId="25" r:id="rId24"/>
    <sheet name="SFigure26-Data-1" sheetId="26" r:id="rId25"/>
    <sheet name="SFigure26-Data-2" sheetId="27" r:id="rId26"/>
    <sheet name="SFIgure26-Data-3-Specific Table" sheetId="28" r:id="rId27"/>
    <sheet name="SFigure27-Data-1" sheetId="29" r:id="rId28"/>
    <sheet name="SFigure27-Data-2" sheetId="30" r:id="rId29"/>
    <sheet name="SFigure26-Data-4-T1-repeat" sheetId="31" r:id="rId30"/>
    <sheet name="SFigure26-Data-5-T1-repeat" sheetId="32" r:id="rId31"/>
    <sheet name="SFigure26-Data-6-T1-repeat-BS" sheetId="33" r:id="rId32"/>
    <sheet name="STable10 SFigure10" sheetId="34" r:id="rId33"/>
    <sheet name="SFigure13" sheetId="35" r:id="rId34"/>
    <sheet name="Table1-metal" sheetId="36" r:id="rId35"/>
    <sheet name="SFigure11" sheetId="37" r:id="rId36"/>
    <sheet name="SFigure23" sheetId="38" r:id="rId37"/>
    <sheet name="SFigure24" sheetId="39" r:id="rId38"/>
    <sheet name="Table1-main" sheetId="40" r:id="rId39"/>
    <sheet name="SFigure6-Data-1" sheetId="41" r:id="rId40"/>
    <sheet name="SFigure6-Data-2" sheetId="42" r:id="rId41"/>
    <sheet name="SFigure6-Data-3" sheetId="43" r:id="rId42"/>
    <sheet name="SFigure6-Data-4" sheetId="44" r:id="rId43"/>
    <sheet name="SFigure6-Data-5" sheetId="45" r:id="rId44"/>
    <sheet name="Figure1-Data-1" sheetId="46" r:id="rId45"/>
    <sheet name="Figure1-Data-2" sheetId="47" r:id="rId46"/>
    <sheet name="Figure1-Data-3" sheetId="48" r:id="rId47"/>
    <sheet name="SFigure48" sheetId="49" r:id="rId48"/>
    <sheet name="SFigure49-50" sheetId="50" r:id="rId49"/>
    <sheet name="SFigure51-52" sheetId="51" r:id="rId50"/>
    <sheet name="SFigure46-47-HF" sheetId="52" r:id="rId51"/>
    <sheet name="SFigure46-47-B3LYP" sheetId="53" r:id="rId52"/>
    <sheet name="SFigure46-47-LDA" sheetId="54" r:id="rId53"/>
    <sheet name="SFigure46-47-revPBE" sheetId="55" r:id="rId54"/>
    <sheet name="SFigure46-47-SCAN" sheetId="56" r:id="rId55"/>
    <sheet name="SFigure46-47-SCAN0" sheetId="57" r:id="rId56"/>
    <sheet name="SFigure46-47-all" sheetId="58" r:id="rId57"/>
    <sheet name="SFigure46-47-Restricted" sheetId="59" r:id="rId58"/>
    <sheet name="SFigure46-47-Unrestricted" sheetId="60" r:id="rId5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58" l="1"/>
  <c r="D90" i="58"/>
  <c r="C90" i="58"/>
  <c r="B90" i="58"/>
  <c r="E89" i="58"/>
  <c r="D89" i="58"/>
  <c r="C89" i="58"/>
  <c r="B89" i="58"/>
  <c r="E88" i="58"/>
  <c r="D88" i="58"/>
  <c r="C88" i="58"/>
  <c r="B88" i="58"/>
  <c r="E87" i="58"/>
  <c r="D87" i="58"/>
  <c r="C87" i="58"/>
  <c r="B87" i="58"/>
  <c r="E86" i="58"/>
  <c r="D86" i="58"/>
  <c r="C86" i="58"/>
  <c r="B86" i="58"/>
  <c r="E79" i="58"/>
  <c r="D79" i="58"/>
  <c r="C79" i="58"/>
  <c r="B79" i="58"/>
  <c r="E78" i="58"/>
  <c r="D78" i="58"/>
  <c r="C78" i="58"/>
  <c r="B78" i="58"/>
  <c r="E77" i="58"/>
  <c r="D77" i="58"/>
  <c r="C77" i="58"/>
  <c r="B77" i="58"/>
  <c r="E76" i="58"/>
  <c r="D76" i="58"/>
  <c r="C76" i="58"/>
  <c r="B76" i="58"/>
  <c r="E75" i="58"/>
  <c r="D75" i="58"/>
  <c r="C75" i="58"/>
  <c r="B75" i="58"/>
  <c r="E68" i="58"/>
  <c r="D68" i="58"/>
  <c r="C68" i="58"/>
  <c r="B68" i="58"/>
  <c r="E67" i="58"/>
  <c r="D67" i="58"/>
  <c r="C67" i="58"/>
  <c r="B67" i="58"/>
  <c r="E66" i="58"/>
  <c r="D66" i="58"/>
  <c r="C66" i="58"/>
  <c r="B66" i="58"/>
  <c r="E65" i="58"/>
  <c r="D65" i="58"/>
  <c r="C65" i="58"/>
  <c r="B65" i="58"/>
  <c r="E64" i="58"/>
  <c r="D64" i="58"/>
  <c r="C64" i="58"/>
  <c r="B64" i="58"/>
  <c r="E57" i="58"/>
  <c r="D57" i="58"/>
  <c r="C57" i="58"/>
  <c r="B57" i="58"/>
  <c r="E56" i="58"/>
  <c r="D56" i="58"/>
  <c r="C56" i="58"/>
  <c r="B56" i="58"/>
  <c r="E55" i="58"/>
  <c r="D55" i="58"/>
  <c r="C55" i="58"/>
  <c r="B55" i="58"/>
  <c r="E54" i="58"/>
  <c r="D54" i="58"/>
  <c r="C54" i="58"/>
  <c r="B54" i="58"/>
  <c r="E53" i="58"/>
  <c r="D53" i="58"/>
  <c r="C53" i="58"/>
  <c r="B53" i="58"/>
  <c r="E46" i="58"/>
  <c r="D46" i="58"/>
  <c r="C46" i="58"/>
  <c r="B46" i="58"/>
  <c r="E45" i="58"/>
  <c r="D45" i="58"/>
  <c r="C45" i="58"/>
  <c r="B45" i="58"/>
  <c r="E44" i="58"/>
  <c r="D44" i="58"/>
  <c r="C44" i="58"/>
  <c r="B44" i="58"/>
  <c r="E43" i="58"/>
  <c r="D43" i="58"/>
  <c r="C43" i="58"/>
  <c r="B43" i="58"/>
  <c r="E42" i="58"/>
  <c r="D42" i="58"/>
  <c r="C42" i="58"/>
  <c r="B42" i="58"/>
  <c r="E35" i="58"/>
  <c r="D35" i="58"/>
  <c r="C35" i="58"/>
  <c r="B35" i="58"/>
  <c r="E34" i="58"/>
  <c r="D34" i="58"/>
  <c r="C34" i="58"/>
  <c r="B34" i="58"/>
  <c r="E33" i="58"/>
  <c r="D33" i="58"/>
  <c r="C33" i="58"/>
  <c r="B33" i="58"/>
  <c r="E32" i="58"/>
  <c r="D32" i="58"/>
  <c r="C32" i="58"/>
  <c r="B32" i="58"/>
  <c r="E31" i="58"/>
  <c r="D31" i="58"/>
  <c r="C31" i="58"/>
  <c r="B31" i="58"/>
  <c r="E24" i="58"/>
  <c r="D24" i="58"/>
  <c r="C24" i="58"/>
  <c r="B24" i="58"/>
  <c r="E23" i="58"/>
  <c r="D23" i="58"/>
  <c r="C23" i="58"/>
  <c r="B23" i="58"/>
  <c r="E22" i="58"/>
  <c r="D22" i="58"/>
  <c r="C22" i="58"/>
  <c r="B22" i="58"/>
  <c r="E21" i="58"/>
  <c r="D21" i="58"/>
  <c r="C21" i="58"/>
  <c r="B21" i="58"/>
  <c r="E20" i="58"/>
  <c r="D20" i="58"/>
  <c r="C20" i="58"/>
  <c r="B20" i="58"/>
  <c r="E13" i="58"/>
  <c r="D13" i="58"/>
  <c r="C13" i="58"/>
  <c r="B13" i="58"/>
  <c r="E12" i="58"/>
  <c r="D12" i="58"/>
  <c r="C12" i="58"/>
  <c r="B12" i="58"/>
  <c r="E11" i="58"/>
  <c r="D11" i="58"/>
  <c r="C11" i="58"/>
  <c r="B11" i="58"/>
  <c r="E10" i="58"/>
  <c r="D10" i="58"/>
  <c r="C10" i="58"/>
  <c r="B10" i="58"/>
  <c r="E9" i="58"/>
  <c r="D9" i="58"/>
  <c r="C9" i="58"/>
  <c r="B9" i="58"/>
  <c r="E22" i="57"/>
  <c r="D22" i="57"/>
  <c r="C22" i="57"/>
  <c r="B22" i="57"/>
  <c r="E21" i="57"/>
  <c r="D21" i="57"/>
  <c r="C21" i="57"/>
  <c r="B21" i="57"/>
  <c r="E20" i="57"/>
  <c r="D20" i="57"/>
  <c r="C20" i="57"/>
  <c r="B20" i="57"/>
  <c r="E19" i="57"/>
  <c r="D19" i="57"/>
  <c r="C19" i="57"/>
  <c r="B19" i="57"/>
  <c r="E18" i="57"/>
  <c r="D18" i="57"/>
  <c r="C18" i="57"/>
  <c r="B18" i="57"/>
  <c r="E17" i="57"/>
  <c r="D17" i="57"/>
  <c r="C17" i="57"/>
  <c r="B17" i="57"/>
  <c r="E16" i="57"/>
  <c r="D16" i="57"/>
  <c r="C16" i="57"/>
  <c r="B16" i="57"/>
  <c r="E15" i="57"/>
  <c r="D15" i="57"/>
  <c r="C15" i="57"/>
  <c r="B15" i="57"/>
  <c r="E22" i="56"/>
  <c r="D22" i="56"/>
  <c r="C22" i="56"/>
  <c r="B22" i="56"/>
  <c r="E21" i="56"/>
  <c r="D21" i="56"/>
  <c r="C21" i="56"/>
  <c r="B21" i="56"/>
  <c r="E20" i="56"/>
  <c r="D20" i="56"/>
  <c r="C20" i="56"/>
  <c r="B20" i="56"/>
  <c r="E19" i="56"/>
  <c r="D19" i="56"/>
  <c r="C19" i="56"/>
  <c r="B19" i="56"/>
  <c r="E18" i="56"/>
  <c r="D18" i="56"/>
  <c r="C18" i="56"/>
  <c r="B18" i="56"/>
  <c r="E17" i="56"/>
  <c r="D17" i="56"/>
  <c r="C17" i="56"/>
  <c r="B17" i="56"/>
  <c r="E16" i="56"/>
  <c r="D16" i="56"/>
  <c r="C16" i="56"/>
  <c r="B16" i="56"/>
  <c r="E15" i="56"/>
  <c r="D15" i="56"/>
  <c r="C15" i="56"/>
  <c r="B15" i="56"/>
  <c r="E22" i="55"/>
  <c r="D22" i="55"/>
  <c r="C22" i="55"/>
  <c r="B22" i="55"/>
  <c r="E21" i="55"/>
  <c r="D21" i="55"/>
  <c r="C21" i="55"/>
  <c r="B21" i="55"/>
  <c r="E20" i="55"/>
  <c r="D20" i="55"/>
  <c r="C20" i="55"/>
  <c r="B20" i="55"/>
  <c r="E19" i="55"/>
  <c r="D19" i="55"/>
  <c r="C19" i="55"/>
  <c r="B19" i="55"/>
  <c r="E18" i="55"/>
  <c r="D18" i="55"/>
  <c r="C18" i="55"/>
  <c r="B18" i="55"/>
  <c r="E17" i="55"/>
  <c r="D17" i="55"/>
  <c r="C17" i="55"/>
  <c r="B17" i="55"/>
  <c r="E16" i="55"/>
  <c r="D16" i="55"/>
  <c r="C16" i="55"/>
  <c r="B16" i="55"/>
  <c r="E15" i="55"/>
  <c r="D15" i="55"/>
  <c r="C15" i="55"/>
  <c r="B15" i="55"/>
  <c r="E22" i="54"/>
  <c r="D22" i="54"/>
  <c r="C22" i="54"/>
  <c r="B22" i="54"/>
  <c r="E21" i="54"/>
  <c r="D21" i="54"/>
  <c r="C21" i="54"/>
  <c r="B21" i="54"/>
  <c r="E20" i="54"/>
  <c r="D20" i="54"/>
  <c r="C20" i="54"/>
  <c r="B20" i="54"/>
  <c r="E19" i="54"/>
  <c r="D19" i="54"/>
  <c r="C19" i="54"/>
  <c r="B19" i="54"/>
  <c r="E18" i="54"/>
  <c r="D18" i="54"/>
  <c r="C18" i="54"/>
  <c r="B18" i="54"/>
  <c r="E17" i="54"/>
  <c r="D17" i="54"/>
  <c r="C17" i="54"/>
  <c r="B17" i="54"/>
  <c r="E16" i="54"/>
  <c r="D16" i="54"/>
  <c r="C16" i="54"/>
  <c r="B16" i="54"/>
  <c r="E15" i="54"/>
  <c r="D15" i="54"/>
  <c r="C15" i="54"/>
  <c r="B15" i="54"/>
  <c r="E22" i="53"/>
  <c r="D22" i="53"/>
  <c r="C22" i="53"/>
  <c r="B22" i="53"/>
  <c r="E21" i="53"/>
  <c r="D21" i="53"/>
  <c r="C21" i="53"/>
  <c r="B21" i="53"/>
  <c r="E20" i="53"/>
  <c r="D20" i="53"/>
  <c r="C20" i="53"/>
  <c r="B20" i="53"/>
  <c r="E19" i="53"/>
  <c r="D19" i="53"/>
  <c r="C19" i="53"/>
  <c r="B19" i="53"/>
  <c r="E18" i="53"/>
  <c r="D18" i="53"/>
  <c r="C18" i="53"/>
  <c r="B18" i="53"/>
  <c r="E17" i="53"/>
  <c r="D17" i="53"/>
  <c r="C17" i="53"/>
  <c r="B17" i="53"/>
  <c r="E16" i="53"/>
  <c r="D16" i="53"/>
  <c r="C16" i="53"/>
  <c r="B16" i="53"/>
  <c r="E15" i="53"/>
  <c r="D15" i="53"/>
  <c r="C15" i="53"/>
  <c r="B15" i="53"/>
  <c r="E22" i="52"/>
  <c r="D22" i="52"/>
  <c r="C22" i="52"/>
  <c r="B22" i="52"/>
  <c r="E21" i="52"/>
  <c r="D21" i="52"/>
  <c r="C21" i="52"/>
  <c r="B21" i="52"/>
  <c r="E20" i="52"/>
  <c r="D20" i="52"/>
  <c r="C20" i="52"/>
  <c r="B20" i="52"/>
  <c r="E19" i="52"/>
  <c r="D19" i="52"/>
  <c r="C19" i="52"/>
  <c r="B19" i="52"/>
  <c r="E18" i="52"/>
  <c r="D18" i="52"/>
  <c r="C18" i="52"/>
  <c r="B18" i="52"/>
  <c r="E17" i="52"/>
  <c r="D17" i="52"/>
  <c r="C17" i="52"/>
  <c r="B17" i="52"/>
  <c r="E16" i="52"/>
  <c r="D16" i="52"/>
  <c r="C16" i="52"/>
  <c r="B16" i="52"/>
  <c r="E15" i="52"/>
  <c r="D15" i="52"/>
  <c r="C15" i="52"/>
  <c r="B15" i="52"/>
  <c r="Y58" i="51"/>
  <c r="Z51" i="51"/>
  <c r="Z62" i="51" s="1"/>
  <c r="Y51" i="51"/>
  <c r="AD50" i="51"/>
  <c r="AC50" i="51"/>
  <c r="V50" i="51"/>
  <c r="Z49" i="51"/>
  <c r="Z60" i="51" s="1"/>
  <c r="Y49" i="51"/>
  <c r="Y60" i="51" s="1"/>
  <c r="Z47" i="51"/>
  <c r="Z58" i="51" s="1"/>
  <c r="Y47" i="51"/>
  <c r="AD46" i="51"/>
  <c r="AC46" i="51"/>
  <c r="V46" i="51"/>
  <c r="Z45" i="51"/>
  <c r="Z56" i="51" s="1"/>
  <c r="Y45" i="51"/>
  <c r="Y56" i="51" s="1"/>
  <c r="Z43" i="51"/>
  <c r="Y43" i="51"/>
  <c r="Y62" i="51" s="1"/>
  <c r="Y38" i="51"/>
  <c r="X38" i="51"/>
  <c r="Q38" i="51"/>
  <c r="Z37" i="51"/>
  <c r="S37" i="51"/>
  <c r="R37" i="51"/>
  <c r="U36" i="51"/>
  <c r="T36" i="51"/>
  <c r="W35" i="51"/>
  <c r="V35" i="51"/>
  <c r="Y34" i="51"/>
  <c r="X34" i="51"/>
  <c r="Q34" i="51"/>
  <c r="Z33" i="51"/>
  <c r="S33" i="51"/>
  <c r="R33" i="51"/>
  <c r="U32" i="51"/>
  <c r="T32" i="51"/>
  <c r="W31" i="51"/>
  <c r="V31" i="51"/>
  <c r="Y30" i="51"/>
  <c r="X30" i="51"/>
  <c r="Q30" i="51"/>
  <c r="Z13" i="51"/>
  <c r="AE51" i="51" s="1"/>
  <c r="Y13" i="51"/>
  <c r="AD51" i="51" s="1"/>
  <c r="X13" i="51"/>
  <c r="AC51" i="51" s="1"/>
  <c r="W13" i="51"/>
  <c r="AB51" i="51" s="1"/>
  <c r="V13" i="51"/>
  <c r="V38" i="51" s="1"/>
  <c r="U13" i="51"/>
  <c r="U38" i="51" s="1"/>
  <c r="T13" i="51"/>
  <c r="T38" i="51" s="1"/>
  <c r="S13" i="51"/>
  <c r="S38" i="51" s="1"/>
  <c r="R13" i="51"/>
  <c r="W51" i="51" s="1"/>
  <c r="Q13" i="51"/>
  <c r="V51" i="51" s="1"/>
  <c r="Z12" i="51"/>
  <c r="AE50" i="51" s="1"/>
  <c r="Y12" i="51"/>
  <c r="Y37" i="51" s="1"/>
  <c r="X12" i="51"/>
  <c r="X37" i="51" s="1"/>
  <c r="W12" i="51"/>
  <c r="W37" i="51" s="1"/>
  <c r="V12" i="51"/>
  <c r="AA50" i="51" s="1"/>
  <c r="U12" i="51"/>
  <c r="Z50" i="51" s="1"/>
  <c r="Z61" i="51" s="1"/>
  <c r="T12" i="51"/>
  <c r="Y50" i="51" s="1"/>
  <c r="Y61" i="51" s="1"/>
  <c r="S12" i="51"/>
  <c r="X50" i="51" s="1"/>
  <c r="R12" i="51"/>
  <c r="W50" i="51" s="1"/>
  <c r="Q12" i="51"/>
  <c r="Q37" i="51" s="1"/>
  <c r="Z11" i="51"/>
  <c r="AE49" i="51" s="1"/>
  <c r="Y11" i="51"/>
  <c r="AD49" i="51" s="1"/>
  <c r="X11" i="51"/>
  <c r="AC49" i="51" s="1"/>
  <c r="W11" i="51"/>
  <c r="AB49" i="51" s="1"/>
  <c r="AB60" i="51" s="1"/>
  <c r="V11" i="51"/>
  <c r="AA49" i="51" s="1"/>
  <c r="U11" i="51"/>
  <c r="T11" i="51"/>
  <c r="S11" i="51"/>
  <c r="X49" i="51" s="1"/>
  <c r="R11" i="51"/>
  <c r="W49" i="51" s="1"/>
  <c r="Q11" i="51"/>
  <c r="V49" i="51" s="1"/>
  <c r="Z10" i="51"/>
  <c r="Z35" i="51" s="1"/>
  <c r="Y10" i="51"/>
  <c r="AD48" i="51" s="1"/>
  <c r="AD59" i="51" s="1"/>
  <c r="X10" i="51"/>
  <c r="X35" i="51" s="1"/>
  <c r="W10" i="51"/>
  <c r="AB48" i="51" s="1"/>
  <c r="AB59" i="51" s="1"/>
  <c r="V10" i="51"/>
  <c r="AA48" i="51" s="1"/>
  <c r="U10" i="51"/>
  <c r="Z48" i="51" s="1"/>
  <c r="Z59" i="51" s="1"/>
  <c r="T10" i="51"/>
  <c r="T35" i="51" s="1"/>
  <c r="S10" i="51"/>
  <c r="S35" i="51" s="1"/>
  <c r="R10" i="51"/>
  <c r="R35" i="51" s="1"/>
  <c r="Q10" i="51"/>
  <c r="Q35" i="51" s="1"/>
  <c r="Z9" i="51"/>
  <c r="AE47" i="51" s="1"/>
  <c r="Y9" i="51"/>
  <c r="AD47" i="51" s="1"/>
  <c r="X9" i="51"/>
  <c r="AC47" i="51" s="1"/>
  <c r="W9" i="51"/>
  <c r="AB47" i="51" s="1"/>
  <c r="V9" i="51"/>
  <c r="V34" i="51" s="1"/>
  <c r="U9" i="51"/>
  <c r="U34" i="51" s="1"/>
  <c r="T9" i="51"/>
  <c r="T34" i="51" s="1"/>
  <c r="S9" i="51"/>
  <c r="S34" i="51" s="1"/>
  <c r="R9" i="51"/>
  <c r="W47" i="51" s="1"/>
  <c r="Q9" i="51"/>
  <c r="V47" i="51" s="1"/>
  <c r="Z8" i="51"/>
  <c r="AE46" i="51" s="1"/>
  <c r="Y8" i="51"/>
  <c r="Y33" i="51" s="1"/>
  <c r="X8" i="51"/>
  <c r="X33" i="51" s="1"/>
  <c r="W8" i="51"/>
  <c r="W33" i="51" s="1"/>
  <c r="V8" i="51"/>
  <c r="AA46" i="51" s="1"/>
  <c r="U8" i="51"/>
  <c r="Z46" i="51" s="1"/>
  <c r="Z57" i="51" s="1"/>
  <c r="T8" i="51"/>
  <c r="Y46" i="51" s="1"/>
  <c r="Y57" i="51" s="1"/>
  <c r="S8" i="51"/>
  <c r="X46" i="51" s="1"/>
  <c r="R8" i="51"/>
  <c r="W46" i="51" s="1"/>
  <c r="Q8" i="51"/>
  <c r="Q33" i="51" s="1"/>
  <c r="Z7" i="51"/>
  <c r="AE45" i="51" s="1"/>
  <c r="Y7" i="51"/>
  <c r="AD45" i="51" s="1"/>
  <c r="X7" i="51"/>
  <c r="AC45" i="51" s="1"/>
  <c r="W7" i="51"/>
  <c r="AB45" i="51" s="1"/>
  <c r="AB56" i="51" s="1"/>
  <c r="V7" i="51"/>
  <c r="AA45" i="51" s="1"/>
  <c r="U7" i="51"/>
  <c r="T7" i="51"/>
  <c r="S7" i="51"/>
  <c r="X45" i="51" s="1"/>
  <c r="R7" i="51"/>
  <c r="W45" i="51" s="1"/>
  <c r="Q7" i="51"/>
  <c r="V45" i="51" s="1"/>
  <c r="Z6" i="51"/>
  <c r="Z31" i="51" s="1"/>
  <c r="Y6" i="51"/>
  <c r="AD44" i="51" s="1"/>
  <c r="AD55" i="51" s="1"/>
  <c r="X6" i="51"/>
  <c r="X31" i="51" s="1"/>
  <c r="W6" i="51"/>
  <c r="AB44" i="51" s="1"/>
  <c r="AB55" i="51" s="1"/>
  <c r="V6" i="51"/>
  <c r="AA44" i="51" s="1"/>
  <c r="U6" i="51"/>
  <c r="Z44" i="51" s="1"/>
  <c r="Z55" i="51" s="1"/>
  <c r="T6" i="51"/>
  <c r="T31" i="51" s="1"/>
  <c r="S6" i="51"/>
  <c r="S31" i="51" s="1"/>
  <c r="R6" i="51"/>
  <c r="R31" i="51" s="1"/>
  <c r="Q6" i="51"/>
  <c r="V44" i="51" s="1"/>
  <c r="Z5" i="51"/>
  <c r="AE43" i="51" s="1"/>
  <c r="Y5" i="51"/>
  <c r="AD43" i="51" s="1"/>
  <c r="X5" i="51"/>
  <c r="AC43" i="51" s="1"/>
  <c r="W5" i="51"/>
  <c r="AB43" i="51" s="1"/>
  <c r="V5" i="51"/>
  <c r="V30" i="51" s="1"/>
  <c r="U5" i="51"/>
  <c r="U30" i="51" s="1"/>
  <c r="T5" i="51"/>
  <c r="T30" i="51" s="1"/>
  <c r="S5" i="51"/>
  <c r="S30" i="51" s="1"/>
  <c r="R5" i="51"/>
  <c r="W43" i="51" s="1"/>
  <c r="Q5" i="51"/>
  <c r="V43" i="51" s="1"/>
  <c r="AA51" i="50"/>
  <c r="Z51" i="50"/>
  <c r="AC50" i="50"/>
  <c r="AB50" i="50"/>
  <c r="AF49" i="50"/>
  <c r="Y49" i="50"/>
  <c r="X49" i="50"/>
  <c r="AC48" i="50"/>
  <c r="AB48" i="50"/>
  <c r="AC46" i="50"/>
  <c r="AC57" i="50" s="1"/>
  <c r="AB46" i="50"/>
  <c r="AF45" i="50"/>
  <c r="Y45" i="50"/>
  <c r="X45" i="50"/>
  <c r="AC44" i="50"/>
  <c r="AB44" i="50"/>
  <c r="Z36" i="50"/>
  <c r="Y36" i="50"/>
  <c r="R36" i="50"/>
  <c r="AA35" i="50"/>
  <c r="T35" i="50"/>
  <c r="S35" i="50"/>
  <c r="V34" i="50"/>
  <c r="U34" i="50"/>
  <c r="X33" i="50"/>
  <c r="W33" i="50"/>
  <c r="Z32" i="50"/>
  <c r="Y32" i="50"/>
  <c r="R32" i="50"/>
  <c r="AA31" i="50"/>
  <c r="T31" i="50"/>
  <c r="S31" i="50"/>
  <c r="V30" i="50"/>
  <c r="U30" i="50"/>
  <c r="X29" i="50"/>
  <c r="W29" i="50"/>
  <c r="Z28" i="50"/>
  <c r="Y28" i="50"/>
  <c r="R28" i="50"/>
  <c r="AA11" i="50"/>
  <c r="Z11" i="50"/>
  <c r="AE51" i="50" s="1"/>
  <c r="Y11" i="50"/>
  <c r="AD51" i="50" s="1"/>
  <c r="X11" i="50"/>
  <c r="AC51" i="50" s="1"/>
  <c r="W11" i="50"/>
  <c r="W36" i="50" s="1"/>
  <c r="V11" i="50"/>
  <c r="V36" i="50" s="1"/>
  <c r="U11" i="50"/>
  <c r="U36" i="50" s="1"/>
  <c r="T11" i="50"/>
  <c r="T36" i="50" s="1"/>
  <c r="S11" i="50"/>
  <c r="R11" i="50"/>
  <c r="W51" i="50" s="1"/>
  <c r="AA10" i="50"/>
  <c r="AF50" i="50" s="1"/>
  <c r="Z10" i="50"/>
  <c r="AE50" i="50" s="1"/>
  <c r="Y10" i="50"/>
  <c r="Y35" i="50" s="1"/>
  <c r="X10" i="50"/>
  <c r="X35" i="50" s="1"/>
  <c r="W10" i="50"/>
  <c r="W35" i="50" s="1"/>
  <c r="V10" i="50"/>
  <c r="V35" i="50" s="1"/>
  <c r="U10" i="50"/>
  <c r="T10" i="50"/>
  <c r="Y50" i="50" s="1"/>
  <c r="S10" i="50"/>
  <c r="X50" i="50" s="1"/>
  <c r="R10" i="50"/>
  <c r="W50" i="50" s="1"/>
  <c r="AA9" i="50"/>
  <c r="AA34" i="50" s="1"/>
  <c r="Z9" i="50"/>
  <c r="Z34" i="50" s="1"/>
  <c r="Y9" i="50"/>
  <c r="AD49" i="50" s="1"/>
  <c r="X9" i="50"/>
  <c r="AC49" i="50" s="1"/>
  <c r="W9" i="50"/>
  <c r="V9" i="50"/>
  <c r="AA49" i="50" s="1"/>
  <c r="U9" i="50"/>
  <c r="Z49" i="50" s="1"/>
  <c r="T9" i="50"/>
  <c r="T34" i="50" s="1"/>
  <c r="S9" i="50"/>
  <c r="S34" i="50" s="1"/>
  <c r="R9" i="50"/>
  <c r="R34" i="50" s="1"/>
  <c r="AA8" i="50"/>
  <c r="AF48" i="50" s="1"/>
  <c r="Z8" i="50"/>
  <c r="AE48" i="50" s="1"/>
  <c r="Y8" i="50"/>
  <c r="X8" i="50"/>
  <c r="W8" i="50"/>
  <c r="V8" i="50"/>
  <c r="AA48" i="50" s="1"/>
  <c r="U8" i="50"/>
  <c r="Z48" i="50" s="1"/>
  <c r="T8" i="50"/>
  <c r="Y48" i="50" s="1"/>
  <c r="S8" i="50"/>
  <c r="X48" i="50" s="1"/>
  <c r="R8" i="50"/>
  <c r="W48" i="50" s="1"/>
  <c r="AA7" i="50"/>
  <c r="AA32" i="50" s="1"/>
  <c r="Z7" i="50"/>
  <c r="AE47" i="50" s="1"/>
  <c r="Y7" i="50"/>
  <c r="AD47" i="50" s="1"/>
  <c r="X7" i="50"/>
  <c r="AC47" i="50" s="1"/>
  <c r="W7" i="50"/>
  <c r="W32" i="50" s="1"/>
  <c r="V7" i="50"/>
  <c r="V32" i="50" s="1"/>
  <c r="U7" i="50"/>
  <c r="U32" i="50" s="1"/>
  <c r="T7" i="50"/>
  <c r="Y47" i="50" s="1"/>
  <c r="S7" i="50"/>
  <c r="S32" i="50" s="1"/>
  <c r="R7" i="50"/>
  <c r="W47" i="50" s="1"/>
  <c r="AA6" i="50"/>
  <c r="AF46" i="50" s="1"/>
  <c r="Z6" i="50"/>
  <c r="AE46" i="50" s="1"/>
  <c r="Y6" i="50"/>
  <c r="Y31" i="50" s="1"/>
  <c r="X6" i="50"/>
  <c r="X31" i="50" s="1"/>
  <c r="W6" i="50"/>
  <c r="W31" i="50" s="1"/>
  <c r="V6" i="50"/>
  <c r="V31" i="50" s="1"/>
  <c r="U6" i="50"/>
  <c r="T6" i="50"/>
  <c r="Y46" i="50" s="1"/>
  <c r="S6" i="50"/>
  <c r="X46" i="50" s="1"/>
  <c r="R6" i="50"/>
  <c r="W46" i="50" s="1"/>
  <c r="AA5" i="50"/>
  <c r="AA30" i="50" s="1"/>
  <c r="Z5" i="50"/>
  <c r="Z30" i="50" s="1"/>
  <c r="Y5" i="50"/>
  <c r="AD45" i="50" s="1"/>
  <c r="X5" i="50"/>
  <c r="AC45" i="50" s="1"/>
  <c r="W5" i="50"/>
  <c r="V5" i="50"/>
  <c r="AA45" i="50" s="1"/>
  <c r="U5" i="50"/>
  <c r="Z45" i="50" s="1"/>
  <c r="T5" i="50"/>
  <c r="T30" i="50" s="1"/>
  <c r="S5" i="50"/>
  <c r="S30" i="50" s="1"/>
  <c r="R5" i="50"/>
  <c r="R30" i="50" s="1"/>
  <c r="AA4" i="50"/>
  <c r="AF44" i="50" s="1"/>
  <c r="Z4" i="50"/>
  <c r="AE44" i="50" s="1"/>
  <c r="Y4" i="50"/>
  <c r="X4" i="50"/>
  <c r="W4" i="50"/>
  <c r="V4" i="50"/>
  <c r="AA44" i="50" s="1"/>
  <c r="U4" i="50"/>
  <c r="Z44" i="50" s="1"/>
  <c r="T4" i="50"/>
  <c r="Y44" i="50" s="1"/>
  <c r="S4" i="50"/>
  <c r="X44" i="50" s="1"/>
  <c r="R4" i="50"/>
  <c r="W44" i="50" s="1"/>
  <c r="AA3" i="50"/>
  <c r="AA28" i="50" s="1"/>
  <c r="Z3" i="50"/>
  <c r="AE43" i="50" s="1"/>
  <c r="Y3" i="50"/>
  <c r="AD43" i="50" s="1"/>
  <c r="X3" i="50"/>
  <c r="AC43" i="50" s="1"/>
  <c r="W3" i="50"/>
  <c r="W28" i="50" s="1"/>
  <c r="V3" i="50"/>
  <c r="V28" i="50" s="1"/>
  <c r="U3" i="50"/>
  <c r="U28" i="50" s="1"/>
  <c r="T3" i="50"/>
  <c r="T28" i="50" s="1"/>
  <c r="S3" i="50"/>
  <c r="S28" i="50" s="1"/>
  <c r="R3" i="50"/>
  <c r="W43" i="50" s="1"/>
  <c r="D102" i="44"/>
  <c r="D101" i="44"/>
  <c r="D100" i="44"/>
  <c r="E91" i="44"/>
  <c r="E90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6" i="44"/>
  <c r="E75" i="44"/>
  <c r="E74" i="44"/>
  <c r="E73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D102" i="43"/>
  <c r="D101" i="43"/>
  <c r="D100" i="43"/>
  <c r="E91" i="43"/>
  <c r="E90" i="43"/>
  <c r="E89" i="43"/>
  <c r="E88" i="43"/>
  <c r="E87" i="43"/>
  <c r="E86" i="43"/>
  <c r="E85" i="43"/>
  <c r="E84" i="43"/>
  <c r="E83" i="43"/>
  <c r="E82" i="43"/>
  <c r="E81" i="43"/>
  <c r="E80" i="43"/>
  <c r="E79" i="43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D102" i="42"/>
  <c r="D101" i="42"/>
  <c r="D100" i="42"/>
  <c r="E91" i="42"/>
  <c r="E90" i="42"/>
  <c r="E89" i="42"/>
  <c r="E88" i="42"/>
  <c r="E87" i="42"/>
  <c r="E86" i="42"/>
  <c r="E85" i="42"/>
  <c r="E84" i="42"/>
  <c r="E83" i="42"/>
  <c r="E82" i="42"/>
  <c r="E81" i="42"/>
  <c r="E80" i="42"/>
  <c r="E79" i="42"/>
  <c r="E78" i="42"/>
  <c r="E77" i="42"/>
  <c r="E76" i="42"/>
  <c r="E75" i="42"/>
  <c r="E74" i="42"/>
  <c r="E73" i="42"/>
  <c r="E72" i="42"/>
  <c r="E71" i="42"/>
  <c r="E70" i="42"/>
  <c r="E69" i="42"/>
  <c r="E68" i="42"/>
  <c r="E67" i="42"/>
  <c r="E66" i="42"/>
  <c r="E65" i="42"/>
  <c r="E64" i="42"/>
  <c r="E63" i="42"/>
  <c r="E62" i="42"/>
  <c r="E61" i="42"/>
  <c r="E60" i="42"/>
  <c r="E59" i="42"/>
  <c r="E58" i="42"/>
  <c r="E57" i="42"/>
  <c r="E56" i="42"/>
  <c r="E55" i="42"/>
  <c r="E54" i="42"/>
  <c r="E53" i="42"/>
  <c r="E52" i="42"/>
  <c r="E51" i="42"/>
  <c r="E50" i="42"/>
  <c r="E49" i="42"/>
  <c r="E48" i="42"/>
  <c r="E47" i="42"/>
  <c r="E46" i="42"/>
  <c r="E45" i="42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D102" i="41"/>
  <c r="D101" i="41"/>
  <c r="D100" i="41"/>
  <c r="E91" i="41"/>
  <c r="E90" i="41"/>
  <c r="E89" i="41"/>
  <c r="E88" i="41"/>
  <c r="E87" i="41"/>
  <c r="E86" i="41"/>
  <c r="E85" i="41"/>
  <c r="E84" i="41"/>
  <c r="E83" i="41"/>
  <c r="E82" i="41"/>
  <c r="E81" i="41"/>
  <c r="E80" i="41"/>
  <c r="E79" i="41"/>
  <c r="E78" i="41"/>
  <c r="E77" i="41"/>
  <c r="E76" i="41"/>
  <c r="E75" i="41"/>
  <c r="E74" i="41"/>
  <c r="E73" i="41"/>
  <c r="E72" i="41"/>
  <c r="E71" i="41"/>
  <c r="E70" i="41"/>
  <c r="E69" i="41"/>
  <c r="E68" i="41"/>
  <c r="E67" i="41"/>
  <c r="E66" i="41"/>
  <c r="E65" i="41"/>
  <c r="E64" i="41"/>
  <c r="E63" i="41"/>
  <c r="E62" i="41"/>
  <c r="E61" i="41"/>
  <c r="E60" i="41"/>
  <c r="E59" i="41"/>
  <c r="E58" i="41"/>
  <c r="E57" i="41"/>
  <c r="E56" i="41"/>
  <c r="E55" i="41"/>
  <c r="E54" i="41"/>
  <c r="E53" i="41"/>
  <c r="E52" i="41"/>
  <c r="E51" i="41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G23" i="40"/>
  <c r="F23" i="40"/>
  <c r="E23" i="40"/>
  <c r="D23" i="40"/>
  <c r="C23" i="40"/>
  <c r="B23" i="40"/>
  <c r="G22" i="40"/>
  <c r="F22" i="40"/>
  <c r="E22" i="40"/>
  <c r="D22" i="40"/>
  <c r="C22" i="40"/>
  <c r="B22" i="40"/>
  <c r="G21" i="40"/>
  <c r="F21" i="40"/>
  <c r="E21" i="40"/>
  <c r="D21" i="40"/>
  <c r="C21" i="40"/>
  <c r="B21" i="40"/>
  <c r="G20" i="40"/>
  <c r="F20" i="40"/>
  <c r="E20" i="40"/>
  <c r="D20" i="40"/>
  <c r="C20" i="40"/>
  <c r="B20" i="40"/>
  <c r="G19" i="40"/>
  <c r="F19" i="40"/>
  <c r="E19" i="40"/>
  <c r="D19" i="40"/>
  <c r="C19" i="40"/>
  <c r="B19" i="40"/>
  <c r="G18" i="40"/>
  <c r="F18" i="40"/>
  <c r="E18" i="40"/>
  <c r="D18" i="40"/>
  <c r="C18" i="40"/>
  <c r="B18" i="40"/>
  <c r="G17" i="40"/>
  <c r="F17" i="40"/>
  <c r="E17" i="40"/>
  <c r="D17" i="40"/>
  <c r="C17" i="40"/>
  <c r="B17" i="40"/>
  <c r="G16" i="40"/>
  <c r="F16" i="40"/>
  <c r="E16" i="40"/>
  <c r="D16" i="40"/>
  <c r="C16" i="40"/>
  <c r="B16" i="40"/>
  <c r="H57" i="39"/>
  <c r="G57" i="39"/>
  <c r="F57" i="39"/>
  <c r="E57" i="39"/>
  <c r="D57" i="39"/>
  <c r="C57" i="39"/>
  <c r="B57" i="39"/>
  <c r="H56" i="39"/>
  <c r="G56" i="39"/>
  <c r="F56" i="39"/>
  <c r="E56" i="39"/>
  <c r="D56" i="39"/>
  <c r="C56" i="39"/>
  <c r="B56" i="39"/>
  <c r="H55" i="39"/>
  <c r="G55" i="39"/>
  <c r="F55" i="39"/>
  <c r="E55" i="39"/>
  <c r="D55" i="39"/>
  <c r="C55" i="39"/>
  <c r="B55" i="39"/>
  <c r="H54" i="39"/>
  <c r="G54" i="39"/>
  <c r="F54" i="39"/>
  <c r="E54" i="39"/>
  <c r="D54" i="39"/>
  <c r="C54" i="39"/>
  <c r="B54" i="39"/>
  <c r="H53" i="39"/>
  <c r="G53" i="39"/>
  <c r="F53" i="39"/>
  <c r="E53" i="39"/>
  <c r="D53" i="39"/>
  <c r="C53" i="39"/>
  <c r="B53" i="39"/>
  <c r="H52" i="39"/>
  <c r="G52" i="39"/>
  <c r="F52" i="39"/>
  <c r="E52" i="39"/>
  <c r="D52" i="39"/>
  <c r="C52" i="39"/>
  <c r="B52" i="39"/>
  <c r="H51" i="39"/>
  <c r="G51" i="39"/>
  <c r="F51" i="39"/>
  <c r="E51" i="39"/>
  <c r="D51" i="39"/>
  <c r="C51" i="39"/>
  <c r="B51" i="39"/>
  <c r="H50" i="39"/>
  <c r="G50" i="39"/>
  <c r="F50" i="39"/>
  <c r="E50" i="39"/>
  <c r="D50" i="39"/>
  <c r="C50" i="39"/>
  <c r="B50" i="39"/>
  <c r="H49" i="39"/>
  <c r="G49" i="39"/>
  <c r="F49" i="39"/>
  <c r="E49" i="39"/>
  <c r="D49" i="39"/>
  <c r="C49" i="39"/>
  <c r="B49" i="39"/>
  <c r="H48" i="39"/>
  <c r="G48" i="39"/>
  <c r="F48" i="39"/>
  <c r="E48" i="39"/>
  <c r="D48" i="39"/>
  <c r="C48" i="39"/>
  <c r="B48" i="39"/>
  <c r="H47" i="39"/>
  <c r="G47" i="39"/>
  <c r="F47" i="39"/>
  <c r="E47" i="39"/>
  <c r="D47" i="39"/>
  <c r="C47" i="39"/>
  <c r="B47" i="39"/>
  <c r="H46" i="39"/>
  <c r="G46" i="39"/>
  <c r="F46" i="39"/>
  <c r="E46" i="39"/>
  <c r="D46" i="39"/>
  <c r="C46" i="39"/>
  <c r="B46" i="39"/>
  <c r="H45" i="39"/>
  <c r="G45" i="39"/>
  <c r="F45" i="39"/>
  <c r="E45" i="39"/>
  <c r="D45" i="39"/>
  <c r="C45" i="39"/>
  <c r="B45" i="39"/>
  <c r="H44" i="39"/>
  <c r="G44" i="39"/>
  <c r="F44" i="39"/>
  <c r="E44" i="39"/>
  <c r="D44" i="39"/>
  <c r="C44" i="39"/>
  <c r="B44" i="39"/>
  <c r="H43" i="39"/>
  <c r="G43" i="39"/>
  <c r="F43" i="39"/>
  <c r="E43" i="39"/>
  <c r="D43" i="39"/>
  <c r="C43" i="39"/>
  <c r="B43" i="39"/>
  <c r="H42" i="39"/>
  <c r="G42" i="39"/>
  <c r="F42" i="39"/>
  <c r="E42" i="39"/>
  <c r="D42" i="39"/>
  <c r="C42" i="39"/>
  <c r="B42" i="39"/>
  <c r="H41" i="39"/>
  <c r="G41" i="39"/>
  <c r="F41" i="39"/>
  <c r="E41" i="39"/>
  <c r="D41" i="39"/>
  <c r="C41" i="39"/>
  <c r="B41" i="39"/>
  <c r="H40" i="39"/>
  <c r="G40" i="39"/>
  <c r="F40" i="39"/>
  <c r="E40" i="39"/>
  <c r="D40" i="39"/>
  <c r="C40" i="39"/>
  <c r="B40" i="39"/>
  <c r="H39" i="39"/>
  <c r="G39" i="39"/>
  <c r="F39" i="39"/>
  <c r="E39" i="39"/>
  <c r="D39" i="39"/>
  <c r="C39" i="39"/>
  <c r="B39" i="39"/>
  <c r="H38" i="39"/>
  <c r="G38" i="39"/>
  <c r="F38" i="39"/>
  <c r="E38" i="39"/>
  <c r="D38" i="39"/>
  <c r="C38" i="39"/>
  <c r="B38" i="39"/>
  <c r="H37" i="39"/>
  <c r="G37" i="39"/>
  <c r="F37" i="39"/>
  <c r="E37" i="39"/>
  <c r="D37" i="39"/>
  <c r="C37" i="39"/>
  <c r="B37" i="39"/>
  <c r="H36" i="39"/>
  <c r="G36" i="39"/>
  <c r="F36" i="39"/>
  <c r="E36" i="39"/>
  <c r="D36" i="39"/>
  <c r="C36" i="39"/>
  <c r="B36" i="39"/>
  <c r="H35" i="39"/>
  <c r="G35" i="39"/>
  <c r="F35" i="39"/>
  <c r="E35" i="39"/>
  <c r="D35" i="39"/>
  <c r="C35" i="39"/>
  <c r="B35" i="39"/>
  <c r="H34" i="39"/>
  <c r="G34" i="39"/>
  <c r="F34" i="39"/>
  <c r="E34" i="39"/>
  <c r="D34" i="39"/>
  <c r="C34" i="39"/>
  <c r="B34" i="39"/>
  <c r="H33" i="39"/>
  <c r="G33" i="39"/>
  <c r="F33" i="39"/>
  <c r="E33" i="39"/>
  <c r="D33" i="39"/>
  <c r="C33" i="39"/>
  <c r="B33" i="39"/>
  <c r="H57" i="38"/>
  <c r="G57" i="38"/>
  <c r="F57" i="38"/>
  <c r="E57" i="38"/>
  <c r="D57" i="38"/>
  <c r="C57" i="38"/>
  <c r="B57" i="38"/>
  <c r="H56" i="38"/>
  <c r="G56" i="38"/>
  <c r="F56" i="38"/>
  <c r="E56" i="38"/>
  <c r="D56" i="38"/>
  <c r="C56" i="38"/>
  <c r="B56" i="38"/>
  <c r="H55" i="38"/>
  <c r="G55" i="38"/>
  <c r="F55" i="38"/>
  <c r="E55" i="38"/>
  <c r="D55" i="38"/>
  <c r="C55" i="38"/>
  <c r="B55" i="38"/>
  <c r="H54" i="38"/>
  <c r="G54" i="38"/>
  <c r="F54" i="38"/>
  <c r="E54" i="38"/>
  <c r="D54" i="38"/>
  <c r="C54" i="38"/>
  <c r="B54" i="38"/>
  <c r="H53" i="38"/>
  <c r="G53" i="38"/>
  <c r="F53" i="38"/>
  <c r="E53" i="38"/>
  <c r="D53" i="38"/>
  <c r="C53" i="38"/>
  <c r="B53" i="38"/>
  <c r="H52" i="38"/>
  <c r="G52" i="38"/>
  <c r="F52" i="38"/>
  <c r="E52" i="38"/>
  <c r="D52" i="38"/>
  <c r="C52" i="38"/>
  <c r="B52" i="38"/>
  <c r="H51" i="38"/>
  <c r="G51" i="38"/>
  <c r="F51" i="38"/>
  <c r="E51" i="38"/>
  <c r="D51" i="38"/>
  <c r="C51" i="38"/>
  <c r="B51" i="38"/>
  <c r="H50" i="38"/>
  <c r="G50" i="38"/>
  <c r="F50" i="38"/>
  <c r="E50" i="38"/>
  <c r="D50" i="38"/>
  <c r="C50" i="38"/>
  <c r="B50" i="38"/>
  <c r="H49" i="38"/>
  <c r="G49" i="38"/>
  <c r="F49" i="38"/>
  <c r="E49" i="38"/>
  <c r="D49" i="38"/>
  <c r="C49" i="38"/>
  <c r="B49" i="38"/>
  <c r="H48" i="38"/>
  <c r="G48" i="38"/>
  <c r="F48" i="38"/>
  <c r="E48" i="38"/>
  <c r="D48" i="38"/>
  <c r="C48" i="38"/>
  <c r="B48" i="38"/>
  <c r="H47" i="38"/>
  <c r="G47" i="38"/>
  <c r="F47" i="38"/>
  <c r="E47" i="38"/>
  <c r="D47" i="38"/>
  <c r="C47" i="38"/>
  <c r="B47" i="38"/>
  <c r="H46" i="38"/>
  <c r="G46" i="38"/>
  <c r="F46" i="38"/>
  <c r="E46" i="38"/>
  <c r="D46" i="38"/>
  <c r="C46" i="38"/>
  <c r="B46" i="38"/>
  <c r="H45" i="38"/>
  <c r="G45" i="38"/>
  <c r="F45" i="38"/>
  <c r="E45" i="38"/>
  <c r="D45" i="38"/>
  <c r="C45" i="38"/>
  <c r="B45" i="38"/>
  <c r="H44" i="38"/>
  <c r="G44" i="38"/>
  <c r="F44" i="38"/>
  <c r="E44" i="38"/>
  <c r="D44" i="38"/>
  <c r="C44" i="38"/>
  <c r="B44" i="38"/>
  <c r="H43" i="38"/>
  <c r="G43" i="38"/>
  <c r="F43" i="38"/>
  <c r="E43" i="38"/>
  <c r="D43" i="38"/>
  <c r="C43" i="38"/>
  <c r="B43" i="38"/>
  <c r="H42" i="38"/>
  <c r="G42" i="38"/>
  <c r="F42" i="38"/>
  <c r="E42" i="38"/>
  <c r="D42" i="38"/>
  <c r="C42" i="38"/>
  <c r="B42" i="38"/>
  <c r="H41" i="38"/>
  <c r="G41" i="38"/>
  <c r="F41" i="38"/>
  <c r="E41" i="38"/>
  <c r="D41" i="38"/>
  <c r="C41" i="38"/>
  <c r="B41" i="38"/>
  <c r="H40" i="38"/>
  <c r="G40" i="38"/>
  <c r="F40" i="38"/>
  <c r="E40" i="38"/>
  <c r="D40" i="38"/>
  <c r="C40" i="38"/>
  <c r="B40" i="38"/>
  <c r="H39" i="38"/>
  <c r="G39" i="38"/>
  <c r="F39" i="38"/>
  <c r="E39" i="38"/>
  <c r="D39" i="38"/>
  <c r="C39" i="38"/>
  <c r="B39" i="38"/>
  <c r="H38" i="38"/>
  <c r="G38" i="38"/>
  <c r="F38" i="38"/>
  <c r="E38" i="38"/>
  <c r="D38" i="38"/>
  <c r="C38" i="38"/>
  <c r="B38" i="38"/>
  <c r="H37" i="38"/>
  <c r="G37" i="38"/>
  <c r="F37" i="38"/>
  <c r="E37" i="38"/>
  <c r="D37" i="38"/>
  <c r="C37" i="38"/>
  <c r="B37" i="38"/>
  <c r="H36" i="38"/>
  <c r="G36" i="38"/>
  <c r="F36" i="38"/>
  <c r="E36" i="38"/>
  <c r="D36" i="38"/>
  <c r="C36" i="38"/>
  <c r="B36" i="38"/>
  <c r="H35" i="38"/>
  <c r="G35" i="38"/>
  <c r="F35" i="38"/>
  <c r="E35" i="38"/>
  <c r="D35" i="38"/>
  <c r="C35" i="38"/>
  <c r="B35" i="38"/>
  <c r="H34" i="38"/>
  <c r="G34" i="38"/>
  <c r="F34" i="38"/>
  <c r="E34" i="38"/>
  <c r="D34" i="38"/>
  <c r="C34" i="38"/>
  <c r="B34" i="38"/>
  <c r="H33" i="38"/>
  <c r="G33" i="38"/>
  <c r="F33" i="38"/>
  <c r="E33" i="38"/>
  <c r="D33" i="38"/>
  <c r="C33" i="38"/>
  <c r="B33" i="38"/>
  <c r="J131" i="37"/>
  <c r="I131" i="37"/>
  <c r="H131" i="37"/>
  <c r="G131" i="37"/>
  <c r="F131" i="37"/>
  <c r="J130" i="37"/>
  <c r="I130" i="37"/>
  <c r="H130" i="37"/>
  <c r="G130" i="37"/>
  <c r="F130" i="37"/>
  <c r="E130" i="37"/>
  <c r="J129" i="37"/>
  <c r="I129" i="37"/>
  <c r="H129" i="37"/>
  <c r="G129" i="37"/>
  <c r="F129" i="37"/>
  <c r="E129" i="37"/>
  <c r="J128" i="37"/>
  <c r="I128" i="37"/>
  <c r="H128" i="37"/>
  <c r="G128" i="37"/>
  <c r="F128" i="37"/>
  <c r="J127" i="37"/>
  <c r="I127" i="37"/>
  <c r="H127" i="37"/>
  <c r="G127" i="37"/>
  <c r="F127" i="37"/>
  <c r="J126" i="37"/>
  <c r="I126" i="37"/>
  <c r="H126" i="37"/>
  <c r="G126" i="37"/>
  <c r="F126" i="37"/>
  <c r="E126" i="37"/>
  <c r="J125" i="37"/>
  <c r="I125" i="37"/>
  <c r="H125" i="37"/>
  <c r="G125" i="37"/>
  <c r="F125" i="37"/>
  <c r="E125" i="37"/>
  <c r="J124" i="37"/>
  <c r="I124" i="37"/>
  <c r="H124" i="37"/>
  <c r="G124" i="37"/>
  <c r="F124" i="37"/>
  <c r="J123" i="37"/>
  <c r="I123" i="37"/>
  <c r="H123" i="37"/>
  <c r="G123" i="37"/>
  <c r="F123" i="37"/>
  <c r="J122" i="37"/>
  <c r="I122" i="37"/>
  <c r="H122" i="37"/>
  <c r="G122" i="37"/>
  <c r="F122" i="37"/>
  <c r="E122" i="37"/>
  <c r="J121" i="37"/>
  <c r="I121" i="37"/>
  <c r="H121" i="37"/>
  <c r="G121" i="37"/>
  <c r="F121" i="37"/>
  <c r="E121" i="37"/>
  <c r="J120" i="37"/>
  <c r="I120" i="37"/>
  <c r="H120" i="37"/>
  <c r="G120" i="37"/>
  <c r="F120" i="37"/>
  <c r="J119" i="37"/>
  <c r="I119" i="37"/>
  <c r="H119" i="37"/>
  <c r="G119" i="37"/>
  <c r="F119" i="37"/>
  <c r="J118" i="37"/>
  <c r="I118" i="37"/>
  <c r="H118" i="37"/>
  <c r="G118" i="37"/>
  <c r="F118" i="37"/>
  <c r="E118" i="37"/>
  <c r="J117" i="37"/>
  <c r="I117" i="37"/>
  <c r="H117" i="37"/>
  <c r="G117" i="37"/>
  <c r="F117" i="37"/>
  <c r="E117" i="37"/>
  <c r="J116" i="37"/>
  <c r="I116" i="37"/>
  <c r="H116" i="37"/>
  <c r="G116" i="37"/>
  <c r="F116" i="37"/>
  <c r="J115" i="37"/>
  <c r="I115" i="37"/>
  <c r="H115" i="37"/>
  <c r="G115" i="37"/>
  <c r="F115" i="37"/>
  <c r="J114" i="37"/>
  <c r="I114" i="37"/>
  <c r="H114" i="37"/>
  <c r="G114" i="37"/>
  <c r="F114" i="37"/>
  <c r="E114" i="37"/>
  <c r="J113" i="37"/>
  <c r="I113" i="37"/>
  <c r="H113" i="37"/>
  <c r="G113" i="37"/>
  <c r="F113" i="37"/>
  <c r="E113" i="37"/>
  <c r="J112" i="37"/>
  <c r="I112" i="37"/>
  <c r="H112" i="37"/>
  <c r="G112" i="37"/>
  <c r="F112" i="37"/>
  <c r="J107" i="37"/>
  <c r="I107" i="37"/>
  <c r="H107" i="37"/>
  <c r="G107" i="37"/>
  <c r="F107" i="37"/>
  <c r="J106" i="37"/>
  <c r="I106" i="37"/>
  <c r="H106" i="37"/>
  <c r="G106" i="37"/>
  <c r="F106" i="37"/>
  <c r="E106" i="37"/>
  <c r="J105" i="37"/>
  <c r="I105" i="37"/>
  <c r="H105" i="37"/>
  <c r="G105" i="37"/>
  <c r="F105" i="37"/>
  <c r="E105" i="37"/>
  <c r="J104" i="37"/>
  <c r="I104" i="37"/>
  <c r="H104" i="37"/>
  <c r="G104" i="37"/>
  <c r="F104" i="37"/>
  <c r="J103" i="37"/>
  <c r="I103" i="37"/>
  <c r="H103" i="37"/>
  <c r="G103" i="37"/>
  <c r="F103" i="37"/>
  <c r="J102" i="37"/>
  <c r="I102" i="37"/>
  <c r="H102" i="37"/>
  <c r="G102" i="37"/>
  <c r="F102" i="37"/>
  <c r="E102" i="37"/>
  <c r="J101" i="37"/>
  <c r="I101" i="37"/>
  <c r="H101" i="37"/>
  <c r="G101" i="37"/>
  <c r="F101" i="37"/>
  <c r="E101" i="37"/>
  <c r="J100" i="37"/>
  <c r="I100" i="37"/>
  <c r="H100" i="37"/>
  <c r="G100" i="37"/>
  <c r="F100" i="37"/>
  <c r="J99" i="37"/>
  <c r="I99" i="37"/>
  <c r="H99" i="37"/>
  <c r="G99" i="37"/>
  <c r="F99" i="37"/>
  <c r="J98" i="37"/>
  <c r="I98" i="37"/>
  <c r="H98" i="37"/>
  <c r="G98" i="37"/>
  <c r="F98" i="37"/>
  <c r="E98" i="37"/>
  <c r="J97" i="37"/>
  <c r="I97" i="37"/>
  <c r="H97" i="37"/>
  <c r="G97" i="37"/>
  <c r="F97" i="37"/>
  <c r="E97" i="37"/>
  <c r="J96" i="37"/>
  <c r="I96" i="37"/>
  <c r="H96" i="37"/>
  <c r="G96" i="37"/>
  <c r="F96" i="37"/>
  <c r="J95" i="37"/>
  <c r="I95" i="37"/>
  <c r="H95" i="37"/>
  <c r="G95" i="37"/>
  <c r="F95" i="37"/>
  <c r="J94" i="37"/>
  <c r="I94" i="37"/>
  <c r="H94" i="37"/>
  <c r="G94" i="37"/>
  <c r="F94" i="37"/>
  <c r="E94" i="37"/>
  <c r="J93" i="37"/>
  <c r="I93" i="37"/>
  <c r="H93" i="37"/>
  <c r="G93" i="37"/>
  <c r="F93" i="37"/>
  <c r="E93" i="37"/>
  <c r="J92" i="37"/>
  <c r="I92" i="37"/>
  <c r="H92" i="37"/>
  <c r="G92" i="37"/>
  <c r="F92" i="37"/>
  <c r="J91" i="37"/>
  <c r="I91" i="37"/>
  <c r="H91" i="37"/>
  <c r="G91" i="37"/>
  <c r="F91" i="37"/>
  <c r="J90" i="37"/>
  <c r="I90" i="37"/>
  <c r="H90" i="37"/>
  <c r="G90" i="37"/>
  <c r="F90" i="37"/>
  <c r="E90" i="37"/>
  <c r="J89" i="37"/>
  <c r="I89" i="37"/>
  <c r="H89" i="37"/>
  <c r="G89" i="37"/>
  <c r="F89" i="37"/>
  <c r="E89" i="37"/>
  <c r="J88" i="37"/>
  <c r="I88" i="37"/>
  <c r="H88" i="37"/>
  <c r="G88" i="37"/>
  <c r="F88" i="37"/>
  <c r="J77" i="37"/>
  <c r="I77" i="37"/>
  <c r="H77" i="37"/>
  <c r="G77" i="37"/>
  <c r="F77" i="37"/>
  <c r="J76" i="37"/>
  <c r="I76" i="37"/>
  <c r="H76" i="37"/>
  <c r="G76" i="37"/>
  <c r="F76" i="37"/>
  <c r="E76" i="37"/>
  <c r="J75" i="37"/>
  <c r="I75" i="37"/>
  <c r="H75" i="37"/>
  <c r="G75" i="37"/>
  <c r="F75" i="37"/>
  <c r="E75" i="37"/>
  <c r="J74" i="37"/>
  <c r="I74" i="37"/>
  <c r="H74" i="37"/>
  <c r="G74" i="37"/>
  <c r="F74" i="37"/>
  <c r="J73" i="37"/>
  <c r="I73" i="37"/>
  <c r="H73" i="37"/>
  <c r="G73" i="37"/>
  <c r="F73" i="37"/>
  <c r="J72" i="37"/>
  <c r="I72" i="37"/>
  <c r="H72" i="37"/>
  <c r="G72" i="37"/>
  <c r="F72" i="37"/>
  <c r="E72" i="37"/>
  <c r="J71" i="37"/>
  <c r="I71" i="37"/>
  <c r="H71" i="37"/>
  <c r="G71" i="37"/>
  <c r="F71" i="37"/>
  <c r="E71" i="37"/>
  <c r="J70" i="37"/>
  <c r="I70" i="37"/>
  <c r="H70" i="37"/>
  <c r="G70" i="37"/>
  <c r="F70" i="37"/>
  <c r="J69" i="37"/>
  <c r="I69" i="37"/>
  <c r="H69" i="37"/>
  <c r="G69" i="37"/>
  <c r="F69" i="37"/>
  <c r="J68" i="37"/>
  <c r="I68" i="37"/>
  <c r="H68" i="37"/>
  <c r="G68" i="37"/>
  <c r="F68" i="37"/>
  <c r="E68" i="37"/>
  <c r="J67" i="37"/>
  <c r="I67" i="37"/>
  <c r="H67" i="37"/>
  <c r="G67" i="37"/>
  <c r="F67" i="37"/>
  <c r="E67" i="37"/>
  <c r="J66" i="37"/>
  <c r="I66" i="37"/>
  <c r="H66" i="37"/>
  <c r="G66" i="37"/>
  <c r="F66" i="37"/>
  <c r="J65" i="37"/>
  <c r="I65" i="37"/>
  <c r="H65" i="37"/>
  <c r="G65" i="37"/>
  <c r="F65" i="37"/>
  <c r="J64" i="37"/>
  <c r="I64" i="37"/>
  <c r="H64" i="37"/>
  <c r="G64" i="37"/>
  <c r="F64" i="37"/>
  <c r="E64" i="37"/>
  <c r="J63" i="37"/>
  <c r="I63" i="37"/>
  <c r="H63" i="37"/>
  <c r="G63" i="37"/>
  <c r="F63" i="37"/>
  <c r="E63" i="37"/>
  <c r="J62" i="37"/>
  <c r="I62" i="37"/>
  <c r="H62" i="37"/>
  <c r="G62" i="37"/>
  <c r="F62" i="37"/>
  <c r="J61" i="37"/>
  <c r="I61" i="37"/>
  <c r="H61" i="37"/>
  <c r="G61" i="37"/>
  <c r="F61" i="37"/>
  <c r="J60" i="37"/>
  <c r="I60" i="37"/>
  <c r="H60" i="37"/>
  <c r="G60" i="37"/>
  <c r="F60" i="37"/>
  <c r="E60" i="37"/>
  <c r="J59" i="37"/>
  <c r="I59" i="37"/>
  <c r="H59" i="37"/>
  <c r="G59" i="37"/>
  <c r="F59" i="37"/>
  <c r="E59" i="37"/>
  <c r="J58" i="37"/>
  <c r="I58" i="37"/>
  <c r="H58" i="37"/>
  <c r="G58" i="37"/>
  <c r="F58" i="37"/>
  <c r="J53" i="37"/>
  <c r="I53" i="37"/>
  <c r="H53" i="37"/>
  <c r="G53" i="37"/>
  <c r="F53" i="37"/>
  <c r="J52" i="37"/>
  <c r="I52" i="37"/>
  <c r="H52" i="37"/>
  <c r="G52" i="37"/>
  <c r="F52" i="37"/>
  <c r="E52" i="37"/>
  <c r="J51" i="37"/>
  <c r="I51" i="37"/>
  <c r="H51" i="37"/>
  <c r="G51" i="37"/>
  <c r="F51" i="37"/>
  <c r="E51" i="37"/>
  <c r="J50" i="37"/>
  <c r="I50" i="37"/>
  <c r="H50" i="37"/>
  <c r="G50" i="37"/>
  <c r="F50" i="37"/>
  <c r="J49" i="37"/>
  <c r="I49" i="37"/>
  <c r="H49" i="37"/>
  <c r="G49" i="37"/>
  <c r="F49" i="37"/>
  <c r="J48" i="37"/>
  <c r="I48" i="37"/>
  <c r="H48" i="37"/>
  <c r="G48" i="37"/>
  <c r="F48" i="37"/>
  <c r="E48" i="37"/>
  <c r="J47" i="37"/>
  <c r="I47" i="37"/>
  <c r="H47" i="37"/>
  <c r="G47" i="37"/>
  <c r="F47" i="37"/>
  <c r="E47" i="37"/>
  <c r="J46" i="37"/>
  <c r="I46" i="37"/>
  <c r="H46" i="37"/>
  <c r="G46" i="37"/>
  <c r="F46" i="37"/>
  <c r="J45" i="37"/>
  <c r="I45" i="37"/>
  <c r="H45" i="37"/>
  <c r="G45" i="37"/>
  <c r="F45" i="37"/>
  <c r="J44" i="37"/>
  <c r="I44" i="37"/>
  <c r="H44" i="37"/>
  <c r="G44" i="37"/>
  <c r="F44" i="37"/>
  <c r="E44" i="37"/>
  <c r="J43" i="37"/>
  <c r="I43" i="37"/>
  <c r="H43" i="37"/>
  <c r="G43" i="37"/>
  <c r="F43" i="37"/>
  <c r="E43" i="37"/>
  <c r="J42" i="37"/>
  <c r="I42" i="37"/>
  <c r="H42" i="37"/>
  <c r="G42" i="37"/>
  <c r="F42" i="37"/>
  <c r="E42" i="37"/>
  <c r="J41" i="37"/>
  <c r="I41" i="37"/>
  <c r="H41" i="37"/>
  <c r="G41" i="37"/>
  <c r="F41" i="37"/>
  <c r="J40" i="37"/>
  <c r="I40" i="37"/>
  <c r="H40" i="37"/>
  <c r="G40" i="37"/>
  <c r="F40" i="37"/>
  <c r="E40" i="37"/>
  <c r="J39" i="37"/>
  <c r="I39" i="37"/>
  <c r="H39" i="37"/>
  <c r="G39" i="37"/>
  <c r="F39" i="37"/>
  <c r="E39" i="37"/>
  <c r="J38" i="37"/>
  <c r="I38" i="37"/>
  <c r="H38" i="37"/>
  <c r="G38" i="37"/>
  <c r="F38" i="37"/>
  <c r="E38" i="37"/>
  <c r="J37" i="37"/>
  <c r="I37" i="37"/>
  <c r="H37" i="37"/>
  <c r="G37" i="37"/>
  <c r="F37" i="37"/>
  <c r="J36" i="37"/>
  <c r="I36" i="37"/>
  <c r="H36" i="37"/>
  <c r="G36" i="37"/>
  <c r="F36" i="37"/>
  <c r="E36" i="37"/>
  <c r="J35" i="37"/>
  <c r="I35" i="37"/>
  <c r="H35" i="37"/>
  <c r="G35" i="37"/>
  <c r="F35" i="37"/>
  <c r="E35" i="37"/>
  <c r="J34" i="37"/>
  <c r="I34" i="37"/>
  <c r="H34" i="37"/>
  <c r="G34" i="37"/>
  <c r="F34" i="37"/>
  <c r="E34" i="37"/>
  <c r="K25" i="37"/>
  <c r="J25" i="37"/>
  <c r="I25" i="37"/>
  <c r="H25" i="37"/>
  <c r="G25" i="37"/>
  <c r="F23" i="37"/>
  <c r="E131" i="37" s="1"/>
  <c r="F22" i="37"/>
  <c r="F21" i="37"/>
  <c r="F20" i="37"/>
  <c r="E128" i="37" s="1"/>
  <c r="F19" i="37"/>
  <c r="E127" i="37" s="1"/>
  <c r="F18" i="37"/>
  <c r="F17" i="37"/>
  <c r="F16" i="37"/>
  <c r="E124" i="37" s="1"/>
  <c r="F15" i="37"/>
  <c r="E123" i="37" s="1"/>
  <c r="F14" i="37"/>
  <c r="F13" i="37"/>
  <c r="F12" i="37"/>
  <c r="E120" i="37" s="1"/>
  <c r="F11" i="37"/>
  <c r="E119" i="37" s="1"/>
  <c r="F10" i="37"/>
  <c r="F9" i="37"/>
  <c r="F8" i="37"/>
  <c r="E116" i="37" s="1"/>
  <c r="F7" i="37"/>
  <c r="E115" i="37" s="1"/>
  <c r="F6" i="37"/>
  <c r="F5" i="37"/>
  <c r="F4" i="37"/>
  <c r="F25" i="37" s="1"/>
  <c r="I32" i="36"/>
  <c r="H32" i="36"/>
  <c r="G32" i="36"/>
  <c r="F32" i="36"/>
  <c r="E32" i="36"/>
  <c r="I31" i="36"/>
  <c r="H31" i="36"/>
  <c r="G31" i="36"/>
  <c r="F31" i="36"/>
  <c r="E31" i="36"/>
  <c r="I30" i="36"/>
  <c r="H30" i="36"/>
  <c r="G30" i="36"/>
  <c r="F30" i="36"/>
  <c r="E30" i="36"/>
  <c r="I29" i="36"/>
  <c r="H29" i="36"/>
  <c r="G29" i="36"/>
  <c r="F29" i="36"/>
  <c r="E29" i="36"/>
  <c r="I23" i="36"/>
  <c r="H23" i="36"/>
  <c r="G23" i="36"/>
  <c r="F23" i="36"/>
  <c r="E23" i="36"/>
  <c r="I22" i="36"/>
  <c r="H22" i="36"/>
  <c r="G22" i="36"/>
  <c r="F22" i="36"/>
  <c r="E22" i="36"/>
  <c r="I21" i="36"/>
  <c r="H21" i="36"/>
  <c r="G21" i="36"/>
  <c r="F21" i="36"/>
  <c r="E21" i="36"/>
  <c r="I20" i="36"/>
  <c r="H20" i="36"/>
  <c r="G20" i="36"/>
  <c r="F20" i="36"/>
  <c r="E20" i="36"/>
  <c r="I15" i="36"/>
  <c r="H15" i="36"/>
  <c r="G15" i="36"/>
  <c r="F15" i="36"/>
  <c r="E15" i="36"/>
  <c r="I14" i="36"/>
  <c r="H14" i="36"/>
  <c r="G14" i="36"/>
  <c r="F14" i="36"/>
  <c r="E14" i="36"/>
  <c r="I13" i="36"/>
  <c r="H13" i="36"/>
  <c r="G13" i="36"/>
  <c r="F13" i="36"/>
  <c r="E13" i="36"/>
  <c r="I12" i="36"/>
  <c r="H12" i="36"/>
  <c r="G12" i="36"/>
  <c r="F12" i="36"/>
  <c r="E12" i="36"/>
  <c r="D7" i="36"/>
  <c r="D32" i="36" s="1"/>
  <c r="D6" i="36"/>
  <c r="D31" i="36" s="1"/>
  <c r="D5" i="36"/>
  <c r="D30" i="36" s="1"/>
  <c r="D4" i="36"/>
  <c r="D29" i="36" s="1"/>
  <c r="L49" i="35"/>
  <c r="J49" i="35"/>
  <c r="H49" i="35"/>
  <c r="F49" i="35"/>
  <c r="D49" i="35"/>
  <c r="L48" i="35"/>
  <c r="J48" i="35"/>
  <c r="H48" i="35"/>
  <c r="F48" i="35"/>
  <c r="D48" i="35"/>
  <c r="L47" i="35"/>
  <c r="J47" i="35"/>
  <c r="H47" i="35"/>
  <c r="F47" i="35"/>
  <c r="D47" i="35"/>
  <c r="L46" i="35"/>
  <c r="J46" i="35"/>
  <c r="H46" i="35"/>
  <c r="F46" i="35"/>
  <c r="D46" i="35"/>
  <c r="L45" i="35"/>
  <c r="J45" i="35"/>
  <c r="H45" i="35"/>
  <c r="F45" i="35"/>
  <c r="D45" i="35"/>
  <c r="L44" i="35"/>
  <c r="J44" i="35"/>
  <c r="H44" i="35"/>
  <c r="F44" i="35"/>
  <c r="D44" i="35"/>
  <c r="L43" i="35"/>
  <c r="J43" i="35"/>
  <c r="H43" i="35"/>
  <c r="F43" i="35"/>
  <c r="D43" i="35"/>
  <c r="L42" i="35"/>
  <c r="J42" i="35"/>
  <c r="H42" i="35"/>
  <c r="F42" i="35"/>
  <c r="D42" i="35"/>
  <c r="L41" i="35"/>
  <c r="J41" i="35"/>
  <c r="H41" i="35"/>
  <c r="F41" i="35"/>
  <c r="D41" i="35"/>
  <c r="L40" i="35"/>
  <c r="J40" i="35"/>
  <c r="H40" i="35"/>
  <c r="F40" i="35"/>
  <c r="D40" i="35"/>
  <c r="L39" i="35"/>
  <c r="J39" i="35"/>
  <c r="H39" i="35"/>
  <c r="F39" i="35"/>
  <c r="D39" i="35"/>
  <c r="L38" i="35"/>
  <c r="J38" i="35"/>
  <c r="H38" i="35"/>
  <c r="F38" i="35"/>
  <c r="D38" i="35"/>
  <c r="L37" i="35"/>
  <c r="J37" i="35"/>
  <c r="H37" i="35"/>
  <c r="F37" i="35"/>
  <c r="D37" i="35"/>
  <c r="L36" i="35"/>
  <c r="J36" i="35"/>
  <c r="H36" i="35"/>
  <c r="F36" i="35"/>
  <c r="D36" i="35"/>
  <c r="L35" i="35"/>
  <c r="J35" i="35"/>
  <c r="H35" i="35"/>
  <c r="F35" i="35"/>
  <c r="D35" i="35"/>
  <c r="L34" i="35"/>
  <c r="J34" i="35"/>
  <c r="H34" i="35"/>
  <c r="F34" i="35"/>
  <c r="D34" i="35"/>
  <c r="D51" i="35" s="1"/>
  <c r="L33" i="35"/>
  <c r="J33" i="35"/>
  <c r="H33" i="35"/>
  <c r="F33" i="35"/>
  <c r="D33" i="35"/>
  <c r="L32" i="35"/>
  <c r="J32" i="35"/>
  <c r="H32" i="35"/>
  <c r="F32" i="35"/>
  <c r="D32" i="35"/>
  <c r="L31" i="35"/>
  <c r="J31" i="35"/>
  <c r="H31" i="35"/>
  <c r="F31" i="35"/>
  <c r="D31" i="35"/>
  <c r="L30" i="35"/>
  <c r="L51" i="35" s="1"/>
  <c r="J30" i="35"/>
  <c r="J51" i="35" s="1"/>
  <c r="H30" i="35"/>
  <c r="H51" i="35" s="1"/>
  <c r="F30" i="35"/>
  <c r="F51" i="35" s="1"/>
  <c r="D30" i="35"/>
  <c r="N24" i="35"/>
  <c r="M24" i="35"/>
  <c r="L24" i="35"/>
  <c r="K24" i="35"/>
  <c r="J24" i="35"/>
  <c r="G24" i="35"/>
  <c r="F24" i="35"/>
  <c r="E24" i="35"/>
  <c r="D24" i="35"/>
  <c r="C24" i="35"/>
  <c r="B24" i="35"/>
  <c r="J131" i="34"/>
  <c r="I131" i="34"/>
  <c r="H131" i="34"/>
  <c r="G131" i="34"/>
  <c r="F131" i="34"/>
  <c r="J130" i="34"/>
  <c r="I130" i="34"/>
  <c r="H130" i="34"/>
  <c r="G130" i="34"/>
  <c r="F130" i="34"/>
  <c r="J129" i="34"/>
  <c r="I129" i="34"/>
  <c r="H129" i="34"/>
  <c r="G129" i="34"/>
  <c r="F129" i="34"/>
  <c r="J128" i="34"/>
  <c r="I128" i="34"/>
  <c r="H128" i="34"/>
  <c r="G128" i="34"/>
  <c r="F128" i="34"/>
  <c r="J127" i="34"/>
  <c r="I127" i="34"/>
  <c r="H127" i="34"/>
  <c r="G127" i="34"/>
  <c r="F127" i="34"/>
  <c r="J126" i="34"/>
  <c r="I126" i="34"/>
  <c r="H126" i="34"/>
  <c r="G126" i="34"/>
  <c r="F126" i="34"/>
  <c r="J125" i="34"/>
  <c r="I125" i="34"/>
  <c r="H125" i="34"/>
  <c r="G125" i="34"/>
  <c r="F125" i="34"/>
  <c r="J124" i="34"/>
  <c r="I124" i="34"/>
  <c r="H124" i="34"/>
  <c r="G124" i="34"/>
  <c r="F124" i="34"/>
  <c r="J123" i="34"/>
  <c r="I123" i="34"/>
  <c r="H123" i="34"/>
  <c r="G123" i="34"/>
  <c r="F123" i="34"/>
  <c r="J122" i="34"/>
  <c r="I122" i="34"/>
  <c r="H122" i="34"/>
  <c r="G122" i="34"/>
  <c r="F122" i="34"/>
  <c r="J121" i="34"/>
  <c r="I121" i="34"/>
  <c r="H121" i="34"/>
  <c r="G121" i="34"/>
  <c r="F121" i="34"/>
  <c r="J120" i="34"/>
  <c r="I120" i="34"/>
  <c r="H120" i="34"/>
  <c r="G120" i="34"/>
  <c r="F120" i="34"/>
  <c r="J119" i="34"/>
  <c r="I119" i="34"/>
  <c r="H119" i="34"/>
  <c r="G119" i="34"/>
  <c r="F119" i="34"/>
  <c r="J118" i="34"/>
  <c r="I118" i="34"/>
  <c r="H118" i="34"/>
  <c r="G118" i="34"/>
  <c r="F118" i="34"/>
  <c r="J117" i="34"/>
  <c r="I117" i="34"/>
  <c r="H117" i="34"/>
  <c r="G117" i="34"/>
  <c r="F117" i="34"/>
  <c r="J116" i="34"/>
  <c r="I116" i="34"/>
  <c r="H116" i="34"/>
  <c r="G116" i="34"/>
  <c r="F116" i="34"/>
  <c r="J115" i="34"/>
  <c r="I115" i="34"/>
  <c r="H115" i="34"/>
  <c r="G115" i="34"/>
  <c r="F115" i="34"/>
  <c r="J114" i="34"/>
  <c r="I114" i="34"/>
  <c r="H114" i="34"/>
  <c r="G114" i="34"/>
  <c r="F114" i="34"/>
  <c r="J113" i="34"/>
  <c r="I113" i="34"/>
  <c r="H113" i="34"/>
  <c r="G113" i="34"/>
  <c r="F113" i="34"/>
  <c r="J112" i="34"/>
  <c r="I112" i="34"/>
  <c r="H112" i="34"/>
  <c r="G112" i="34"/>
  <c r="F112" i="34"/>
  <c r="J107" i="34"/>
  <c r="I107" i="34"/>
  <c r="H107" i="34"/>
  <c r="G107" i="34"/>
  <c r="F107" i="34"/>
  <c r="J106" i="34"/>
  <c r="I106" i="34"/>
  <c r="H106" i="34"/>
  <c r="G106" i="34"/>
  <c r="F106" i="34"/>
  <c r="J105" i="34"/>
  <c r="I105" i="34"/>
  <c r="H105" i="34"/>
  <c r="G105" i="34"/>
  <c r="F105" i="34"/>
  <c r="J104" i="34"/>
  <c r="I104" i="34"/>
  <c r="H104" i="34"/>
  <c r="G104" i="34"/>
  <c r="F104" i="34"/>
  <c r="J103" i="34"/>
  <c r="I103" i="34"/>
  <c r="H103" i="34"/>
  <c r="G103" i="34"/>
  <c r="F103" i="34"/>
  <c r="J102" i="34"/>
  <c r="I102" i="34"/>
  <c r="H102" i="34"/>
  <c r="G102" i="34"/>
  <c r="F102" i="34"/>
  <c r="J101" i="34"/>
  <c r="I101" i="34"/>
  <c r="H101" i="34"/>
  <c r="G101" i="34"/>
  <c r="F101" i="34"/>
  <c r="J100" i="34"/>
  <c r="I100" i="34"/>
  <c r="H100" i="34"/>
  <c r="G100" i="34"/>
  <c r="F100" i="34"/>
  <c r="J99" i="34"/>
  <c r="I99" i="34"/>
  <c r="H99" i="34"/>
  <c r="G99" i="34"/>
  <c r="F99" i="34"/>
  <c r="J98" i="34"/>
  <c r="I98" i="34"/>
  <c r="H98" i="34"/>
  <c r="G98" i="34"/>
  <c r="F98" i="34"/>
  <c r="J97" i="34"/>
  <c r="I97" i="34"/>
  <c r="H97" i="34"/>
  <c r="G97" i="34"/>
  <c r="F97" i="34"/>
  <c r="J96" i="34"/>
  <c r="I96" i="34"/>
  <c r="H96" i="34"/>
  <c r="G96" i="34"/>
  <c r="F96" i="34"/>
  <c r="J95" i="34"/>
  <c r="I95" i="34"/>
  <c r="H95" i="34"/>
  <c r="G95" i="34"/>
  <c r="F95" i="34"/>
  <c r="J94" i="34"/>
  <c r="I94" i="34"/>
  <c r="H94" i="34"/>
  <c r="G94" i="34"/>
  <c r="F94" i="34"/>
  <c r="J93" i="34"/>
  <c r="I93" i="34"/>
  <c r="H93" i="34"/>
  <c r="G93" i="34"/>
  <c r="F93" i="34"/>
  <c r="J92" i="34"/>
  <c r="I92" i="34"/>
  <c r="H92" i="34"/>
  <c r="G92" i="34"/>
  <c r="F92" i="34"/>
  <c r="J91" i="34"/>
  <c r="I91" i="34"/>
  <c r="H91" i="34"/>
  <c r="G91" i="34"/>
  <c r="F91" i="34"/>
  <c r="J90" i="34"/>
  <c r="I90" i="34"/>
  <c r="H90" i="34"/>
  <c r="G90" i="34"/>
  <c r="F90" i="34"/>
  <c r="J89" i="34"/>
  <c r="I89" i="34"/>
  <c r="H89" i="34"/>
  <c r="G89" i="34"/>
  <c r="F89" i="34"/>
  <c r="J88" i="34"/>
  <c r="I88" i="34"/>
  <c r="H88" i="34"/>
  <c r="G88" i="34"/>
  <c r="F88" i="34"/>
  <c r="J77" i="34"/>
  <c r="I77" i="34"/>
  <c r="H77" i="34"/>
  <c r="G77" i="34"/>
  <c r="F77" i="34"/>
  <c r="J76" i="34"/>
  <c r="I76" i="34"/>
  <c r="H76" i="34"/>
  <c r="G76" i="34"/>
  <c r="F76" i="34"/>
  <c r="J75" i="34"/>
  <c r="I75" i="34"/>
  <c r="H75" i="34"/>
  <c r="G75" i="34"/>
  <c r="F75" i="34"/>
  <c r="J74" i="34"/>
  <c r="I74" i="34"/>
  <c r="H74" i="34"/>
  <c r="G74" i="34"/>
  <c r="F74" i="34"/>
  <c r="J73" i="34"/>
  <c r="I73" i="34"/>
  <c r="H73" i="34"/>
  <c r="G73" i="34"/>
  <c r="F73" i="34"/>
  <c r="J72" i="34"/>
  <c r="I72" i="34"/>
  <c r="H72" i="34"/>
  <c r="G72" i="34"/>
  <c r="F72" i="34"/>
  <c r="J71" i="34"/>
  <c r="I71" i="34"/>
  <c r="H71" i="34"/>
  <c r="G71" i="34"/>
  <c r="F71" i="34"/>
  <c r="J70" i="34"/>
  <c r="I70" i="34"/>
  <c r="H70" i="34"/>
  <c r="G70" i="34"/>
  <c r="F70" i="34"/>
  <c r="J69" i="34"/>
  <c r="I69" i="34"/>
  <c r="H69" i="34"/>
  <c r="G69" i="34"/>
  <c r="F69" i="34"/>
  <c r="J68" i="34"/>
  <c r="I68" i="34"/>
  <c r="H68" i="34"/>
  <c r="G68" i="34"/>
  <c r="F68" i="34"/>
  <c r="J67" i="34"/>
  <c r="I67" i="34"/>
  <c r="H67" i="34"/>
  <c r="G67" i="34"/>
  <c r="F67" i="34"/>
  <c r="J66" i="34"/>
  <c r="I66" i="34"/>
  <c r="H66" i="34"/>
  <c r="G66" i="34"/>
  <c r="F66" i="34"/>
  <c r="J65" i="34"/>
  <c r="I65" i="34"/>
  <c r="H65" i="34"/>
  <c r="G65" i="34"/>
  <c r="F65" i="34"/>
  <c r="J64" i="34"/>
  <c r="I64" i="34"/>
  <c r="H64" i="34"/>
  <c r="G64" i="34"/>
  <c r="F64" i="34"/>
  <c r="J63" i="34"/>
  <c r="I63" i="34"/>
  <c r="H63" i="34"/>
  <c r="G63" i="34"/>
  <c r="F63" i="34"/>
  <c r="J62" i="34"/>
  <c r="I62" i="34"/>
  <c r="H62" i="34"/>
  <c r="G62" i="34"/>
  <c r="F62" i="34"/>
  <c r="J61" i="34"/>
  <c r="I61" i="34"/>
  <c r="H61" i="34"/>
  <c r="G61" i="34"/>
  <c r="F61" i="34"/>
  <c r="J60" i="34"/>
  <c r="I60" i="34"/>
  <c r="H60" i="34"/>
  <c r="G60" i="34"/>
  <c r="F60" i="34"/>
  <c r="J59" i="34"/>
  <c r="I59" i="34"/>
  <c r="H59" i="34"/>
  <c r="G59" i="34"/>
  <c r="F59" i="34"/>
  <c r="J58" i="34"/>
  <c r="I58" i="34"/>
  <c r="H58" i="34"/>
  <c r="G58" i="34"/>
  <c r="F58" i="34"/>
  <c r="J53" i="34"/>
  <c r="I53" i="34"/>
  <c r="H53" i="34"/>
  <c r="G53" i="34"/>
  <c r="F53" i="34"/>
  <c r="J52" i="34"/>
  <c r="I52" i="34"/>
  <c r="H52" i="34"/>
  <c r="G52" i="34"/>
  <c r="F52" i="34"/>
  <c r="J51" i="34"/>
  <c r="I51" i="34"/>
  <c r="H51" i="34"/>
  <c r="G51" i="34"/>
  <c r="F51" i="34"/>
  <c r="J50" i="34"/>
  <c r="I50" i="34"/>
  <c r="H50" i="34"/>
  <c r="G50" i="34"/>
  <c r="F50" i="34"/>
  <c r="J49" i="34"/>
  <c r="I49" i="34"/>
  <c r="H49" i="34"/>
  <c r="G49" i="34"/>
  <c r="F49" i="34"/>
  <c r="J48" i="34"/>
  <c r="I48" i="34"/>
  <c r="H48" i="34"/>
  <c r="G48" i="34"/>
  <c r="F48" i="34"/>
  <c r="J47" i="34"/>
  <c r="I47" i="34"/>
  <c r="H47" i="34"/>
  <c r="G47" i="34"/>
  <c r="F47" i="34"/>
  <c r="J46" i="34"/>
  <c r="I46" i="34"/>
  <c r="H46" i="34"/>
  <c r="G46" i="34"/>
  <c r="F46" i="34"/>
  <c r="J45" i="34"/>
  <c r="I45" i="34"/>
  <c r="H45" i="34"/>
  <c r="G45" i="34"/>
  <c r="F45" i="34"/>
  <c r="J44" i="34"/>
  <c r="I44" i="34"/>
  <c r="H44" i="34"/>
  <c r="G44" i="34"/>
  <c r="F44" i="34"/>
  <c r="J43" i="34"/>
  <c r="I43" i="34"/>
  <c r="H43" i="34"/>
  <c r="G43" i="34"/>
  <c r="F43" i="34"/>
  <c r="J42" i="34"/>
  <c r="I42" i="34"/>
  <c r="H42" i="34"/>
  <c r="G42" i="34"/>
  <c r="F42" i="34"/>
  <c r="J41" i="34"/>
  <c r="I41" i="34"/>
  <c r="H41" i="34"/>
  <c r="G41" i="34"/>
  <c r="F41" i="34"/>
  <c r="J40" i="34"/>
  <c r="I40" i="34"/>
  <c r="H40" i="34"/>
  <c r="G40" i="34"/>
  <c r="F40" i="34"/>
  <c r="J39" i="34"/>
  <c r="I39" i="34"/>
  <c r="H39" i="34"/>
  <c r="G39" i="34"/>
  <c r="F39" i="34"/>
  <c r="J38" i="34"/>
  <c r="I38" i="34"/>
  <c r="H38" i="34"/>
  <c r="G38" i="34"/>
  <c r="F38" i="34"/>
  <c r="J37" i="34"/>
  <c r="I37" i="34"/>
  <c r="H37" i="34"/>
  <c r="G37" i="34"/>
  <c r="F37" i="34"/>
  <c r="J36" i="34"/>
  <c r="I36" i="34"/>
  <c r="H36" i="34"/>
  <c r="G36" i="34"/>
  <c r="F36" i="34"/>
  <c r="J35" i="34"/>
  <c r="I35" i="34"/>
  <c r="H35" i="34"/>
  <c r="G35" i="34"/>
  <c r="F35" i="34"/>
  <c r="J34" i="34"/>
  <c r="I34" i="34"/>
  <c r="H34" i="34"/>
  <c r="G34" i="34"/>
  <c r="F34" i="34"/>
  <c r="K25" i="34"/>
  <c r="J25" i="34"/>
  <c r="I25" i="34"/>
  <c r="H25" i="34"/>
  <c r="G25" i="34"/>
  <c r="F23" i="34"/>
  <c r="E131" i="34" s="1"/>
  <c r="F22" i="34"/>
  <c r="E130" i="34" s="1"/>
  <c r="F21" i="34"/>
  <c r="E129" i="34" s="1"/>
  <c r="F20" i="34"/>
  <c r="E128" i="34" s="1"/>
  <c r="F19" i="34"/>
  <c r="E127" i="34" s="1"/>
  <c r="F18" i="34"/>
  <c r="E126" i="34" s="1"/>
  <c r="F17" i="34"/>
  <c r="E125" i="34" s="1"/>
  <c r="F16" i="34"/>
  <c r="E124" i="34" s="1"/>
  <c r="F15" i="34"/>
  <c r="E123" i="34" s="1"/>
  <c r="F14" i="34"/>
  <c r="E122" i="34" s="1"/>
  <c r="F13" i="34"/>
  <c r="E121" i="34" s="1"/>
  <c r="F12" i="34"/>
  <c r="E120" i="34" s="1"/>
  <c r="F11" i="34"/>
  <c r="E119" i="34" s="1"/>
  <c r="F10" i="34"/>
  <c r="E118" i="34" s="1"/>
  <c r="F9" i="34"/>
  <c r="E117" i="34" s="1"/>
  <c r="F8" i="34"/>
  <c r="E116" i="34" s="1"/>
  <c r="F7" i="34"/>
  <c r="E115" i="34" s="1"/>
  <c r="F6" i="34"/>
  <c r="E114" i="34" s="1"/>
  <c r="F5" i="34"/>
  <c r="E113" i="34" s="1"/>
  <c r="F4" i="34"/>
  <c r="F25" i="34" s="1"/>
  <c r="G27" i="31"/>
  <c r="F27" i="31"/>
  <c r="E27" i="31"/>
  <c r="D27" i="31"/>
  <c r="C27" i="31"/>
  <c r="B27" i="31"/>
  <c r="O14" i="31"/>
  <c r="N14" i="31"/>
  <c r="M14" i="31"/>
  <c r="L14" i="31"/>
  <c r="K14" i="31"/>
  <c r="J14" i="31"/>
  <c r="G14" i="31"/>
  <c r="F14" i="31"/>
  <c r="E14" i="31"/>
  <c r="D14" i="31"/>
  <c r="C14" i="31"/>
  <c r="B14" i="31"/>
  <c r="D24" i="30"/>
  <c r="D23" i="30"/>
  <c r="D22" i="30"/>
  <c r="D21" i="30"/>
  <c r="D20" i="30"/>
  <c r="D17" i="30"/>
  <c r="D16" i="30"/>
  <c r="D15" i="30"/>
  <c r="D14" i="30"/>
  <c r="D13" i="30"/>
  <c r="M42" i="29"/>
  <c r="L42" i="29"/>
  <c r="K42" i="29"/>
  <c r="J42" i="29"/>
  <c r="I42" i="29"/>
  <c r="F42" i="29"/>
  <c r="E42" i="29"/>
  <c r="D42" i="29"/>
  <c r="C42" i="29"/>
  <c r="B42" i="29"/>
  <c r="M41" i="29"/>
  <c r="L41" i="29"/>
  <c r="K41" i="29"/>
  <c r="J41" i="29"/>
  <c r="I41" i="29"/>
  <c r="F41" i="29"/>
  <c r="E41" i="29"/>
  <c r="D41" i="29"/>
  <c r="C41" i="29"/>
  <c r="B41" i="29"/>
  <c r="M40" i="29"/>
  <c r="L40" i="29"/>
  <c r="K40" i="29"/>
  <c r="J40" i="29"/>
  <c r="I40" i="29"/>
  <c r="F40" i="29"/>
  <c r="E40" i="29"/>
  <c r="D40" i="29"/>
  <c r="C40" i="29"/>
  <c r="B40" i="29"/>
  <c r="M39" i="29"/>
  <c r="L39" i="29"/>
  <c r="K39" i="29"/>
  <c r="J39" i="29"/>
  <c r="I39" i="29"/>
  <c r="F39" i="29"/>
  <c r="E39" i="29"/>
  <c r="D39" i="29"/>
  <c r="C39" i="29"/>
  <c r="B39" i="29"/>
  <c r="M38" i="29"/>
  <c r="L38" i="29"/>
  <c r="K38" i="29"/>
  <c r="J38" i="29"/>
  <c r="I38" i="29"/>
  <c r="F38" i="29"/>
  <c r="E38" i="29"/>
  <c r="D38" i="29"/>
  <c r="C38" i="29"/>
  <c r="B38" i="29"/>
  <c r="M37" i="29"/>
  <c r="L37" i="29"/>
  <c r="K37" i="29"/>
  <c r="J37" i="29"/>
  <c r="I37" i="29"/>
  <c r="F37" i="29"/>
  <c r="E37" i="29"/>
  <c r="D37" i="29"/>
  <c r="C37" i="29"/>
  <c r="B37" i="29"/>
  <c r="M36" i="29"/>
  <c r="L36" i="29"/>
  <c r="K36" i="29"/>
  <c r="J36" i="29"/>
  <c r="I36" i="29"/>
  <c r="F36" i="29"/>
  <c r="E36" i="29"/>
  <c r="D36" i="29"/>
  <c r="C36" i="29"/>
  <c r="B36" i="29"/>
  <c r="M35" i="29"/>
  <c r="M44" i="29" s="1"/>
  <c r="L35" i="29"/>
  <c r="K35" i="29"/>
  <c r="K44" i="29" s="1"/>
  <c r="J35" i="29"/>
  <c r="J44" i="29" s="1"/>
  <c r="I35" i="29"/>
  <c r="I44" i="29" s="1"/>
  <c r="F35" i="29"/>
  <c r="E35" i="29"/>
  <c r="E44" i="29" s="1"/>
  <c r="D35" i="29"/>
  <c r="C35" i="29"/>
  <c r="C44" i="29" s="1"/>
  <c r="B35" i="29"/>
  <c r="F29" i="29"/>
  <c r="E29" i="29"/>
  <c r="D29" i="29"/>
  <c r="C29" i="29"/>
  <c r="B29" i="29"/>
  <c r="M13" i="29"/>
  <c r="L13" i="29"/>
  <c r="K13" i="29"/>
  <c r="J13" i="29"/>
  <c r="I13" i="29"/>
  <c r="F13" i="29"/>
  <c r="E13" i="29"/>
  <c r="D13" i="29"/>
  <c r="C13" i="29"/>
  <c r="B13" i="29"/>
  <c r="G40" i="28"/>
  <c r="F40" i="28"/>
  <c r="E40" i="28"/>
  <c r="D40" i="28"/>
  <c r="C40" i="28"/>
  <c r="G39" i="28"/>
  <c r="F39" i="28"/>
  <c r="E39" i="28"/>
  <c r="D39" i="28"/>
  <c r="C39" i="28"/>
  <c r="G38" i="28"/>
  <c r="F38" i="28"/>
  <c r="E38" i="28"/>
  <c r="D38" i="28"/>
  <c r="C38" i="28"/>
  <c r="G37" i="28"/>
  <c r="F37" i="28"/>
  <c r="E37" i="28"/>
  <c r="D37" i="28"/>
  <c r="C37" i="28"/>
  <c r="G33" i="28"/>
  <c r="F33" i="28"/>
  <c r="E33" i="28"/>
  <c r="D33" i="28"/>
  <c r="C33" i="28"/>
  <c r="G32" i="28"/>
  <c r="F32" i="28"/>
  <c r="E32" i="28"/>
  <c r="D32" i="28"/>
  <c r="C32" i="28"/>
  <c r="G31" i="28"/>
  <c r="F31" i="28"/>
  <c r="E31" i="28"/>
  <c r="D31" i="28"/>
  <c r="C31" i="28"/>
  <c r="G30" i="28"/>
  <c r="F30" i="28"/>
  <c r="E30" i="28"/>
  <c r="D30" i="28"/>
  <c r="C30" i="28"/>
  <c r="G27" i="28"/>
  <c r="F27" i="28"/>
  <c r="E27" i="28"/>
  <c r="D27" i="28"/>
  <c r="C27" i="28"/>
  <c r="G26" i="28"/>
  <c r="F26" i="28"/>
  <c r="E26" i="28"/>
  <c r="D26" i="28"/>
  <c r="C26" i="28"/>
  <c r="G25" i="28"/>
  <c r="F25" i="28"/>
  <c r="E25" i="28"/>
  <c r="D25" i="28"/>
  <c r="C25" i="28"/>
  <c r="G24" i="28"/>
  <c r="F24" i="28"/>
  <c r="E24" i="28"/>
  <c r="D24" i="28"/>
  <c r="C24" i="28"/>
  <c r="G19" i="28"/>
  <c r="F19" i="28"/>
  <c r="E19" i="28"/>
  <c r="D19" i="28"/>
  <c r="C19" i="28"/>
  <c r="B19" i="28"/>
  <c r="G18" i="28"/>
  <c r="F18" i="28"/>
  <c r="E18" i="28"/>
  <c r="D18" i="28"/>
  <c r="C18" i="28"/>
  <c r="B18" i="28"/>
  <c r="G17" i="28"/>
  <c r="F17" i="28"/>
  <c r="E17" i="28"/>
  <c r="D17" i="28"/>
  <c r="C17" i="28"/>
  <c r="B17" i="28"/>
  <c r="G16" i="28"/>
  <c r="F16" i="28"/>
  <c r="E16" i="28"/>
  <c r="D16" i="28"/>
  <c r="C16" i="28"/>
  <c r="B16" i="28"/>
  <c r="G12" i="28"/>
  <c r="F12" i="28"/>
  <c r="E12" i="28"/>
  <c r="D12" i="28"/>
  <c r="C12" i="28"/>
  <c r="B12" i="28"/>
  <c r="G11" i="28"/>
  <c r="F11" i="28"/>
  <c r="E11" i="28"/>
  <c r="D11" i="28"/>
  <c r="C11" i="28"/>
  <c r="B11" i="28"/>
  <c r="G10" i="28"/>
  <c r="F10" i="28"/>
  <c r="E10" i="28"/>
  <c r="D10" i="28"/>
  <c r="C10" i="28"/>
  <c r="B10" i="28"/>
  <c r="G9" i="28"/>
  <c r="F9" i="28"/>
  <c r="E9" i="28"/>
  <c r="D9" i="28"/>
  <c r="C9" i="28"/>
  <c r="B9" i="28"/>
  <c r="G6" i="28"/>
  <c r="F6" i="28"/>
  <c r="E6" i="28"/>
  <c r="D6" i="28"/>
  <c r="C6" i="28"/>
  <c r="B6" i="28"/>
  <c r="G5" i="28"/>
  <c r="F5" i="28"/>
  <c r="E5" i="28"/>
  <c r="D5" i="28"/>
  <c r="C5" i="28"/>
  <c r="B5" i="28"/>
  <c r="G4" i="28"/>
  <c r="F4" i="28"/>
  <c r="E4" i="28"/>
  <c r="D4" i="28"/>
  <c r="C4" i="28"/>
  <c r="B4" i="28"/>
  <c r="G3" i="28"/>
  <c r="F3" i="28"/>
  <c r="E3" i="28"/>
  <c r="D3" i="28"/>
  <c r="C3" i="28"/>
  <c r="B3" i="28"/>
  <c r="O62" i="26"/>
  <c r="N45" i="26"/>
  <c r="M45" i="26"/>
  <c r="L45" i="26"/>
  <c r="K45" i="26"/>
  <c r="J45" i="26"/>
  <c r="F45" i="26"/>
  <c r="E45" i="26"/>
  <c r="D45" i="26"/>
  <c r="C45" i="26"/>
  <c r="B45" i="26"/>
  <c r="N44" i="26"/>
  <c r="M44" i="26"/>
  <c r="L44" i="26"/>
  <c r="K44" i="26"/>
  <c r="J44" i="26"/>
  <c r="F44" i="26"/>
  <c r="E44" i="26"/>
  <c r="D44" i="26"/>
  <c r="C44" i="26"/>
  <c r="B44" i="26"/>
  <c r="N43" i="26"/>
  <c r="M43" i="26"/>
  <c r="L43" i="26"/>
  <c r="K43" i="26"/>
  <c r="J43" i="26"/>
  <c r="F43" i="26"/>
  <c r="E43" i="26"/>
  <c r="D43" i="26"/>
  <c r="C43" i="26"/>
  <c r="B43" i="26"/>
  <c r="N42" i="26"/>
  <c r="M42" i="26"/>
  <c r="L42" i="26"/>
  <c r="K42" i="26"/>
  <c r="J42" i="26"/>
  <c r="F42" i="26"/>
  <c r="E42" i="26"/>
  <c r="D42" i="26"/>
  <c r="C42" i="26"/>
  <c r="B42" i="26"/>
  <c r="N41" i="26"/>
  <c r="M41" i="26"/>
  <c r="L41" i="26"/>
  <c r="K41" i="26"/>
  <c r="J41" i="26"/>
  <c r="F41" i="26"/>
  <c r="E41" i="26"/>
  <c r="D41" i="26"/>
  <c r="C41" i="26"/>
  <c r="B41" i="26"/>
  <c r="N40" i="26"/>
  <c r="M40" i="26"/>
  <c r="L40" i="26"/>
  <c r="K40" i="26"/>
  <c r="J40" i="26"/>
  <c r="F40" i="26"/>
  <c r="E40" i="26"/>
  <c r="D40" i="26"/>
  <c r="C40" i="26"/>
  <c r="B40" i="26"/>
  <c r="N39" i="26"/>
  <c r="M39" i="26"/>
  <c r="L39" i="26"/>
  <c r="K39" i="26"/>
  <c r="J39" i="26"/>
  <c r="F39" i="26"/>
  <c r="E39" i="26"/>
  <c r="D39" i="26"/>
  <c r="C39" i="26"/>
  <c r="B39" i="26"/>
  <c r="N38" i="26"/>
  <c r="N47" i="26" s="1"/>
  <c r="M38" i="26"/>
  <c r="L38" i="26"/>
  <c r="K38" i="26"/>
  <c r="J38" i="26"/>
  <c r="F38" i="26"/>
  <c r="E38" i="26"/>
  <c r="D38" i="26"/>
  <c r="D47" i="26" s="1"/>
  <c r="C38" i="26"/>
  <c r="C47" i="26" s="1"/>
  <c r="B38" i="26"/>
  <c r="N37" i="26"/>
  <c r="M37" i="26"/>
  <c r="L37" i="26"/>
  <c r="K37" i="26"/>
  <c r="J37" i="26"/>
  <c r="F37" i="26"/>
  <c r="E37" i="26"/>
  <c r="D37" i="26"/>
  <c r="C37" i="26"/>
  <c r="B37" i="26"/>
  <c r="N36" i="26"/>
  <c r="M36" i="26"/>
  <c r="M47" i="26" s="1"/>
  <c r="L36" i="26"/>
  <c r="K36" i="26"/>
  <c r="K47" i="26" s="1"/>
  <c r="J36" i="26"/>
  <c r="F36" i="26"/>
  <c r="F47" i="26" s="1"/>
  <c r="E36" i="26"/>
  <c r="D36" i="26"/>
  <c r="C36" i="26"/>
  <c r="B36" i="26"/>
  <c r="B47" i="26" s="1"/>
  <c r="F31" i="26"/>
  <c r="E31" i="26"/>
  <c r="D31" i="26"/>
  <c r="C31" i="26"/>
  <c r="B31" i="26"/>
  <c r="U15" i="26"/>
  <c r="T15" i="26"/>
  <c r="S15" i="26"/>
  <c r="R15" i="26"/>
  <c r="Q15" i="26"/>
  <c r="N15" i="26"/>
  <c r="M15" i="26"/>
  <c r="L15" i="26"/>
  <c r="K15" i="26"/>
  <c r="J15" i="26"/>
  <c r="F15" i="26"/>
  <c r="E15" i="26"/>
  <c r="D15" i="26"/>
  <c r="C15" i="26"/>
  <c r="B15" i="26"/>
  <c r="H117" i="25"/>
  <c r="G117" i="25"/>
  <c r="F117" i="25"/>
  <c r="E117" i="25"/>
  <c r="D117" i="25"/>
  <c r="C117" i="25"/>
  <c r="H116" i="25"/>
  <c r="G116" i="25"/>
  <c r="F116" i="25"/>
  <c r="E116" i="25"/>
  <c r="D116" i="25"/>
  <c r="C116" i="25"/>
  <c r="H115" i="25"/>
  <c r="G115" i="25"/>
  <c r="F115" i="25"/>
  <c r="E115" i="25"/>
  <c r="D115" i="25"/>
  <c r="C115" i="25"/>
  <c r="H114" i="25"/>
  <c r="G114" i="25"/>
  <c r="F114" i="25"/>
  <c r="E114" i="25"/>
  <c r="D114" i="25"/>
  <c r="C114" i="25"/>
  <c r="H113" i="25"/>
  <c r="G113" i="25"/>
  <c r="F113" i="25"/>
  <c r="E113" i="25"/>
  <c r="D113" i="25"/>
  <c r="C113" i="25"/>
  <c r="H112" i="25"/>
  <c r="G112" i="25"/>
  <c r="F112" i="25"/>
  <c r="E112" i="25"/>
  <c r="D112" i="25"/>
  <c r="C112" i="25"/>
  <c r="H111" i="25"/>
  <c r="G111" i="25"/>
  <c r="F111" i="25"/>
  <c r="E111" i="25"/>
  <c r="D111" i="25"/>
  <c r="C111" i="25"/>
  <c r="H110" i="25"/>
  <c r="G110" i="25"/>
  <c r="F110" i="25"/>
  <c r="E110" i="25"/>
  <c r="D110" i="25"/>
  <c r="C110" i="25"/>
  <c r="B110" i="25"/>
  <c r="H109" i="25"/>
  <c r="G109" i="25"/>
  <c r="F109" i="25"/>
  <c r="E109" i="25"/>
  <c r="D109" i="25"/>
  <c r="C109" i="25"/>
  <c r="H108" i="25"/>
  <c r="G108" i="25"/>
  <c r="F108" i="25"/>
  <c r="E108" i="25"/>
  <c r="D108" i="25"/>
  <c r="C108" i="25"/>
  <c r="H107" i="25"/>
  <c r="G107" i="25"/>
  <c r="F107" i="25"/>
  <c r="E107" i="25"/>
  <c r="D107" i="25"/>
  <c r="C107" i="25"/>
  <c r="H106" i="25"/>
  <c r="G106" i="25"/>
  <c r="F106" i="25"/>
  <c r="E106" i="25"/>
  <c r="D106" i="25"/>
  <c r="C106" i="25"/>
  <c r="H105" i="25"/>
  <c r="G105" i="25"/>
  <c r="F105" i="25"/>
  <c r="E105" i="25"/>
  <c r="D105" i="25"/>
  <c r="C105" i="25"/>
  <c r="H104" i="25"/>
  <c r="G104" i="25"/>
  <c r="F104" i="25"/>
  <c r="E104" i="25"/>
  <c r="D104" i="25"/>
  <c r="C104" i="25"/>
  <c r="H103" i="25"/>
  <c r="G103" i="25"/>
  <c r="F103" i="25"/>
  <c r="E103" i="25"/>
  <c r="D103" i="25"/>
  <c r="C103" i="25"/>
  <c r="H102" i="25"/>
  <c r="G102" i="25"/>
  <c r="F102" i="25"/>
  <c r="E102" i="25"/>
  <c r="D102" i="25"/>
  <c r="C102" i="25"/>
  <c r="B102" i="25"/>
  <c r="H101" i="25"/>
  <c r="G101" i="25"/>
  <c r="F101" i="25"/>
  <c r="E101" i="25"/>
  <c r="D101" i="25"/>
  <c r="C101" i="25"/>
  <c r="H100" i="25"/>
  <c r="G100" i="25"/>
  <c r="F100" i="25"/>
  <c r="E100" i="25"/>
  <c r="D100" i="25"/>
  <c r="C100" i="25"/>
  <c r="H99" i="25"/>
  <c r="G99" i="25"/>
  <c r="F99" i="25"/>
  <c r="E99" i="25"/>
  <c r="D99" i="25"/>
  <c r="C99" i="25"/>
  <c r="H98" i="25"/>
  <c r="G98" i="25"/>
  <c r="F98" i="25"/>
  <c r="E98" i="25"/>
  <c r="D98" i="25"/>
  <c r="C98" i="25"/>
  <c r="H97" i="25"/>
  <c r="G97" i="25"/>
  <c r="F97" i="25"/>
  <c r="E97" i="25"/>
  <c r="D97" i="25"/>
  <c r="C97" i="25"/>
  <c r="H96" i="25"/>
  <c r="G96" i="25"/>
  <c r="F96" i="25"/>
  <c r="E96" i="25"/>
  <c r="D96" i="25"/>
  <c r="C96" i="25"/>
  <c r="H95" i="25"/>
  <c r="G95" i="25"/>
  <c r="F95" i="25"/>
  <c r="E95" i="25"/>
  <c r="D95" i="25"/>
  <c r="C95" i="25"/>
  <c r="H94" i="25"/>
  <c r="G94" i="25"/>
  <c r="F94" i="25"/>
  <c r="E94" i="25"/>
  <c r="D94" i="25"/>
  <c r="C94" i="25"/>
  <c r="B94" i="25"/>
  <c r="H93" i="25"/>
  <c r="G93" i="25"/>
  <c r="G118" i="25" s="1"/>
  <c r="F93" i="25"/>
  <c r="F118" i="25" s="1"/>
  <c r="E93" i="25"/>
  <c r="D93" i="25"/>
  <c r="C93" i="25"/>
  <c r="H88" i="25"/>
  <c r="G88" i="25"/>
  <c r="F88" i="25"/>
  <c r="E88" i="25"/>
  <c r="D88" i="25"/>
  <c r="C88" i="25"/>
  <c r="H87" i="25"/>
  <c r="G87" i="25"/>
  <c r="F87" i="25"/>
  <c r="E87" i="25"/>
  <c r="D87" i="25"/>
  <c r="C87" i="25"/>
  <c r="H86" i="25"/>
  <c r="G86" i="25"/>
  <c r="F86" i="25"/>
  <c r="E86" i="25"/>
  <c r="D86" i="25"/>
  <c r="C86" i="25"/>
  <c r="H85" i="25"/>
  <c r="G85" i="25"/>
  <c r="F85" i="25"/>
  <c r="E85" i="25"/>
  <c r="D85" i="25"/>
  <c r="C85" i="25"/>
  <c r="H84" i="25"/>
  <c r="G84" i="25"/>
  <c r="F84" i="25"/>
  <c r="E84" i="25"/>
  <c r="D84" i="25"/>
  <c r="C84" i="25"/>
  <c r="H83" i="25"/>
  <c r="G83" i="25"/>
  <c r="F83" i="25"/>
  <c r="E83" i="25"/>
  <c r="D83" i="25"/>
  <c r="C83" i="25"/>
  <c r="H82" i="25"/>
  <c r="G82" i="25"/>
  <c r="F82" i="25"/>
  <c r="E82" i="25"/>
  <c r="D82" i="25"/>
  <c r="C82" i="25"/>
  <c r="H81" i="25"/>
  <c r="G81" i="25"/>
  <c r="F81" i="25"/>
  <c r="E81" i="25"/>
  <c r="D81" i="25"/>
  <c r="C81" i="25"/>
  <c r="H80" i="25"/>
  <c r="G80" i="25"/>
  <c r="F80" i="25"/>
  <c r="E80" i="25"/>
  <c r="D80" i="25"/>
  <c r="C80" i="25"/>
  <c r="H79" i="25"/>
  <c r="G79" i="25"/>
  <c r="F79" i="25"/>
  <c r="E79" i="25"/>
  <c r="D79" i="25"/>
  <c r="C79" i="25"/>
  <c r="H78" i="25"/>
  <c r="G78" i="25"/>
  <c r="F78" i="25"/>
  <c r="E78" i="25"/>
  <c r="D78" i="25"/>
  <c r="C78" i="25"/>
  <c r="H77" i="25"/>
  <c r="G77" i="25"/>
  <c r="F77" i="25"/>
  <c r="E77" i="25"/>
  <c r="D77" i="25"/>
  <c r="C77" i="25"/>
  <c r="H76" i="25"/>
  <c r="G76" i="25"/>
  <c r="F76" i="25"/>
  <c r="E76" i="25"/>
  <c r="D76" i="25"/>
  <c r="C76" i="25"/>
  <c r="H75" i="25"/>
  <c r="G75" i="25"/>
  <c r="F75" i="25"/>
  <c r="E75" i="25"/>
  <c r="D75" i="25"/>
  <c r="C75" i="25"/>
  <c r="H74" i="25"/>
  <c r="G74" i="25"/>
  <c r="F74" i="25"/>
  <c r="E74" i="25"/>
  <c r="D74" i="25"/>
  <c r="C74" i="25"/>
  <c r="H73" i="25"/>
  <c r="G73" i="25"/>
  <c r="F73" i="25"/>
  <c r="E73" i="25"/>
  <c r="D73" i="25"/>
  <c r="C73" i="25"/>
  <c r="H72" i="25"/>
  <c r="G72" i="25"/>
  <c r="F72" i="25"/>
  <c r="E72" i="25"/>
  <c r="D72" i="25"/>
  <c r="C72" i="25"/>
  <c r="H71" i="25"/>
  <c r="G71" i="25"/>
  <c r="F71" i="25"/>
  <c r="E71" i="25"/>
  <c r="D71" i="25"/>
  <c r="C71" i="25"/>
  <c r="H70" i="25"/>
  <c r="G70" i="25"/>
  <c r="F70" i="25"/>
  <c r="E70" i="25"/>
  <c r="D70" i="25"/>
  <c r="C70" i="25"/>
  <c r="H69" i="25"/>
  <c r="G69" i="25"/>
  <c r="F69" i="25"/>
  <c r="E69" i="25"/>
  <c r="D69" i="25"/>
  <c r="C69" i="25"/>
  <c r="H68" i="25"/>
  <c r="G68" i="25"/>
  <c r="F68" i="25"/>
  <c r="E68" i="25"/>
  <c r="D68" i="25"/>
  <c r="C68" i="25"/>
  <c r="H67" i="25"/>
  <c r="G67" i="25"/>
  <c r="F67" i="25"/>
  <c r="E67" i="25"/>
  <c r="D67" i="25"/>
  <c r="C67" i="25"/>
  <c r="H66" i="25"/>
  <c r="G66" i="25"/>
  <c r="F66" i="25"/>
  <c r="E66" i="25"/>
  <c r="D66" i="25"/>
  <c r="C66" i="25"/>
  <c r="H65" i="25"/>
  <c r="H89" i="25" s="1"/>
  <c r="G65" i="25"/>
  <c r="F65" i="25"/>
  <c r="E65" i="25"/>
  <c r="D65" i="25"/>
  <c r="C65" i="25"/>
  <c r="H64" i="25"/>
  <c r="G64" i="25"/>
  <c r="F64" i="25"/>
  <c r="E64" i="25"/>
  <c r="D64" i="25"/>
  <c r="D89" i="25" s="1"/>
  <c r="C64" i="25"/>
  <c r="C89" i="25" s="1"/>
  <c r="H56" i="25"/>
  <c r="G56" i="25"/>
  <c r="F56" i="25"/>
  <c r="E56" i="25"/>
  <c r="D56" i="25"/>
  <c r="C56" i="25"/>
  <c r="H55" i="25"/>
  <c r="G55" i="25"/>
  <c r="F55" i="25"/>
  <c r="E55" i="25"/>
  <c r="D55" i="25"/>
  <c r="C55" i="25"/>
  <c r="B55" i="25"/>
  <c r="H54" i="25"/>
  <c r="G54" i="25"/>
  <c r="F54" i="25"/>
  <c r="E54" i="25"/>
  <c r="D54" i="25"/>
  <c r="C54" i="25"/>
  <c r="H53" i="25"/>
  <c r="G53" i="25"/>
  <c r="F53" i="25"/>
  <c r="E53" i="25"/>
  <c r="D53" i="25"/>
  <c r="C53" i="25"/>
  <c r="B53" i="25"/>
  <c r="H52" i="25"/>
  <c r="G52" i="25"/>
  <c r="F52" i="25"/>
  <c r="E52" i="25"/>
  <c r="D52" i="25"/>
  <c r="C52" i="25"/>
  <c r="H51" i="25"/>
  <c r="G51" i="25"/>
  <c r="F51" i="25"/>
  <c r="E51" i="25"/>
  <c r="D51" i="25"/>
  <c r="C51" i="25"/>
  <c r="H50" i="25"/>
  <c r="G50" i="25"/>
  <c r="F50" i="25"/>
  <c r="E50" i="25"/>
  <c r="D50" i="25"/>
  <c r="C50" i="25"/>
  <c r="H49" i="25"/>
  <c r="G49" i="25"/>
  <c r="F49" i="25"/>
  <c r="E49" i="25"/>
  <c r="D49" i="25"/>
  <c r="C49" i="25"/>
  <c r="H48" i="25"/>
  <c r="G48" i="25"/>
  <c r="F48" i="25"/>
  <c r="E48" i="25"/>
  <c r="D48" i="25"/>
  <c r="C48" i="25"/>
  <c r="H47" i="25"/>
  <c r="G47" i="25"/>
  <c r="F47" i="25"/>
  <c r="E47" i="25"/>
  <c r="D47" i="25"/>
  <c r="C47" i="25"/>
  <c r="B47" i="25"/>
  <c r="H46" i="25"/>
  <c r="G46" i="25"/>
  <c r="F46" i="25"/>
  <c r="E46" i="25"/>
  <c r="D46" i="25"/>
  <c r="C46" i="25"/>
  <c r="H45" i="25"/>
  <c r="G45" i="25"/>
  <c r="F45" i="25"/>
  <c r="E45" i="25"/>
  <c r="D45" i="25"/>
  <c r="C45" i="25"/>
  <c r="B45" i="25"/>
  <c r="H44" i="25"/>
  <c r="G44" i="25"/>
  <c r="F44" i="25"/>
  <c r="E44" i="25"/>
  <c r="D44" i="25"/>
  <c r="C44" i="25"/>
  <c r="H43" i="25"/>
  <c r="G43" i="25"/>
  <c r="F43" i="25"/>
  <c r="E43" i="25"/>
  <c r="D43" i="25"/>
  <c r="C43" i="25"/>
  <c r="H42" i="25"/>
  <c r="G42" i="25"/>
  <c r="F42" i="25"/>
  <c r="E42" i="25"/>
  <c r="D42" i="25"/>
  <c r="C42" i="25"/>
  <c r="H41" i="25"/>
  <c r="G41" i="25"/>
  <c r="F41" i="25"/>
  <c r="E41" i="25"/>
  <c r="D41" i="25"/>
  <c r="C41" i="25"/>
  <c r="H40" i="25"/>
  <c r="G40" i="25"/>
  <c r="F40" i="25"/>
  <c r="E40" i="25"/>
  <c r="D40" i="25"/>
  <c r="C40" i="25"/>
  <c r="H39" i="25"/>
  <c r="G39" i="25"/>
  <c r="F39" i="25"/>
  <c r="E39" i="25"/>
  <c r="D39" i="25"/>
  <c r="C39" i="25"/>
  <c r="B39" i="25"/>
  <c r="H38" i="25"/>
  <c r="G38" i="25"/>
  <c r="F38" i="25"/>
  <c r="E38" i="25"/>
  <c r="D38" i="25"/>
  <c r="C38" i="25"/>
  <c r="H37" i="25"/>
  <c r="G37" i="25"/>
  <c r="F37" i="25"/>
  <c r="E37" i="25"/>
  <c r="D37" i="25"/>
  <c r="C37" i="25"/>
  <c r="B37" i="25"/>
  <c r="H36" i="25"/>
  <c r="G36" i="25"/>
  <c r="F36" i="25"/>
  <c r="E36" i="25"/>
  <c r="D36" i="25"/>
  <c r="C36" i="25"/>
  <c r="H35" i="25"/>
  <c r="G35" i="25"/>
  <c r="F35" i="25"/>
  <c r="E35" i="25"/>
  <c r="D35" i="25"/>
  <c r="C35" i="25"/>
  <c r="H34" i="25"/>
  <c r="G34" i="25"/>
  <c r="F34" i="25"/>
  <c r="E34" i="25"/>
  <c r="D34" i="25"/>
  <c r="C34" i="25"/>
  <c r="H33" i="25"/>
  <c r="G33" i="25"/>
  <c r="F33" i="25"/>
  <c r="F57" i="25" s="1"/>
  <c r="E33" i="25"/>
  <c r="D33" i="25"/>
  <c r="D57" i="25" s="1"/>
  <c r="C33" i="25"/>
  <c r="H32" i="25"/>
  <c r="G32" i="25"/>
  <c r="F32" i="25"/>
  <c r="E32" i="25"/>
  <c r="D32" i="25"/>
  <c r="C32" i="25"/>
  <c r="H27" i="25"/>
  <c r="G27" i="25"/>
  <c r="F27" i="25"/>
  <c r="E27" i="25"/>
  <c r="D27" i="25"/>
  <c r="C27" i="25"/>
  <c r="H26" i="25"/>
  <c r="G26" i="25"/>
  <c r="F26" i="25"/>
  <c r="E26" i="25"/>
  <c r="D26" i="25"/>
  <c r="C26" i="25"/>
  <c r="B26" i="25"/>
  <c r="H25" i="25"/>
  <c r="G25" i="25"/>
  <c r="F25" i="25"/>
  <c r="E25" i="25"/>
  <c r="D25" i="25"/>
  <c r="C25" i="25"/>
  <c r="H24" i="25"/>
  <c r="G24" i="25"/>
  <c r="F24" i="25"/>
  <c r="E24" i="25"/>
  <c r="D24" i="25"/>
  <c r="C24" i="25"/>
  <c r="H23" i="25"/>
  <c r="G23" i="25"/>
  <c r="F23" i="25"/>
  <c r="E23" i="25"/>
  <c r="D23" i="25"/>
  <c r="C23" i="25"/>
  <c r="H22" i="25"/>
  <c r="G22" i="25"/>
  <c r="F22" i="25"/>
  <c r="E22" i="25"/>
  <c r="D22" i="25"/>
  <c r="C22" i="25"/>
  <c r="H21" i="25"/>
  <c r="G21" i="25"/>
  <c r="F21" i="25"/>
  <c r="E21" i="25"/>
  <c r="D21" i="25"/>
  <c r="C21" i="25"/>
  <c r="H20" i="25"/>
  <c r="G20" i="25"/>
  <c r="F20" i="25"/>
  <c r="E20" i="25"/>
  <c r="D20" i="25"/>
  <c r="C20" i="25"/>
  <c r="H19" i="25"/>
  <c r="G19" i="25"/>
  <c r="F19" i="25"/>
  <c r="E19" i="25"/>
  <c r="D19" i="25"/>
  <c r="C19" i="25"/>
  <c r="H18" i="25"/>
  <c r="G18" i="25"/>
  <c r="F18" i="25"/>
  <c r="E18" i="25"/>
  <c r="D18" i="25"/>
  <c r="C18" i="25"/>
  <c r="B18" i="25"/>
  <c r="H17" i="25"/>
  <c r="G17" i="25"/>
  <c r="F17" i="25"/>
  <c r="E17" i="25"/>
  <c r="D17" i="25"/>
  <c r="C17" i="25"/>
  <c r="H16" i="25"/>
  <c r="G16" i="25"/>
  <c r="F16" i="25"/>
  <c r="E16" i="25"/>
  <c r="D16" i="25"/>
  <c r="C16" i="25"/>
  <c r="H15" i="25"/>
  <c r="G15" i="25"/>
  <c r="F15" i="25"/>
  <c r="E15" i="25"/>
  <c r="D15" i="25"/>
  <c r="C15" i="25"/>
  <c r="H14" i="25"/>
  <c r="G14" i="25"/>
  <c r="F14" i="25"/>
  <c r="E14" i="25"/>
  <c r="D14" i="25"/>
  <c r="C14" i="25"/>
  <c r="H13" i="25"/>
  <c r="G13" i="25"/>
  <c r="F13" i="25"/>
  <c r="E13" i="25"/>
  <c r="D13" i="25"/>
  <c r="C13" i="25"/>
  <c r="H12" i="25"/>
  <c r="G12" i="25"/>
  <c r="F12" i="25"/>
  <c r="E12" i="25"/>
  <c r="D12" i="25"/>
  <c r="C12" i="25"/>
  <c r="H11" i="25"/>
  <c r="G11" i="25"/>
  <c r="F11" i="25"/>
  <c r="E11" i="25"/>
  <c r="D11" i="25"/>
  <c r="C11" i="25"/>
  <c r="H10" i="25"/>
  <c r="G10" i="25"/>
  <c r="F10" i="25"/>
  <c r="E10" i="25"/>
  <c r="D10" i="25"/>
  <c r="C10" i="25"/>
  <c r="H9" i="25"/>
  <c r="G9" i="25"/>
  <c r="F9" i="25"/>
  <c r="E9" i="25"/>
  <c r="D9" i="25"/>
  <c r="C9" i="25"/>
  <c r="H8" i="25"/>
  <c r="G8" i="25"/>
  <c r="F8" i="25"/>
  <c r="E8" i="25"/>
  <c r="D8" i="25"/>
  <c r="C8" i="25"/>
  <c r="H7" i="25"/>
  <c r="G7" i="25"/>
  <c r="F7" i="25"/>
  <c r="E7" i="25"/>
  <c r="D7" i="25"/>
  <c r="C7" i="25"/>
  <c r="H6" i="25"/>
  <c r="G6" i="25"/>
  <c r="F6" i="25"/>
  <c r="E6" i="25"/>
  <c r="D6" i="25"/>
  <c r="D28" i="25" s="1"/>
  <c r="C6" i="25"/>
  <c r="H5" i="25"/>
  <c r="G5" i="25"/>
  <c r="F5" i="25"/>
  <c r="E5" i="25"/>
  <c r="D5" i="25"/>
  <c r="C5" i="25"/>
  <c r="H4" i="25"/>
  <c r="G4" i="25"/>
  <c r="F4" i="25"/>
  <c r="E4" i="25"/>
  <c r="D4" i="25"/>
  <c r="C4" i="25"/>
  <c r="H3" i="25"/>
  <c r="G3" i="25"/>
  <c r="G28" i="25" s="1"/>
  <c r="F3" i="25"/>
  <c r="E3" i="25"/>
  <c r="D3" i="25"/>
  <c r="C3" i="25"/>
  <c r="N55" i="24"/>
  <c r="N51" i="24"/>
  <c r="Q47" i="24"/>
  <c r="P47" i="24"/>
  <c r="O47" i="24"/>
  <c r="N47" i="24"/>
  <c r="R47" i="24" s="1"/>
  <c r="M47" i="24"/>
  <c r="Q46" i="24"/>
  <c r="O46" i="24"/>
  <c r="N46" i="24"/>
  <c r="M46" i="24"/>
  <c r="R45" i="24"/>
  <c r="P45" i="24"/>
  <c r="N45" i="24"/>
  <c r="M45" i="24"/>
  <c r="Q45" i="24" s="1"/>
  <c r="N53" i="24" s="1"/>
  <c r="R44" i="24"/>
  <c r="P44" i="24"/>
  <c r="N44" i="24"/>
  <c r="M44" i="24"/>
  <c r="Q44" i="24" s="1"/>
  <c r="N52" i="24" s="1"/>
  <c r="Q43" i="24"/>
  <c r="O43" i="24"/>
  <c r="N43" i="24"/>
  <c r="R43" i="24" s="1"/>
  <c r="M43" i="24"/>
  <c r="Q42" i="24"/>
  <c r="O42" i="24"/>
  <c r="N42" i="24"/>
  <c r="M42" i="24"/>
  <c r="D22" i="24"/>
  <c r="D21" i="24"/>
  <c r="D20" i="24"/>
  <c r="D19" i="24"/>
  <c r="D18" i="24"/>
  <c r="D17" i="24"/>
  <c r="D16" i="24"/>
  <c r="T116" i="23"/>
  <c r="R116" i="23"/>
  <c r="K116" i="23"/>
  <c r="M116" i="23" s="1"/>
  <c r="F116" i="23"/>
  <c r="D116" i="23"/>
  <c r="T115" i="23"/>
  <c r="R115" i="23"/>
  <c r="M115" i="23"/>
  <c r="K115" i="23"/>
  <c r="D115" i="23"/>
  <c r="F115" i="23" s="1"/>
  <c r="T114" i="23"/>
  <c r="R114" i="23"/>
  <c r="M114" i="23"/>
  <c r="K114" i="23"/>
  <c r="F114" i="23"/>
  <c r="D114" i="23"/>
  <c r="R113" i="23"/>
  <c r="T113" i="23" s="1"/>
  <c r="M113" i="23"/>
  <c r="K113" i="23"/>
  <c r="F113" i="23"/>
  <c r="D113" i="23"/>
  <c r="T112" i="23"/>
  <c r="R112" i="23"/>
  <c r="K112" i="23"/>
  <c r="M112" i="23" s="1"/>
  <c r="F112" i="23"/>
  <c r="D112" i="23"/>
  <c r="T111" i="23"/>
  <c r="R111" i="23"/>
  <c r="M111" i="23"/>
  <c r="K111" i="23"/>
  <c r="D111" i="23"/>
  <c r="F111" i="23" s="1"/>
  <c r="T110" i="23"/>
  <c r="R110" i="23"/>
  <c r="M110" i="23"/>
  <c r="K110" i="23"/>
  <c r="F110" i="23"/>
  <c r="D110" i="23"/>
  <c r="R109" i="23"/>
  <c r="T109" i="23" s="1"/>
  <c r="M109" i="23"/>
  <c r="K109" i="23"/>
  <c r="F109" i="23"/>
  <c r="D109" i="23"/>
  <c r="T108" i="23"/>
  <c r="R108" i="23"/>
  <c r="K108" i="23"/>
  <c r="M108" i="23" s="1"/>
  <c r="F108" i="23"/>
  <c r="D108" i="23"/>
  <c r="T107" i="23"/>
  <c r="R107" i="23"/>
  <c r="M107" i="23"/>
  <c r="K107" i="23"/>
  <c r="D107" i="23"/>
  <c r="F107" i="23" s="1"/>
  <c r="T106" i="23"/>
  <c r="R106" i="23"/>
  <c r="M106" i="23"/>
  <c r="K106" i="23"/>
  <c r="F106" i="23"/>
  <c r="D106" i="23"/>
  <c r="R105" i="23"/>
  <c r="T105" i="23" s="1"/>
  <c r="M105" i="23"/>
  <c r="K105" i="23"/>
  <c r="F105" i="23"/>
  <c r="D105" i="23"/>
  <c r="T104" i="23"/>
  <c r="R104" i="23"/>
  <c r="K104" i="23"/>
  <c r="M104" i="23" s="1"/>
  <c r="F104" i="23"/>
  <c r="D104" i="23"/>
  <c r="T103" i="23"/>
  <c r="R103" i="23"/>
  <c r="M103" i="23"/>
  <c r="K103" i="23"/>
  <c r="D103" i="23"/>
  <c r="F103" i="23" s="1"/>
  <c r="T102" i="23"/>
  <c r="R102" i="23"/>
  <c r="M102" i="23"/>
  <c r="K102" i="23"/>
  <c r="F102" i="23"/>
  <c r="D102" i="23"/>
  <c r="R101" i="23"/>
  <c r="T101" i="23" s="1"/>
  <c r="M101" i="23"/>
  <c r="K101" i="23"/>
  <c r="F101" i="23"/>
  <c r="D101" i="23"/>
  <c r="T100" i="23"/>
  <c r="R100" i="23"/>
  <c r="K100" i="23"/>
  <c r="M100" i="23" s="1"/>
  <c r="F100" i="23"/>
  <c r="D100" i="23"/>
  <c r="T99" i="23"/>
  <c r="R99" i="23"/>
  <c r="M99" i="23"/>
  <c r="K99" i="23"/>
  <c r="D99" i="23"/>
  <c r="F99" i="23" s="1"/>
  <c r="T98" i="23"/>
  <c r="R98" i="23"/>
  <c r="M98" i="23"/>
  <c r="K98" i="23"/>
  <c r="F98" i="23"/>
  <c r="D98" i="23"/>
  <c r="R97" i="23"/>
  <c r="T97" i="23" s="1"/>
  <c r="M97" i="23"/>
  <c r="K97" i="23"/>
  <c r="F97" i="23"/>
  <c r="D97" i="23"/>
  <c r="T96" i="23"/>
  <c r="R96" i="23"/>
  <c r="K96" i="23"/>
  <c r="M96" i="23" s="1"/>
  <c r="F96" i="23"/>
  <c r="D96" i="23"/>
  <c r="T95" i="23"/>
  <c r="R95" i="23"/>
  <c r="M95" i="23"/>
  <c r="K95" i="23"/>
  <c r="D95" i="23"/>
  <c r="F95" i="23" s="1"/>
  <c r="T94" i="23"/>
  <c r="R94" i="23"/>
  <c r="M94" i="23"/>
  <c r="K94" i="23"/>
  <c r="F94" i="23"/>
  <c r="D94" i="23"/>
  <c r="R93" i="23"/>
  <c r="T93" i="23" s="1"/>
  <c r="M93" i="23"/>
  <c r="M118" i="23" s="1"/>
  <c r="K93" i="23"/>
  <c r="F93" i="23"/>
  <c r="D93" i="23"/>
  <c r="T92" i="23"/>
  <c r="T118" i="23" s="1"/>
  <c r="R92" i="23"/>
  <c r="K92" i="23"/>
  <c r="M92" i="23" s="1"/>
  <c r="F92" i="23"/>
  <c r="D92" i="23"/>
  <c r="T87" i="23"/>
  <c r="R87" i="23"/>
  <c r="K87" i="23"/>
  <c r="M87" i="23" s="1"/>
  <c r="D87" i="23"/>
  <c r="F87" i="23" s="1"/>
  <c r="R86" i="23"/>
  <c r="T86" i="23" s="1"/>
  <c r="M86" i="23"/>
  <c r="K86" i="23"/>
  <c r="D86" i="23"/>
  <c r="F86" i="23" s="1"/>
  <c r="R85" i="23"/>
  <c r="T85" i="23" s="1"/>
  <c r="K85" i="23"/>
  <c r="M85" i="23" s="1"/>
  <c r="F85" i="23"/>
  <c r="D85" i="23"/>
  <c r="R84" i="23"/>
  <c r="T84" i="23" s="1"/>
  <c r="K84" i="23"/>
  <c r="M84" i="23" s="1"/>
  <c r="D84" i="23"/>
  <c r="F84" i="23" s="1"/>
  <c r="T83" i="23"/>
  <c r="R83" i="23"/>
  <c r="K83" i="23"/>
  <c r="M83" i="23" s="1"/>
  <c r="D83" i="23"/>
  <c r="F83" i="23" s="1"/>
  <c r="R82" i="23"/>
  <c r="T82" i="23" s="1"/>
  <c r="M82" i="23"/>
  <c r="K82" i="23"/>
  <c r="D82" i="23"/>
  <c r="F82" i="23" s="1"/>
  <c r="R81" i="23"/>
  <c r="T81" i="23" s="1"/>
  <c r="K81" i="23"/>
  <c r="M81" i="23" s="1"/>
  <c r="F81" i="23"/>
  <c r="D81" i="23"/>
  <c r="R80" i="23"/>
  <c r="T80" i="23" s="1"/>
  <c r="K80" i="23"/>
  <c r="M80" i="23" s="1"/>
  <c r="D80" i="23"/>
  <c r="F80" i="23" s="1"/>
  <c r="T79" i="23"/>
  <c r="R79" i="23"/>
  <c r="K79" i="23"/>
  <c r="M79" i="23" s="1"/>
  <c r="D79" i="23"/>
  <c r="F79" i="23" s="1"/>
  <c r="R78" i="23"/>
  <c r="T78" i="23" s="1"/>
  <c r="M78" i="23"/>
  <c r="K78" i="23"/>
  <c r="D78" i="23"/>
  <c r="F78" i="23" s="1"/>
  <c r="R77" i="23"/>
  <c r="T77" i="23" s="1"/>
  <c r="K77" i="23"/>
  <c r="M77" i="23" s="1"/>
  <c r="F77" i="23"/>
  <c r="D77" i="23"/>
  <c r="R76" i="23"/>
  <c r="T76" i="23" s="1"/>
  <c r="K76" i="23"/>
  <c r="M76" i="23" s="1"/>
  <c r="D76" i="23"/>
  <c r="F76" i="23" s="1"/>
  <c r="T75" i="23"/>
  <c r="R75" i="23"/>
  <c r="K75" i="23"/>
  <c r="M75" i="23" s="1"/>
  <c r="D75" i="23"/>
  <c r="F75" i="23" s="1"/>
  <c r="R74" i="23"/>
  <c r="T74" i="23" s="1"/>
  <c r="M74" i="23"/>
  <c r="K74" i="23"/>
  <c r="D74" i="23"/>
  <c r="F74" i="23" s="1"/>
  <c r="R73" i="23"/>
  <c r="T73" i="23" s="1"/>
  <c r="K73" i="23"/>
  <c r="M73" i="23" s="1"/>
  <c r="F73" i="23"/>
  <c r="D73" i="23"/>
  <c r="R72" i="23"/>
  <c r="T72" i="23" s="1"/>
  <c r="K72" i="23"/>
  <c r="M72" i="23" s="1"/>
  <c r="D72" i="23"/>
  <c r="F72" i="23" s="1"/>
  <c r="T71" i="23"/>
  <c r="R71" i="23"/>
  <c r="K71" i="23"/>
  <c r="M71" i="23" s="1"/>
  <c r="D71" i="23"/>
  <c r="F71" i="23" s="1"/>
  <c r="R70" i="23"/>
  <c r="T70" i="23" s="1"/>
  <c r="M70" i="23"/>
  <c r="K70" i="23"/>
  <c r="D70" i="23"/>
  <c r="F70" i="23" s="1"/>
  <c r="R69" i="23"/>
  <c r="T69" i="23" s="1"/>
  <c r="K69" i="23"/>
  <c r="M69" i="23" s="1"/>
  <c r="F69" i="23"/>
  <c r="D69" i="23"/>
  <c r="R68" i="23"/>
  <c r="T68" i="23" s="1"/>
  <c r="K68" i="23"/>
  <c r="M68" i="23" s="1"/>
  <c r="D68" i="23"/>
  <c r="F68" i="23" s="1"/>
  <c r="T67" i="23"/>
  <c r="R67" i="23"/>
  <c r="K67" i="23"/>
  <c r="M67" i="23" s="1"/>
  <c r="D67" i="23"/>
  <c r="F67" i="23" s="1"/>
  <c r="R66" i="23"/>
  <c r="T66" i="23" s="1"/>
  <c r="M66" i="23"/>
  <c r="K66" i="23"/>
  <c r="D66" i="23"/>
  <c r="F66" i="23" s="1"/>
  <c r="R65" i="23"/>
  <c r="T65" i="23" s="1"/>
  <c r="K65" i="23"/>
  <c r="M65" i="23" s="1"/>
  <c r="F65" i="23"/>
  <c r="D65" i="23"/>
  <c r="R64" i="23"/>
  <c r="T64" i="23" s="1"/>
  <c r="T89" i="23" s="1"/>
  <c r="K64" i="23"/>
  <c r="M64" i="23" s="1"/>
  <c r="D64" i="23"/>
  <c r="F64" i="23" s="1"/>
  <c r="T63" i="23"/>
  <c r="R63" i="23"/>
  <c r="K63" i="23"/>
  <c r="M63" i="23" s="1"/>
  <c r="D63" i="23"/>
  <c r="F63" i="23" s="1"/>
  <c r="Y57" i="23"/>
  <c r="AA57" i="23" s="1"/>
  <c r="R57" i="23"/>
  <c r="T57" i="23" s="1"/>
  <c r="K57" i="23"/>
  <c r="M57" i="23" s="1"/>
  <c r="F57" i="23"/>
  <c r="B56" i="25" s="1"/>
  <c r="D57" i="23"/>
  <c r="Y56" i="23"/>
  <c r="AA56" i="23" s="1"/>
  <c r="R56" i="23"/>
  <c r="T56" i="23" s="1"/>
  <c r="K56" i="23"/>
  <c r="M56" i="23" s="1"/>
  <c r="F56" i="23"/>
  <c r="B116" i="25" s="1"/>
  <c r="D56" i="23"/>
  <c r="Y55" i="23"/>
  <c r="AA55" i="23" s="1"/>
  <c r="R55" i="23"/>
  <c r="T55" i="23" s="1"/>
  <c r="K55" i="23"/>
  <c r="M55" i="23" s="1"/>
  <c r="F55" i="23"/>
  <c r="B54" i="25" s="1"/>
  <c r="D55" i="23"/>
  <c r="Y54" i="23"/>
  <c r="AA54" i="23" s="1"/>
  <c r="R54" i="23"/>
  <c r="T54" i="23" s="1"/>
  <c r="K54" i="23"/>
  <c r="M54" i="23" s="1"/>
  <c r="F54" i="23"/>
  <c r="B114" i="25" s="1"/>
  <c r="D54" i="23"/>
  <c r="Y53" i="23"/>
  <c r="AA53" i="23" s="1"/>
  <c r="R53" i="23"/>
  <c r="T53" i="23" s="1"/>
  <c r="K53" i="23"/>
  <c r="M53" i="23" s="1"/>
  <c r="F53" i="23"/>
  <c r="B113" i="25" s="1"/>
  <c r="D53" i="23"/>
  <c r="Y52" i="23"/>
  <c r="AA52" i="23" s="1"/>
  <c r="R52" i="23"/>
  <c r="T52" i="23" s="1"/>
  <c r="K52" i="23"/>
  <c r="M52" i="23" s="1"/>
  <c r="F52" i="23"/>
  <c r="B112" i="25" s="1"/>
  <c r="D52" i="23"/>
  <c r="Y51" i="23"/>
  <c r="AA51" i="23" s="1"/>
  <c r="R51" i="23"/>
  <c r="T51" i="23" s="1"/>
  <c r="K51" i="23"/>
  <c r="M51" i="23" s="1"/>
  <c r="F51" i="23"/>
  <c r="B111" i="25" s="1"/>
  <c r="D51" i="23"/>
  <c r="Y50" i="23"/>
  <c r="AA50" i="23" s="1"/>
  <c r="R50" i="23"/>
  <c r="T50" i="23" s="1"/>
  <c r="K50" i="23"/>
  <c r="M50" i="23" s="1"/>
  <c r="F50" i="23"/>
  <c r="B49" i="25" s="1"/>
  <c r="D50" i="23"/>
  <c r="Y49" i="23"/>
  <c r="AA49" i="23" s="1"/>
  <c r="R49" i="23"/>
  <c r="T49" i="23" s="1"/>
  <c r="K49" i="23"/>
  <c r="M49" i="23" s="1"/>
  <c r="F49" i="23"/>
  <c r="B48" i="25" s="1"/>
  <c r="D49" i="23"/>
  <c r="Y48" i="23"/>
  <c r="AA48" i="23" s="1"/>
  <c r="R48" i="23"/>
  <c r="T48" i="23" s="1"/>
  <c r="K48" i="23"/>
  <c r="M48" i="23" s="1"/>
  <c r="F48" i="23"/>
  <c r="B108" i="25" s="1"/>
  <c r="D48" i="23"/>
  <c r="Y47" i="23"/>
  <c r="AA47" i="23" s="1"/>
  <c r="R47" i="23"/>
  <c r="T47" i="23" s="1"/>
  <c r="K47" i="23"/>
  <c r="M47" i="23" s="1"/>
  <c r="F47" i="23"/>
  <c r="B46" i="25" s="1"/>
  <c r="D47" i="23"/>
  <c r="Y46" i="23"/>
  <c r="AA46" i="23" s="1"/>
  <c r="R46" i="23"/>
  <c r="T46" i="23" s="1"/>
  <c r="K46" i="23"/>
  <c r="M46" i="23" s="1"/>
  <c r="F46" i="23"/>
  <c r="B106" i="25" s="1"/>
  <c r="D46" i="23"/>
  <c r="Y45" i="23"/>
  <c r="AA45" i="23" s="1"/>
  <c r="R45" i="23"/>
  <c r="T45" i="23" s="1"/>
  <c r="K45" i="23"/>
  <c r="M45" i="23" s="1"/>
  <c r="F45" i="23"/>
  <c r="B105" i="25" s="1"/>
  <c r="D45" i="23"/>
  <c r="Y44" i="23"/>
  <c r="AA44" i="23" s="1"/>
  <c r="R44" i="23"/>
  <c r="T44" i="23" s="1"/>
  <c r="K44" i="23"/>
  <c r="M44" i="23" s="1"/>
  <c r="F44" i="23"/>
  <c r="B104" i="25" s="1"/>
  <c r="D44" i="23"/>
  <c r="Y43" i="23"/>
  <c r="AA43" i="23" s="1"/>
  <c r="R43" i="23"/>
  <c r="T43" i="23" s="1"/>
  <c r="K43" i="23"/>
  <c r="M43" i="23" s="1"/>
  <c r="F43" i="23"/>
  <c r="B103" i="25" s="1"/>
  <c r="D43" i="23"/>
  <c r="Y42" i="23"/>
  <c r="AA42" i="23" s="1"/>
  <c r="R42" i="23"/>
  <c r="T42" i="23" s="1"/>
  <c r="K42" i="23"/>
  <c r="M42" i="23" s="1"/>
  <c r="F42" i="23"/>
  <c r="B41" i="25" s="1"/>
  <c r="D42" i="23"/>
  <c r="Y41" i="23"/>
  <c r="AA41" i="23" s="1"/>
  <c r="R41" i="23"/>
  <c r="T41" i="23" s="1"/>
  <c r="K41" i="23"/>
  <c r="M41" i="23" s="1"/>
  <c r="F41" i="23"/>
  <c r="B40" i="25" s="1"/>
  <c r="D41" i="23"/>
  <c r="Y40" i="23"/>
  <c r="AA40" i="23" s="1"/>
  <c r="R40" i="23"/>
  <c r="T40" i="23" s="1"/>
  <c r="K40" i="23"/>
  <c r="M40" i="23" s="1"/>
  <c r="F40" i="23"/>
  <c r="B100" i="25" s="1"/>
  <c r="D40" i="23"/>
  <c r="Y39" i="23"/>
  <c r="AA39" i="23" s="1"/>
  <c r="R39" i="23"/>
  <c r="T39" i="23" s="1"/>
  <c r="K39" i="23"/>
  <c r="M39" i="23" s="1"/>
  <c r="F39" i="23"/>
  <c r="B38" i="25" s="1"/>
  <c r="D39" i="23"/>
  <c r="Y38" i="23"/>
  <c r="AA38" i="23" s="1"/>
  <c r="R38" i="23"/>
  <c r="T38" i="23" s="1"/>
  <c r="K38" i="23"/>
  <c r="M38" i="23" s="1"/>
  <c r="F38" i="23"/>
  <c r="B98" i="25" s="1"/>
  <c r="D38" i="23"/>
  <c r="Y37" i="23"/>
  <c r="AA37" i="23" s="1"/>
  <c r="R37" i="23"/>
  <c r="T37" i="23" s="1"/>
  <c r="K37" i="23"/>
  <c r="M37" i="23" s="1"/>
  <c r="F37" i="23"/>
  <c r="B97" i="25" s="1"/>
  <c r="D37" i="23"/>
  <c r="AA36" i="23"/>
  <c r="Y36" i="23"/>
  <c r="R36" i="23"/>
  <c r="T36" i="23" s="1"/>
  <c r="K36" i="23"/>
  <c r="M36" i="23" s="1"/>
  <c r="F36" i="23"/>
  <c r="B96" i="25" s="1"/>
  <c r="D36" i="23"/>
  <c r="Y35" i="23"/>
  <c r="AA35" i="23" s="1"/>
  <c r="R35" i="23"/>
  <c r="T35" i="23" s="1"/>
  <c r="K35" i="23"/>
  <c r="M35" i="23" s="1"/>
  <c r="F35" i="23"/>
  <c r="B95" i="25" s="1"/>
  <c r="D35" i="23"/>
  <c r="AA34" i="23"/>
  <c r="Y34" i="23"/>
  <c r="R34" i="23"/>
  <c r="T34" i="23" s="1"/>
  <c r="K34" i="23"/>
  <c r="M34" i="23" s="1"/>
  <c r="F34" i="23"/>
  <c r="B33" i="25" s="1"/>
  <c r="D34" i="23"/>
  <c r="Y33" i="23"/>
  <c r="AA33" i="23" s="1"/>
  <c r="AA59" i="23" s="1"/>
  <c r="R33" i="23"/>
  <c r="T33" i="23" s="1"/>
  <c r="K33" i="23"/>
  <c r="M33" i="23" s="1"/>
  <c r="F33" i="23"/>
  <c r="D33" i="23"/>
  <c r="Y28" i="23"/>
  <c r="AA28" i="23" s="1"/>
  <c r="T28" i="23"/>
  <c r="R28" i="23"/>
  <c r="K28" i="23"/>
  <c r="M28" i="23" s="1"/>
  <c r="D28" i="23"/>
  <c r="F28" i="23" s="1"/>
  <c r="Y27" i="23"/>
  <c r="AA27" i="23" s="1"/>
  <c r="T27" i="23"/>
  <c r="R27" i="23"/>
  <c r="M27" i="23"/>
  <c r="K27" i="23"/>
  <c r="D27" i="23"/>
  <c r="F27" i="23" s="1"/>
  <c r="B87" i="25" s="1"/>
  <c r="Y26" i="23"/>
  <c r="AA26" i="23" s="1"/>
  <c r="T26" i="23"/>
  <c r="R26" i="23"/>
  <c r="K26" i="23"/>
  <c r="M26" i="23" s="1"/>
  <c r="D26" i="23"/>
  <c r="F26" i="23" s="1"/>
  <c r="Y25" i="23"/>
  <c r="AA25" i="23" s="1"/>
  <c r="T25" i="23"/>
  <c r="R25" i="23"/>
  <c r="M25" i="23"/>
  <c r="K25" i="23"/>
  <c r="D25" i="23"/>
  <c r="F25" i="23" s="1"/>
  <c r="Y24" i="23"/>
  <c r="AA24" i="23" s="1"/>
  <c r="T24" i="23"/>
  <c r="R24" i="23"/>
  <c r="K24" i="23"/>
  <c r="M24" i="23" s="1"/>
  <c r="D24" i="23"/>
  <c r="F24" i="23" s="1"/>
  <c r="Y23" i="23"/>
  <c r="AA23" i="23" s="1"/>
  <c r="T23" i="23"/>
  <c r="R23" i="23"/>
  <c r="M23" i="23"/>
  <c r="K23" i="23"/>
  <c r="D23" i="23"/>
  <c r="F23" i="23" s="1"/>
  <c r="B22" i="25" s="1"/>
  <c r="Y22" i="23"/>
  <c r="AA22" i="23" s="1"/>
  <c r="T22" i="23"/>
  <c r="R22" i="23"/>
  <c r="K22" i="23"/>
  <c r="M22" i="23" s="1"/>
  <c r="D22" i="23"/>
  <c r="F22" i="23" s="1"/>
  <c r="Y21" i="23"/>
  <c r="AA21" i="23" s="1"/>
  <c r="T21" i="23"/>
  <c r="R21" i="23"/>
  <c r="M21" i="23"/>
  <c r="K21" i="23"/>
  <c r="D21" i="23"/>
  <c r="F21" i="23" s="1"/>
  <c r="B81" i="25" s="1"/>
  <c r="Y20" i="23"/>
  <c r="AA20" i="23" s="1"/>
  <c r="T20" i="23"/>
  <c r="R20" i="23"/>
  <c r="K20" i="23"/>
  <c r="M20" i="23" s="1"/>
  <c r="D20" i="23"/>
  <c r="F20" i="23" s="1"/>
  <c r="Y19" i="23"/>
  <c r="AA19" i="23" s="1"/>
  <c r="T19" i="23"/>
  <c r="R19" i="23"/>
  <c r="M19" i="23"/>
  <c r="K19" i="23"/>
  <c r="D19" i="23"/>
  <c r="F19" i="23" s="1"/>
  <c r="B79" i="25" s="1"/>
  <c r="Y18" i="23"/>
  <c r="AA18" i="23" s="1"/>
  <c r="T18" i="23"/>
  <c r="R18" i="23"/>
  <c r="K18" i="23"/>
  <c r="M18" i="23" s="1"/>
  <c r="D18" i="23"/>
  <c r="F18" i="23" s="1"/>
  <c r="Y17" i="23"/>
  <c r="AA17" i="23" s="1"/>
  <c r="T17" i="23"/>
  <c r="R17" i="23"/>
  <c r="M17" i="23"/>
  <c r="K17" i="23"/>
  <c r="D17" i="23"/>
  <c r="F17" i="23" s="1"/>
  <c r="Y16" i="23"/>
  <c r="AA16" i="23" s="1"/>
  <c r="T16" i="23"/>
  <c r="R16" i="23"/>
  <c r="K16" i="23"/>
  <c r="M16" i="23" s="1"/>
  <c r="D16" i="23"/>
  <c r="F16" i="23" s="1"/>
  <c r="Y15" i="23"/>
  <c r="AA15" i="23" s="1"/>
  <c r="R15" i="23"/>
  <c r="T15" i="23" s="1"/>
  <c r="M15" i="23"/>
  <c r="K15" i="23"/>
  <c r="D15" i="23"/>
  <c r="F15" i="23" s="1"/>
  <c r="B14" i="25" s="1"/>
  <c r="Y14" i="23"/>
  <c r="AA14" i="23" s="1"/>
  <c r="T14" i="23"/>
  <c r="R14" i="23"/>
  <c r="K14" i="23"/>
  <c r="M14" i="23" s="1"/>
  <c r="F14" i="23"/>
  <c r="D14" i="23"/>
  <c r="Y13" i="23"/>
  <c r="AA13" i="23" s="1"/>
  <c r="R13" i="23"/>
  <c r="T13" i="23" s="1"/>
  <c r="K13" i="23"/>
  <c r="M13" i="23" s="1"/>
  <c r="F13" i="23"/>
  <c r="B73" i="25" s="1"/>
  <c r="D13" i="23"/>
  <c r="Y12" i="23"/>
  <c r="AA12" i="23" s="1"/>
  <c r="R12" i="23"/>
  <c r="T12" i="23" s="1"/>
  <c r="K12" i="23"/>
  <c r="M12" i="23" s="1"/>
  <c r="F12" i="23"/>
  <c r="D12" i="23"/>
  <c r="Y11" i="23"/>
  <c r="AA11" i="23" s="1"/>
  <c r="R11" i="23"/>
  <c r="T11" i="23" s="1"/>
  <c r="K11" i="23"/>
  <c r="M11" i="23" s="1"/>
  <c r="F11" i="23"/>
  <c r="B71" i="25" s="1"/>
  <c r="D11" i="23"/>
  <c r="Y10" i="23"/>
  <c r="AA10" i="23" s="1"/>
  <c r="R10" i="23"/>
  <c r="T10" i="23" s="1"/>
  <c r="K10" i="23"/>
  <c r="M10" i="23" s="1"/>
  <c r="F10" i="23"/>
  <c r="D10" i="23"/>
  <c r="Y9" i="23"/>
  <c r="AA9" i="23" s="1"/>
  <c r="R9" i="23"/>
  <c r="T9" i="23" s="1"/>
  <c r="K9" i="23"/>
  <c r="M9" i="23" s="1"/>
  <c r="F9" i="23"/>
  <c r="B8" i="25" s="1"/>
  <c r="D9" i="23"/>
  <c r="Y8" i="23"/>
  <c r="AA8" i="23" s="1"/>
  <c r="R8" i="23"/>
  <c r="T8" i="23" s="1"/>
  <c r="K8" i="23"/>
  <c r="M8" i="23" s="1"/>
  <c r="F8" i="23"/>
  <c r="D8" i="23"/>
  <c r="Y7" i="23"/>
  <c r="AA7" i="23" s="1"/>
  <c r="R7" i="23"/>
  <c r="T7" i="23" s="1"/>
  <c r="K7" i="23"/>
  <c r="M7" i="23" s="1"/>
  <c r="F7" i="23"/>
  <c r="B6" i="25" s="1"/>
  <c r="D7" i="23"/>
  <c r="Y6" i="23"/>
  <c r="AA6" i="23" s="1"/>
  <c r="R6" i="23"/>
  <c r="T6" i="23" s="1"/>
  <c r="K6" i="23"/>
  <c r="M6" i="23" s="1"/>
  <c r="F6" i="23"/>
  <c r="D6" i="23"/>
  <c r="Y5" i="23"/>
  <c r="AA5" i="23" s="1"/>
  <c r="R5" i="23"/>
  <c r="T5" i="23" s="1"/>
  <c r="K5" i="23"/>
  <c r="M5" i="23" s="1"/>
  <c r="F5" i="23"/>
  <c r="B65" i="25" s="1"/>
  <c r="D5" i="23"/>
  <c r="Y4" i="23"/>
  <c r="AA4" i="23" s="1"/>
  <c r="R4" i="23"/>
  <c r="T4" i="23" s="1"/>
  <c r="K4" i="23"/>
  <c r="M4" i="23" s="1"/>
  <c r="F4" i="23"/>
  <c r="D4" i="23"/>
  <c r="D9" i="22"/>
  <c r="D8" i="22"/>
  <c r="D7" i="22"/>
  <c r="D6" i="22"/>
  <c r="D5" i="22"/>
  <c r="D4" i="22"/>
  <c r="G90" i="21"/>
  <c r="F90" i="21"/>
  <c r="E90" i="21"/>
  <c r="D90" i="21"/>
  <c r="C90" i="21"/>
  <c r="B90" i="21"/>
  <c r="G89" i="21"/>
  <c r="F89" i="21"/>
  <c r="E89" i="21"/>
  <c r="D89" i="21"/>
  <c r="C89" i="21"/>
  <c r="B89" i="21"/>
  <c r="G88" i="21"/>
  <c r="F88" i="21"/>
  <c r="E88" i="21"/>
  <c r="D88" i="21"/>
  <c r="C88" i="21"/>
  <c r="B88" i="21"/>
  <c r="G87" i="21"/>
  <c r="F87" i="21"/>
  <c r="E87" i="21"/>
  <c r="D87" i="21"/>
  <c r="C87" i="21"/>
  <c r="B87" i="21"/>
  <c r="G86" i="21"/>
  <c r="F86" i="21"/>
  <c r="E86" i="21"/>
  <c r="D86" i="21"/>
  <c r="C86" i="21"/>
  <c r="B86" i="21"/>
  <c r="G85" i="21"/>
  <c r="F85" i="21"/>
  <c r="E85" i="21"/>
  <c r="D85" i="21"/>
  <c r="C85" i="21"/>
  <c r="B85" i="21"/>
  <c r="G84" i="21"/>
  <c r="F84" i="21"/>
  <c r="E84" i="21"/>
  <c r="D84" i="21"/>
  <c r="C84" i="21"/>
  <c r="B84" i="21"/>
  <c r="G83" i="21"/>
  <c r="F83" i="21"/>
  <c r="E83" i="21"/>
  <c r="D83" i="21"/>
  <c r="C83" i="21"/>
  <c r="B83" i="21"/>
  <c r="G82" i="21"/>
  <c r="F82" i="21"/>
  <c r="E82" i="21"/>
  <c r="D82" i="21"/>
  <c r="C82" i="21"/>
  <c r="B82" i="21"/>
  <c r="G81" i="21"/>
  <c r="F81" i="21"/>
  <c r="E81" i="21"/>
  <c r="D81" i="21"/>
  <c r="C81" i="21"/>
  <c r="B81" i="21"/>
  <c r="G80" i="21"/>
  <c r="F80" i="21"/>
  <c r="E80" i="21"/>
  <c r="D80" i="21"/>
  <c r="C80" i="21"/>
  <c r="B80" i="21"/>
  <c r="G79" i="21"/>
  <c r="F79" i="21"/>
  <c r="E79" i="21"/>
  <c r="D79" i="21"/>
  <c r="C79" i="21"/>
  <c r="B79" i="21"/>
  <c r="G78" i="21"/>
  <c r="F78" i="21"/>
  <c r="E78" i="21"/>
  <c r="D78" i="21"/>
  <c r="C78" i="21"/>
  <c r="B78" i="21"/>
  <c r="G77" i="21"/>
  <c r="F77" i="21"/>
  <c r="E77" i="21"/>
  <c r="D77" i="21"/>
  <c r="C77" i="21"/>
  <c r="B77" i="21"/>
  <c r="G76" i="21"/>
  <c r="F76" i="21"/>
  <c r="E76" i="21"/>
  <c r="D76" i="21"/>
  <c r="C76" i="21"/>
  <c r="B76" i="21"/>
  <c r="G75" i="21"/>
  <c r="F75" i="21"/>
  <c r="E75" i="21"/>
  <c r="D75" i="21"/>
  <c r="C75" i="21"/>
  <c r="B75" i="21"/>
  <c r="G74" i="21"/>
  <c r="F74" i="21"/>
  <c r="E74" i="21"/>
  <c r="D74" i="21"/>
  <c r="C74" i="21"/>
  <c r="B74" i="21"/>
  <c r="G73" i="21"/>
  <c r="F73" i="21"/>
  <c r="E73" i="21"/>
  <c r="D73" i="21"/>
  <c r="C73" i="21"/>
  <c r="B73" i="21"/>
  <c r="G72" i="21"/>
  <c r="F72" i="21"/>
  <c r="E72" i="21"/>
  <c r="D72" i="21"/>
  <c r="C72" i="21"/>
  <c r="B72" i="21"/>
  <c r="G71" i="21"/>
  <c r="F71" i="21"/>
  <c r="E71" i="21"/>
  <c r="D71" i="21"/>
  <c r="C71" i="21"/>
  <c r="B71" i="21"/>
  <c r="G70" i="21"/>
  <c r="F70" i="21"/>
  <c r="E70" i="21"/>
  <c r="D70" i="21"/>
  <c r="C70" i="21"/>
  <c r="B70" i="21"/>
  <c r="G69" i="21"/>
  <c r="F69" i="21"/>
  <c r="E69" i="21"/>
  <c r="D69" i="21"/>
  <c r="C69" i="21"/>
  <c r="B69" i="21"/>
  <c r="G68" i="21"/>
  <c r="F68" i="21"/>
  <c r="E68" i="21"/>
  <c r="D68" i="21"/>
  <c r="C68" i="21"/>
  <c r="B68" i="21"/>
  <c r="G67" i="21"/>
  <c r="G92" i="21" s="1"/>
  <c r="F67" i="21"/>
  <c r="E67" i="21"/>
  <c r="D67" i="21"/>
  <c r="C67" i="21"/>
  <c r="C92" i="21" s="1"/>
  <c r="B67" i="21"/>
  <c r="B92" i="21" s="1"/>
  <c r="G66" i="21"/>
  <c r="F66" i="21"/>
  <c r="F92" i="21" s="1"/>
  <c r="E66" i="21"/>
  <c r="E92" i="21" s="1"/>
  <c r="D66" i="21"/>
  <c r="D92" i="21" s="1"/>
  <c r="C66" i="21"/>
  <c r="B66" i="21"/>
  <c r="G62" i="21"/>
  <c r="F62" i="21"/>
  <c r="E62" i="21"/>
  <c r="D62" i="21"/>
  <c r="C62" i="21"/>
  <c r="B62" i="21"/>
  <c r="G30" i="21"/>
  <c r="F30" i="21"/>
  <c r="E30" i="21"/>
  <c r="D30" i="21"/>
  <c r="C30" i="21"/>
  <c r="B30" i="21"/>
  <c r="G92" i="19"/>
  <c r="F92" i="19"/>
  <c r="E92" i="19"/>
  <c r="D92" i="19"/>
  <c r="C92" i="19"/>
  <c r="B92" i="19"/>
  <c r="G91" i="19"/>
  <c r="F91" i="19"/>
  <c r="E91" i="19"/>
  <c r="D91" i="19"/>
  <c r="C91" i="19"/>
  <c r="B91" i="19"/>
  <c r="G90" i="19"/>
  <c r="F90" i="19"/>
  <c r="E90" i="19"/>
  <c r="D90" i="19"/>
  <c r="C90" i="19"/>
  <c r="B90" i="19"/>
  <c r="G89" i="19"/>
  <c r="F89" i="19"/>
  <c r="E89" i="19"/>
  <c r="D89" i="19"/>
  <c r="C89" i="19"/>
  <c r="B89" i="19"/>
  <c r="G88" i="19"/>
  <c r="F88" i="19"/>
  <c r="E88" i="19"/>
  <c r="D88" i="19"/>
  <c r="C88" i="19"/>
  <c r="B88" i="19"/>
  <c r="G87" i="19"/>
  <c r="F87" i="19"/>
  <c r="E87" i="19"/>
  <c r="D87" i="19"/>
  <c r="C87" i="19"/>
  <c r="B87" i="19"/>
  <c r="G86" i="19"/>
  <c r="F86" i="19"/>
  <c r="E86" i="19"/>
  <c r="D86" i="19"/>
  <c r="C86" i="19"/>
  <c r="B86" i="19"/>
  <c r="G85" i="19"/>
  <c r="F85" i="19"/>
  <c r="E85" i="19"/>
  <c r="D85" i="19"/>
  <c r="C85" i="19"/>
  <c r="B85" i="19"/>
  <c r="G84" i="19"/>
  <c r="F84" i="19"/>
  <c r="E84" i="19"/>
  <c r="D84" i="19"/>
  <c r="C84" i="19"/>
  <c r="B84" i="19"/>
  <c r="G83" i="19"/>
  <c r="F83" i="19"/>
  <c r="E83" i="19"/>
  <c r="D83" i="19"/>
  <c r="C83" i="19"/>
  <c r="B83" i="19"/>
  <c r="G82" i="19"/>
  <c r="F82" i="19"/>
  <c r="E82" i="19"/>
  <c r="D82" i="19"/>
  <c r="C82" i="19"/>
  <c r="B82" i="19"/>
  <c r="G81" i="19"/>
  <c r="F81" i="19"/>
  <c r="E81" i="19"/>
  <c r="D81" i="19"/>
  <c r="C81" i="19"/>
  <c r="B81" i="19"/>
  <c r="G80" i="19"/>
  <c r="F80" i="19"/>
  <c r="E80" i="19"/>
  <c r="D80" i="19"/>
  <c r="C80" i="19"/>
  <c r="B80" i="19"/>
  <c r="G79" i="19"/>
  <c r="F79" i="19"/>
  <c r="E79" i="19"/>
  <c r="D79" i="19"/>
  <c r="C79" i="19"/>
  <c r="B79" i="19"/>
  <c r="G78" i="19"/>
  <c r="F78" i="19"/>
  <c r="E78" i="19"/>
  <c r="D78" i="19"/>
  <c r="C78" i="19"/>
  <c r="B78" i="19"/>
  <c r="G77" i="19"/>
  <c r="F77" i="19"/>
  <c r="E77" i="19"/>
  <c r="D77" i="19"/>
  <c r="C77" i="19"/>
  <c r="B77" i="19"/>
  <c r="G76" i="19"/>
  <c r="F76" i="19"/>
  <c r="E76" i="19"/>
  <c r="D76" i="19"/>
  <c r="C76" i="19"/>
  <c r="B76" i="19"/>
  <c r="G75" i="19"/>
  <c r="F75" i="19"/>
  <c r="E75" i="19"/>
  <c r="D75" i="19"/>
  <c r="C75" i="19"/>
  <c r="B75" i="19"/>
  <c r="G74" i="19"/>
  <c r="F74" i="19"/>
  <c r="E74" i="19"/>
  <c r="D74" i="19"/>
  <c r="C74" i="19"/>
  <c r="B74" i="19"/>
  <c r="G73" i="19"/>
  <c r="F73" i="19"/>
  <c r="E73" i="19"/>
  <c r="D73" i="19"/>
  <c r="C73" i="19"/>
  <c r="B73" i="19"/>
  <c r="G72" i="19"/>
  <c r="F72" i="19"/>
  <c r="E72" i="19"/>
  <c r="D72" i="19"/>
  <c r="C72" i="19"/>
  <c r="B72" i="19"/>
  <c r="G71" i="19"/>
  <c r="F71" i="19"/>
  <c r="E71" i="19"/>
  <c r="D71" i="19"/>
  <c r="C71" i="19"/>
  <c r="B71" i="19"/>
  <c r="G70" i="19"/>
  <c r="F70" i="19"/>
  <c r="E70" i="19"/>
  <c r="D70" i="19"/>
  <c r="C70" i="19"/>
  <c r="B70" i="19"/>
  <c r="G69" i="19"/>
  <c r="G94" i="19" s="1"/>
  <c r="F69" i="19"/>
  <c r="E69" i="19"/>
  <c r="D69" i="19"/>
  <c r="C69" i="19"/>
  <c r="C94" i="19" s="1"/>
  <c r="B69" i="19"/>
  <c r="B94" i="19" s="1"/>
  <c r="G68" i="19"/>
  <c r="F68" i="19"/>
  <c r="F94" i="19" s="1"/>
  <c r="E68" i="19"/>
  <c r="E94" i="19" s="1"/>
  <c r="D68" i="19"/>
  <c r="D94" i="19" s="1"/>
  <c r="C68" i="19"/>
  <c r="B68" i="19"/>
  <c r="G63" i="19"/>
  <c r="F63" i="19"/>
  <c r="E63" i="19"/>
  <c r="D63" i="19"/>
  <c r="C63" i="19"/>
  <c r="B63" i="19"/>
  <c r="G62" i="19"/>
  <c r="F62" i="19"/>
  <c r="E62" i="19"/>
  <c r="D62" i="19"/>
  <c r="C62" i="19"/>
  <c r="B62" i="19"/>
  <c r="O60" i="19"/>
  <c r="N60" i="19"/>
  <c r="M60" i="19"/>
  <c r="L60" i="19"/>
  <c r="K60" i="19"/>
  <c r="J60" i="19"/>
  <c r="O59" i="19"/>
  <c r="N59" i="19"/>
  <c r="M59" i="19"/>
  <c r="L59" i="19"/>
  <c r="K59" i="19"/>
  <c r="J59" i="19"/>
  <c r="O58" i="19"/>
  <c r="N58" i="19"/>
  <c r="M58" i="19"/>
  <c r="L58" i="19"/>
  <c r="K58" i="19"/>
  <c r="J58" i="19"/>
  <c r="O57" i="19"/>
  <c r="N57" i="19"/>
  <c r="M57" i="19"/>
  <c r="L57" i="19"/>
  <c r="K57" i="19"/>
  <c r="J57" i="19"/>
  <c r="O56" i="19"/>
  <c r="N56" i="19"/>
  <c r="M56" i="19"/>
  <c r="L56" i="19"/>
  <c r="K56" i="19"/>
  <c r="J56" i="19"/>
  <c r="O55" i="19"/>
  <c r="N55" i="19"/>
  <c r="M55" i="19"/>
  <c r="L55" i="19"/>
  <c r="K55" i="19"/>
  <c r="J55" i="19"/>
  <c r="O54" i="19"/>
  <c r="N54" i="19"/>
  <c r="M54" i="19"/>
  <c r="L54" i="19"/>
  <c r="K54" i="19"/>
  <c r="J54" i="19"/>
  <c r="O53" i="19"/>
  <c r="N53" i="19"/>
  <c r="M53" i="19"/>
  <c r="L53" i="19"/>
  <c r="K53" i="19"/>
  <c r="J53" i="19"/>
  <c r="O52" i="19"/>
  <c r="N52" i="19"/>
  <c r="M52" i="19"/>
  <c r="L52" i="19"/>
  <c r="K52" i="19"/>
  <c r="J52" i="19"/>
  <c r="O51" i="19"/>
  <c r="N51" i="19"/>
  <c r="M51" i="19"/>
  <c r="L51" i="19"/>
  <c r="K51" i="19"/>
  <c r="J51" i="19"/>
  <c r="O50" i="19"/>
  <c r="N50" i="19"/>
  <c r="M50" i="19"/>
  <c r="L50" i="19"/>
  <c r="K50" i="19"/>
  <c r="J50" i="19"/>
  <c r="O49" i="19"/>
  <c r="N49" i="19"/>
  <c r="M49" i="19"/>
  <c r="L49" i="19"/>
  <c r="K49" i="19"/>
  <c r="J49" i="19"/>
  <c r="O48" i="19"/>
  <c r="N48" i="19"/>
  <c r="M48" i="19"/>
  <c r="L48" i="19"/>
  <c r="K48" i="19"/>
  <c r="J48" i="19"/>
  <c r="O47" i="19"/>
  <c r="N47" i="19"/>
  <c r="M47" i="19"/>
  <c r="L47" i="19"/>
  <c r="K47" i="19"/>
  <c r="J47" i="19"/>
  <c r="O46" i="19"/>
  <c r="N46" i="19"/>
  <c r="M46" i="19"/>
  <c r="L46" i="19"/>
  <c r="K46" i="19"/>
  <c r="J46" i="19"/>
  <c r="O45" i="19"/>
  <c r="N45" i="19"/>
  <c r="M45" i="19"/>
  <c r="L45" i="19"/>
  <c r="K45" i="19"/>
  <c r="J45" i="19"/>
  <c r="O44" i="19"/>
  <c r="N44" i="19"/>
  <c r="M44" i="19"/>
  <c r="L44" i="19"/>
  <c r="K44" i="19"/>
  <c r="J44" i="19"/>
  <c r="O43" i="19"/>
  <c r="N43" i="19"/>
  <c r="M43" i="19"/>
  <c r="L43" i="19"/>
  <c r="K43" i="19"/>
  <c r="J43" i="19"/>
  <c r="O42" i="19"/>
  <c r="N42" i="19"/>
  <c r="M42" i="19"/>
  <c r="L42" i="19"/>
  <c r="K42" i="19"/>
  <c r="J42" i="19"/>
  <c r="O41" i="19"/>
  <c r="N41" i="19"/>
  <c r="M41" i="19"/>
  <c r="L41" i="19"/>
  <c r="K41" i="19"/>
  <c r="J41" i="19"/>
  <c r="O40" i="19"/>
  <c r="N40" i="19"/>
  <c r="M40" i="19"/>
  <c r="L40" i="19"/>
  <c r="K40" i="19"/>
  <c r="J40" i="19"/>
  <c r="O39" i="19"/>
  <c r="N39" i="19"/>
  <c r="M39" i="19"/>
  <c r="L39" i="19"/>
  <c r="K39" i="19"/>
  <c r="J39" i="19"/>
  <c r="O38" i="19"/>
  <c r="N38" i="19"/>
  <c r="M38" i="19"/>
  <c r="L38" i="19"/>
  <c r="L62" i="19" s="1"/>
  <c r="K38" i="19"/>
  <c r="K62" i="19" s="1"/>
  <c r="J38" i="19"/>
  <c r="J62" i="19" s="1"/>
  <c r="O37" i="19"/>
  <c r="N37" i="19"/>
  <c r="M37" i="19"/>
  <c r="L37" i="19"/>
  <c r="K37" i="19"/>
  <c r="J37" i="19"/>
  <c r="O36" i="19"/>
  <c r="O62" i="19" s="1"/>
  <c r="N36" i="19"/>
  <c r="N62" i="19" s="1"/>
  <c r="M36" i="19"/>
  <c r="M62" i="19" s="1"/>
  <c r="L36" i="19"/>
  <c r="K36" i="19"/>
  <c r="J36" i="19"/>
  <c r="G31" i="19"/>
  <c r="F31" i="19"/>
  <c r="E31" i="19"/>
  <c r="D31" i="19"/>
  <c r="C31" i="19"/>
  <c r="B31" i="19"/>
  <c r="G30" i="19"/>
  <c r="F30" i="19"/>
  <c r="E30" i="19"/>
  <c r="D30" i="19"/>
  <c r="C30" i="19"/>
  <c r="B30" i="19"/>
  <c r="O28" i="19"/>
  <c r="N28" i="19"/>
  <c r="M28" i="19"/>
  <c r="L28" i="19"/>
  <c r="K28" i="19"/>
  <c r="J28" i="19"/>
  <c r="O27" i="19"/>
  <c r="N27" i="19"/>
  <c r="M27" i="19"/>
  <c r="L27" i="19"/>
  <c r="K27" i="19"/>
  <c r="J27" i="19"/>
  <c r="O26" i="19"/>
  <c r="N26" i="19"/>
  <c r="M26" i="19"/>
  <c r="L26" i="19"/>
  <c r="K26" i="19"/>
  <c r="J26" i="19"/>
  <c r="O25" i="19"/>
  <c r="N25" i="19"/>
  <c r="M25" i="19"/>
  <c r="L25" i="19"/>
  <c r="K25" i="19"/>
  <c r="J25" i="19"/>
  <c r="O24" i="19"/>
  <c r="N24" i="19"/>
  <c r="M24" i="19"/>
  <c r="L24" i="19"/>
  <c r="K24" i="19"/>
  <c r="J24" i="19"/>
  <c r="O23" i="19"/>
  <c r="N23" i="19"/>
  <c r="M23" i="19"/>
  <c r="L23" i="19"/>
  <c r="K23" i="19"/>
  <c r="J23" i="19"/>
  <c r="O22" i="19"/>
  <c r="N22" i="19"/>
  <c r="M22" i="19"/>
  <c r="L22" i="19"/>
  <c r="K22" i="19"/>
  <c r="J22" i="19"/>
  <c r="O21" i="19"/>
  <c r="N21" i="19"/>
  <c r="M21" i="19"/>
  <c r="L21" i="19"/>
  <c r="K21" i="19"/>
  <c r="J21" i="19"/>
  <c r="O20" i="19"/>
  <c r="N20" i="19"/>
  <c r="M20" i="19"/>
  <c r="L20" i="19"/>
  <c r="K20" i="19"/>
  <c r="J20" i="19"/>
  <c r="O19" i="19"/>
  <c r="N19" i="19"/>
  <c r="M19" i="19"/>
  <c r="L19" i="19"/>
  <c r="K19" i="19"/>
  <c r="J19" i="19"/>
  <c r="O18" i="19"/>
  <c r="N18" i="19"/>
  <c r="M18" i="19"/>
  <c r="L18" i="19"/>
  <c r="K18" i="19"/>
  <c r="J18" i="19"/>
  <c r="O17" i="19"/>
  <c r="N17" i="19"/>
  <c r="M17" i="19"/>
  <c r="L17" i="19"/>
  <c r="K17" i="19"/>
  <c r="J17" i="19"/>
  <c r="O16" i="19"/>
  <c r="N16" i="19"/>
  <c r="M16" i="19"/>
  <c r="L16" i="19"/>
  <c r="K16" i="19"/>
  <c r="J16" i="19"/>
  <c r="O15" i="19"/>
  <c r="N15" i="19"/>
  <c r="M15" i="19"/>
  <c r="L15" i="19"/>
  <c r="K15" i="19"/>
  <c r="J15" i="19"/>
  <c r="O14" i="19"/>
  <c r="N14" i="19"/>
  <c r="M14" i="19"/>
  <c r="L14" i="19"/>
  <c r="K14" i="19"/>
  <c r="J14" i="19"/>
  <c r="O13" i="19"/>
  <c r="N13" i="19"/>
  <c r="M13" i="19"/>
  <c r="L13" i="19"/>
  <c r="K13" i="19"/>
  <c r="J13" i="19"/>
  <c r="O12" i="19"/>
  <c r="N12" i="19"/>
  <c r="M12" i="19"/>
  <c r="L12" i="19"/>
  <c r="K12" i="19"/>
  <c r="J12" i="19"/>
  <c r="O11" i="19"/>
  <c r="N11" i="19"/>
  <c r="M11" i="19"/>
  <c r="L11" i="19"/>
  <c r="K11" i="19"/>
  <c r="J11" i="19"/>
  <c r="O10" i="19"/>
  <c r="N10" i="19"/>
  <c r="M10" i="19"/>
  <c r="L10" i="19"/>
  <c r="K10" i="19"/>
  <c r="J10" i="19"/>
  <c r="O9" i="19"/>
  <c r="N9" i="19"/>
  <c r="M9" i="19"/>
  <c r="L9" i="19"/>
  <c r="K9" i="19"/>
  <c r="J9" i="19"/>
  <c r="O8" i="19"/>
  <c r="N8" i="19"/>
  <c r="M8" i="19"/>
  <c r="L8" i="19"/>
  <c r="K8" i="19"/>
  <c r="J8" i="19"/>
  <c r="O7" i="19"/>
  <c r="N7" i="19"/>
  <c r="M7" i="19"/>
  <c r="L7" i="19"/>
  <c r="K7" i="19"/>
  <c r="J7" i="19"/>
  <c r="O6" i="19"/>
  <c r="N6" i="19"/>
  <c r="M6" i="19"/>
  <c r="L6" i="19"/>
  <c r="L30" i="19" s="1"/>
  <c r="K6" i="19"/>
  <c r="K30" i="19" s="1"/>
  <c r="J6" i="19"/>
  <c r="J30" i="19" s="1"/>
  <c r="O5" i="19"/>
  <c r="N5" i="19"/>
  <c r="M5" i="19"/>
  <c r="L5" i="19"/>
  <c r="K5" i="19"/>
  <c r="J5" i="19"/>
  <c r="O4" i="19"/>
  <c r="O30" i="19" s="1"/>
  <c r="N4" i="19"/>
  <c r="N30" i="19" s="1"/>
  <c r="M4" i="19"/>
  <c r="M30" i="19" s="1"/>
  <c r="L4" i="19"/>
  <c r="K4" i="19"/>
  <c r="J4" i="19"/>
  <c r="G76" i="18"/>
  <c r="F76" i="18"/>
  <c r="E76" i="18"/>
  <c r="D76" i="18"/>
  <c r="C76" i="18"/>
  <c r="B76" i="18"/>
  <c r="H75" i="18"/>
  <c r="G75" i="18"/>
  <c r="F75" i="18"/>
  <c r="E75" i="18"/>
  <c r="D75" i="18"/>
  <c r="C75" i="18"/>
  <c r="B75" i="18"/>
  <c r="H74" i="18"/>
  <c r="G74" i="18"/>
  <c r="F74" i="18"/>
  <c r="E74" i="18"/>
  <c r="D74" i="18"/>
  <c r="C74" i="18"/>
  <c r="B74" i="18"/>
  <c r="H73" i="18"/>
  <c r="G73" i="18"/>
  <c r="F73" i="18"/>
  <c r="E73" i="18"/>
  <c r="D73" i="18"/>
  <c r="C73" i="18"/>
  <c r="B73" i="18"/>
  <c r="H72" i="18"/>
  <c r="G72" i="18"/>
  <c r="F72" i="18"/>
  <c r="E72" i="18"/>
  <c r="D72" i="18"/>
  <c r="C72" i="18"/>
  <c r="B72" i="18"/>
  <c r="H71" i="18"/>
  <c r="G71" i="18"/>
  <c r="F71" i="18"/>
  <c r="E71" i="18"/>
  <c r="D71" i="18"/>
  <c r="C71" i="18"/>
  <c r="B71" i="18"/>
  <c r="H70" i="18"/>
  <c r="G70" i="18"/>
  <c r="F70" i="18"/>
  <c r="E70" i="18"/>
  <c r="D70" i="18"/>
  <c r="C70" i="18"/>
  <c r="B70" i="18"/>
  <c r="H69" i="18"/>
  <c r="G69" i="18"/>
  <c r="F69" i="18"/>
  <c r="E69" i="18"/>
  <c r="D69" i="18"/>
  <c r="C69" i="18"/>
  <c r="B69" i="18"/>
  <c r="H68" i="18"/>
  <c r="G68" i="18"/>
  <c r="F68" i="18"/>
  <c r="E68" i="18"/>
  <c r="D68" i="18"/>
  <c r="C68" i="18"/>
  <c r="B68" i="18"/>
  <c r="H67" i="18"/>
  <c r="G67" i="18"/>
  <c r="F67" i="18"/>
  <c r="E67" i="18"/>
  <c r="D67" i="18"/>
  <c r="C67" i="18"/>
  <c r="B67" i="18"/>
  <c r="H66" i="18"/>
  <c r="G66" i="18"/>
  <c r="F66" i="18"/>
  <c r="E66" i="18"/>
  <c r="D66" i="18"/>
  <c r="C66" i="18"/>
  <c r="B66" i="18"/>
  <c r="H65" i="18"/>
  <c r="G65" i="18"/>
  <c r="F65" i="18"/>
  <c r="E65" i="18"/>
  <c r="D65" i="18"/>
  <c r="C65" i="18"/>
  <c r="B65" i="18"/>
  <c r="H64" i="18"/>
  <c r="G64" i="18"/>
  <c r="F64" i="18"/>
  <c r="E64" i="18"/>
  <c r="D64" i="18"/>
  <c r="C64" i="18"/>
  <c r="B64" i="18"/>
  <c r="H63" i="18"/>
  <c r="G63" i="18"/>
  <c r="F63" i="18"/>
  <c r="E63" i="18"/>
  <c r="D63" i="18"/>
  <c r="C63" i="18"/>
  <c r="B63" i="18"/>
  <c r="H62" i="18"/>
  <c r="G62" i="18"/>
  <c r="F62" i="18"/>
  <c r="E62" i="18"/>
  <c r="D62" i="18"/>
  <c r="C62" i="18"/>
  <c r="B62" i="18"/>
  <c r="H61" i="18"/>
  <c r="G61" i="18"/>
  <c r="F61" i="18"/>
  <c r="E61" i="18"/>
  <c r="D61" i="18"/>
  <c r="C61" i="18"/>
  <c r="B61" i="18"/>
  <c r="H60" i="18"/>
  <c r="G60" i="18"/>
  <c r="F60" i="18"/>
  <c r="E60" i="18"/>
  <c r="D60" i="18"/>
  <c r="C60" i="18"/>
  <c r="B60" i="18"/>
  <c r="H59" i="18"/>
  <c r="G59" i="18"/>
  <c r="F59" i="18"/>
  <c r="E59" i="18"/>
  <c r="D59" i="18"/>
  <c r="C59" i="18"/>
  <c r="B59" i="18"/>
  <c r="H58" i="18"/>
  <c r="G58" i="18"/>
  <c r="F58" i="18"/>
  <c r="E58" i="18"/>
  <c r="D58" i="18"/>
  <c r="C58" i="18"/>
  <c r="B58" i="18"/>
  <c r="H57" i="18"/>
  <c r="G57" i="18"/>
  <c r="F57" i="18"/>
  <c r="E57" i="18"/>
  <c r="D57" i="18"/>
  <c r="C57" i="18"/>
  <c r="B57" i="18"/>
  <c r="H56" i="18"/>
  <c r="G56" i="18"/>
  <c r="F56" i="18"/>
  <c r="E56" i="18"/>
  <c r="D56" i="18"/>
  <c r="C56" i="18"/>
  <c r="B56" i="18"/>
  <c r="H55" i="18"/>
  <c r="G55" i="18"/>
  <c r="F55" i="18"/>
  <c r="E55" i="18"/>
  <c r="D55" i="18"/>
  <c r="C55" i="18"/>
  <c r="B55" i="18"/>
  <c r="H54" i="18"/>
  <c r="G54" i="18"/>
  <c r="F54" i="18"/>
  <c r="E54" i="18"/>
  <c r="D54" i="18"/>
  <c r="C54" i="18"/>
  <c r="B54" i="18"/>
  <c r="K53" i="18"/>
  <c r="K54" i="18" s="1"/>
  <c r="H53" i="18"/>
  <c r="G53" i="18"/>
  <c r="F53" i="18"/>
  <c r="E53" i="18"/>
  <c r="D53" i="18"/>
  <c r="C53" i="18"/>
  <c r="B53" i="18"/>
  <c r="H52" i="18"/>
  <c r="G52" i="18"/>
  <c r="F52" i="18"/>
  <c r="E52" i="18"/>
  <c r="D52" i="18"/>
  <c r="C52" i="18"/>
  <c r="B52" i="18"/>
  <c r="H51" i="18"/>
  <c r="G51" i="18"/>
  <c r="F51" i="18"/>
  <c r="E51" i="18"/>
  <c r="D51" i="18"/>
  <c r="C51" i="18"/>
  <c r="B51" i="18"/>
  <c r="J92" i="17"/>
  <c r="K92" i="17" s="1"/>
  <c r="G92" i="17"/>
  <c r="F92" i="17"/>
  <c r="C92" i="17"/>
  <c r="K91" i="17"/>
  <c r="J91" i="17"/>
  <c r="G91" i="17"/>
  <c r="F91" i="17"/>
  <c r="C91" i="17"/>
  <c r="K90" i="17"/>
  <c r="J90" i="17"/>
  <c r="F90" i="17"/>
  <c r="G90" i="17" s="1"/>
  <c r="C90" i="17"/>
  <c r="K89" i="17"/>
  <c r="J89" i="17"/>
  <c r="F89" i="17"/>
  <c r="G89" i="17" s="1"/>
  <c r="C89" i="17"/>
  <c r="J88" i="17"/>
  <c r="K88" i="17" s="1"/>
  <c r="G88" i="17"/>
  <c r="F88" i="17"/>
  <c r="C88" i="17"/>
  <c r="J87" i="17"/>
  <c r="K87" i="17" s="1"/>
  <c r="F87" i="17"/>
  <c r="G87" i="17" s="1"/>
  <c r="C87" i="17"/>
  <c r="K86" i="17"/>
  <c r="J86" i="17"/>
  <c r="F86" i="17"/>
  <c r="G86" i="17" s="1"/>
  <c r="C86" i="17"/>
  <c r="J85" i="17"/>
  <c r="K85" i="17" s="1"/>
  <c r="G85" i="17"/>
  <c r="F85" i="17"/>
  <c r="C85" i="17"/>
  <c r="J84" i="17"/>
  <c r="K84" i="17" s="1"/>
  <c r="G84" i="17"/>
  <c r="F84" i="17"/>
  <c r="C84" i="17"/>
  <c r="K83" i="17"/>
  <c r="J83" i="17"/>
  <c r="G83" i="17"/>
  <c r="F83" i="17"/>
  <c r="C83" i="17"/>
  <c r="K82" i="17"/>
  <c r="J82" i="17"/>
  <c r="F82" i="17"/>
  <c r="G82" i="17" s="1"/>
  <c r="C82" i="17"/>
  <c r="K81" i="17"/>
  <c r="J81" i="17"/>
  <c r="F81" i="17"/>
  <c r="G81" i="17" s="1"/>
  <c r="C81" i="17"/>
  <c r="J80" i="17"/>
  <c r="K80" i="17" s="1"/>
  <c r="G80" i="17"/>
  <c r="F80" i="17"/>
  <c r="C80" i="17"/>
  <c r="J79" i="17"/>
  <c r="K79" i="17" s="1"/>
  <c r="F79" i="17"/>
  <c r="G79" i="17" s="1"/>
  <c r="C79" i="17"/>
  <c r="K78" i="17"/>
  <c r="J78" i="17"/>
  <c r="F78" i="17"/>
  <c r="G78" i="17" s="1"/>
  <c r="C78" i="17"/>
  <c r="J77" i="17"/>
  <c r="K77" i="17" s="1"/>
  <c r="G77" i="17"/>
  <c r="F77" i="17"/>
  <c r="C77" i="17"/>
  <c r="J76" i="17"/>
  <c r="K76" i="17" s="1"/>
  <c r="G76" i="17"/>
  <c r="F76" i="17"/>
  <c r="C76" i="17"/>
  <c r="K75" i="17"/>
  <c r="J75" i="17"/>
  <c r="G75" i="17"/>
  <c r="F75" i="17"/>
  <c r="C75" i="17"/>
  <c r="K74" i="17"/>
  <c r="J74" i="17"/>
  <c r="F74" i="17"/>
  <c r="G74" i="17" s="1"/>
  <c r="C74" i="17"/>
  <c r="K73" i="17"/>
  <c r="J73" i="17"/>
  <c r="F73" i="17"/>
  <c r="G73" i="17" s="1"/>
  <c r="C73" i="17"/>
  <c r="J72" i="17"/>
  <c r="K72" i="17" s="1"/>
  <c r="G72" i="17"/>
  <c r="F72" i="17"/>
  <c r="C72" i="17"/>
  <c r="J71" i="17"/>
  <c r="K71" i="17" s="1"/>
  <c r="F71" i="17"/>
  <c r="G71" i="17" s="1"/>
  <c r="C71" i="17"/>
  <c r="K70" i="17"/>
  <c r="J70" i="17"/>
  <c r="F70" i="17"/>
  <c r="G70" i="17" s="1"/>
  <c r="C70" i="17"/>
  <c r="J69" i="17"/>
  <c r="K69" i="17" s="1"/>
  <c r="G69" i="17"/>
  <c r="F69" i="17"/>
  <c r="C69" i="17"/>
  <c r="J68" i="17"/>
  <c r="K68" i="17" s="1"/>
  <c r="G68" i="17"/>
  <c r="F68" i="17"/>
  <c r="C68" i="17"/>
  <c r="K60" i="17"/>
  <c r="J60" i="17"/>
  <c r="F60" i="17"/>
  <c r="G60" i="17" s="1"/>
  <c r="C60" i="17"/>
  <c r="K59" i="17"/>
  <c r="J59" i="17"/>
  <c r="F59" i="17"/>
  <c r="G59" i="17" s="1"/>
  <c r="C59" i="17"/>
  <c r="J58" i="17"/>
  <c r="K58" i="17" s="1"/>
  <c r="F58" i="17"/>
  <c r="G58" i="17" s="1"/>
  <c r="C58" i="17"/>
  <c r="J57" i="17"/>
  <c r="K57" i="17" s="1"/>
  <c r="G57" i="17"/>
  <c r="F57" i="17"/>
  <c r="C57" i="17"/>
  <c r="J56" i="17"/>
  <c r="K56" i="17" s="1"/>
  <c r="F56" i="17"/>
  <c r="G56" i="17" s="1"/>
  <c r="C56" i="17"/>
  <c r="K55" i="17"/>
  <c r="J55" i="17"/>
  <c r="F55" i="17"/>
  <c r="G55" i="17" s="1"/>
  <c r="C55" i="17"/>
  <c r="J54" i="17"/>
  <c r="K54" i="17" s="1"/>
  <c r="G54" i="17"/>
  <c r="F54" i="17"/>
  <c r="C54" i="17"/>
  <c r="J53" i="17"/>
  <c r="K53" i="17" s="1"/>
  <c r="G53" i="17"/>
  <c r="F53" i="17"/>
  <c r="C53" i="17"/>
  <c r="K52" i="17"/>
  <c r="J52" i="17"/>
  <c r="F52" i="17"/>
  <c r="G52" i="17" s="1"/>
  <c r="C52" i="17"/>
  <c r="K51" i="17"/>
  <c r="J51" i="17"/>
  <c r="F51" i="17"/>
  <c r="G51" i="17" s="1"/>
  <c r="C51" i="17"/>
  <c r="J50" i="17"/>
  <c r="K50" i="17" s="1"/>
  <c r="F50" i="17"/>
  <c r="G50" i="17" s="1"/>
  <c r="C50" i="17"/>
  <c r="J49" i="17"/>
  <c r="K49" i="17" s="1"/>
  <c r="G49" i="17"/>
  <c r="F49" i="17"/>
  <c r="C49" i="17"/>
  <c r="J48" i="17"/>
  <c r="K48" i="17" s="1"/>
  <c r="F48" i="17"/>
  <c r="G48" i="17" s="1"/>
  <c r="C48" i="17"/>
  <c r="K47" i="17"/>
  <c r="J47" i="17"/>
  <c r="F47" i="17"/>
  <c r="G47" i="17" s="1"/>
  <c r="C47" i="17"/>
  <c r="J46" i="17"/>
  <c r="K46" i="17" s="1"/>
  <c r="G46" i="17"/>
  <c r="F46" i="17"/>
  <c r="C46" i="17"/>
  <c r="J45" i="17"/>
  <c r="K45" i="17" s="1"/>
  <c r="G45" i="17"/>
  <c r="F45" i="17"/>
  <c r="C45" i="17"/>
  <c r="K44" i="17"/>
  <c r="J44" i="17"/>
  <c r="F44" i="17"/>
  <c r="G44" i="17" s="1"/>
  <c r="C44" i="17"/>
  <c r="K43" i="17"/>
  <c r="J43" i="17"/>
  <c r="F43" i="17"/>
  <c r="G43" i="17" s="1"/>
  <c r="C43" i="17"/>
  <c r="J42" i="17"/>
  <c r="K42" i="17" s="1"/>
  <c r="F42" i="17"/>
  <c r="G42" i="17" s="1"/>
  <c r="C42" i="17"/>
  <c r="J41" i="17"/>
  <c r="K41" i="17" s="1"/>
  <c r="G41" i="17"/>
  <c r="F41" i="17"/>
  <c r="C41" i="17"/>
  <c r="J40" i="17"/>
  <c r="K40" i="17" s="1"/>
  <c r="F40" i="17"/>
  <c r="G40" i="17" s="1"/>
  <c r="C40" i="17"/>
  <c r="K39" i="17"/>
  <c r="J39" i="17"/>
  <c r="F39" i="17"/>
  <c r="G39" i="17" s="1"/>
  <c r="C39" i="17"/>
  <c r="J38" i="17"/>
  <c r="K38" i="17" s="1"/>
  <c r="G38" i="17"/>
  <c r="F38" i="17"/>
  <c r="C38" i="17"/>
  <c r="J37" i="17"/>
  <c r="K37" i="17" s="1"/>
  <c r="G37" i="17"/>
  <c r="F37" i="17"/>
  <c r="C37" i="17"/>
  <c r="K36" i="17"/>
  <c r="J36" i="17"/>
  <c r="F36" i="17"/>
  <c r="G36" i="17" s="1"/>
  <c r="C36" i="17"/>
  <c r="O28" i="17"/>
  <c r="N28" i="17"/>
  <c r="J28" i="17"/>
  <c r="K28" i="17" s="1"/>
  <c r="G28" i="17"/>
  <c r="F28" i="17"/>
  <c r="C28" i="17"/>
  <c r="O27" i="17"/>
  <c r="N27" i="17"/>
  <c r="K27" i="17"/>
  <c r="J27" i="17"/>
  <c r="F27" i="17"/>
  <c r="G27" i="17" s="1"/>
  <c r="C27" i="17"/>
  <c r="N26" i="17"/>
  <c r="O26" i="17" s="1"/>
  <c r="K26" i="17"/>
  <c r="J26" i="17"/>
  <c r="F26" i="17"/>
  <c r="G26" i="17" s="1"/>
  <c r="C26" i="17"/>
  <c r="N25" i="17"/>
  <c r="O25" i="17" s="1"/>
  <c r="K25" i="17"/>
  <c r="J25" i="17"/>
  <c r="G25" i="17"/>
  <c r="F25" i="17"/>
  <c r="C25" i="17"/>
  <c r="O24" i="17"/>
  <c r="N24" i="17"/>
  <c r="J24" i="17"/>
  <c r="K24" i="17" s="1"/>
  <c r="G24" i="17"/>
  <c r="F24" i="17"/>
  <c r="C24" i="17"/>
  <c r="N23" i="17"/>
  <c r="O23" i="17" s="1"/>
  <c r="J23" i="17"/>
  <c r="K23" i="17" s="1"/>
  <c r="G23" i="17"/>
  <c r="F23" i="17"/>
  <c r="C23" i="17"/>
  <c r="N22" i="17"/>
  <c r="O22" i="17" s="1"/>
  <c r="K22" i="17"/>
  <c r="J22" i="17"/>
  <c r="F22" i="17"/>
  <c r="G22" i="17" s="1"/>
  <c r="C22" i="17"/>
  <c r="O21" i="17"/>
  <c r="N21" i="17"/>
  <c r="J21" i="17"/>
  <c r="K21" i="17" s="1"/>
  <c r="F21" i="17"/>
  <c r="G21" i="17" s="1"/>
  <c r="C21" i="17"/>
  <c r="O20" i="17"/>
  <c r="N20" i="17"/>
  <c r="J20" i="17"/>
  <c r="K20" i="17" s="1"/>
  <c r="G20" i="17"/>
  <c r="F20" i="17"/>
  <c r="C20" i="17"/>
  <c r="O19" i="17"/>
  <c r="N19" i="17"/>
  <c r="K19" i="17"/>
  <c r="J19" i="17"/>
  <c r="F19" i="17"/>
  <c r="G19" i="17" s="1"/>
  <c r="C19" i="17"/>
  <c r="N18" i="17"/>
  <c r="O18" i="17" s="1"/>
  <c r="K18" i="17"/>
  <c r="J18" i="17"/>
  <c r="F18" i="17"/>
  <c r="G18" i="17" s="1"/>
  <c r="C18" i="17"/>
  <c r="N17" i="17"/>
  <c r="O17" i="17" s="1"/>
  <c r="K17" i="17"/>
  <c r="J17" i="17"/>
  <c r="G17" i="17"/>
  <c r="F17" i="17"/>
  <c r="C17" i="17"/>
  <c r="O16" i="17"/>
  <c r="N16" i="17"/>
  <c r="J16" i="17"/>
  <c r="K16" i="17" s="1"/>
  <c r="G16" i="17"/>
  <c r="F16" i="17"/>
  <c r="C16" i="17"/>
  <c r="N15" i="17"/>
  <c r="O15" i="17" s="1"/>
  <c r="J15" i="17"/>
  <c r="K15" i="17" s="1"/>
  <c r="G15" i="17"/>
  <c r="F15" i="17"/>
  <c r="C15" i="17"/>
  <c r="N14" i="17"/>
  <c r="O14" i="17" s="1"/>
  <c r="K14" i="17"/>
  <c r="J14" i="17"/>
  <c r="F14" i="17"/>
  <c r="G14" i="17" s="1"/>
  <c r="C14" i="17"/>
  <c r="O13" i="17"/>
  <c r="N13" i="17"/>
  <c r="J13" i="17"/>
  <c r="K13" i="17" s="1"/>
  <c r="F13" i="17"/>
  <c r="G13" i="17" s="1"/>
  <c r="C13" i="17"/>
  <c r="O12" i="17"/>
  <c r="N12" i="17"/>
  <c r="J12" i="17"/>
  <c r="K12" i="17" s="1"/>
  <c r="G12" i="17"/>
  <c r="F12" i="17"/>
  <c r="C12" i="17"/>
  <c r="O11" i="17"/>
  <c r="N11" i="17"/>
  <c r="K11" i="17"/>
  <c r="J11" i="17"/>
  <c r="F11" i="17"/>
  <c r="G11" i="17" s="1"/>
  <c r="C11" i="17"/>
  <c r="N10" i="17"/>
  <c r="O10" i="17" s="1"/>
  <c r="K10" i="17"/>
  <c r="J10" i="17"/>
  <c r="F10" i="17"/>
  <c r="G10" i="17" s="1"/>
  <c r="C10" i="17"/>
  <c r="N9" i="17"/>
  <c r="O9" i="17" s="1"/>
  <c r="K9" i="17"/>
  <c r="J9" i="17"/>
  <c r="G9" i="17"/>
  <c r="F9" i="17"/>
  <c r="C9" i="17"/>
  <c r="O8" i="17"/>
  <c r="N8" i="17"/>
  <c r="J8" i="17"/>
  <c r="K8" i="17" s="1"/>
  <c r="G8" i="17"/>
  <c r="F8" i="17"/>
  <c r="C8" i="17"/>
  <c r="N7" i="17"/>
  <c r="O7" i="17" s="1"/>
  <c r="J7" i="17"/>
  <c r="K7" i="17" s="1"/>
  <c r="G7" i="17"/>
  <c r="F7" i="17"/>
  <c r="C7" i="17"/>
  <c r="N6" i="17"/>
  <c r="O6" i="17" s="1"/>
  <c r="K6" i="17"/>
  <c r="J6" i="17"/>
  <c r="F6" i="17"/>
  <c r="G6" i="17" s="1"/>
  <c r="C6" i="17"/>
  <c r="O5" i="17"/>
  <c r="N5" i="17"/>
  <c r="J5" i="17"/>
  <c r="K5" i="17" s="1"/>
  <c r="F5" i="17"/>
  <c r="G5" i="17" s="1"/>
  <c r="C5" i="17"/>
  <c r="O4" i="17"/>
  <c r="N4" i="17"/>
  <c r="J4" i="17"/>
  <c r="K4" i="17" s="1"/>
  <c r="G4" i="17"/>
  <c r="F4" i="17"/>
  <c r="C4" i="17"/>
  <c r="R43" i="15"/>
  <c r="Q43" i="15"/>
  <c r="P43" i="15"/>
  <c r="R40" i="15"/>
  <c r="Q40" i="15"/>
  <c r="P40" i="15"/>
  <c r="O40" i="15"/>
  <c r="R39" i="15"/>
  <c r="Q39" i="15"/>
  <c r="P39" i="15"/>
  <c r="O39" i="15"/>
  <c r="R38" i="15"/>
  <c r="Q38" i="15"/>
  <c r="P38" i="15"/>
  <c r="O38" i="15"/>
  <c r="R36" i="15"/>
  <c r="L36" i="15"/>
  <c r="I36" i="15"/>
  <c r="Q36" i="15" s="1"/>
  <c r="F36" i="15"/>
  <c r="P36" i="15" s="1"/>
  <c r="E36" i="15"/>
  <c r="O36" i="15" s="1"/>
  <c r="R35" i="15"/>
  <c r="O35" i="15"/>
  <c r="L35" i="15"/>
  <c r="I35" i="15"/>
  <c r="Q35" i="15" s="1"/>
  <c r="F35" i="15"/>
  <c r="P35" i="15" s="1"/>
  <c r="E35" i="15"/>
  <c r="R34" i="15"/>
  <c r="O34" i="15"/>
  <c r="L34" i="15"/>
  <c r="I34" i="15"/>
  <c r="Q34" i="15" s="1"/>
  <c r="F34" i="15"/>
  <c r="P34" i="15" s="1"/>
  <c r="E34" i="15"/>
  <c r="R33" i="15"/>
  <c r="O33" i="15"/>
  <c r="L33" i="15"/>
  <c r="I33" i="15"/>
  <c r="Q33" i="15" s="1"/>
  <c r="F33" i="15"/>
  <c r="P33" i="15" s="1"/>
  <c r="E33" i="15"/>
  <c r="R32" i="15"/>
  <c r="O32" i="15"/>
  <c r="L32" i="15"/>
  <c r="I32" i="15"/>
  <c r="Q32" i="15" s="1"/>
  <c r="F32" i="15"/>
  <c r="P32" i="15" s="1"/>
  <c r="E32" i="15"/>
  <c r="R31" i="15"/>
  <c r="O31" i="15"/>
  <c r="L31" i="15"/>
  <c r="I31" i="15"/>
  <c r="Q31" i="15" s="1"/>
  <c r="F31" i="15"/>
  <c r="P31" i="15" s="1"/>
  <c r="E31" i="15"/>
  <c r="R30" i="15"/>
  <c r="O30" i="15"/>
  <c r="L30" i="15"/>
  <c r="I30" i="15"/>
  <c r="Q30" i="15" s="1"/>
  <c r="F30" i="15"/>
  <c r="P30" i="15" s="1"/>
  <c r="E30" i="15"/>
  <c r="R29" i="15"/>
  <c r="O29" i="15"/>
  <c r="L29" i="15"/>
  <c r="I29" i="15"/>
  <c r="Q29" i="15" s="1"/>
  <c r="F29" i="15"/>
  <c r="P29" i="15" s="1"/>
  <c r="E29" i="15"/>
  <c r="R28" i="15"/>
  <c r="O28" i="15"/>
  <c r="L28" i="15"/>
  <c r="I28" i="15"/>
  <c r="Q28" i="15" s="1"/>
  <c r="F28" i="15"/>
  <c r="P28" i="15" s="1"/>
  <c r="E28" i="15"/>
  <c r="R27" i="15"/>
  <c r="O27" i="15"/>
  <c r="L27" i="15"/>
  <c r="I27" i="15"/>
  <c r="Q27" i="15" s="1"/>
  <c r="F27" i="15"/>
  <c r="P27" i="15" s="1"/>
  <c r="E27" i="15"/>
  <c r="R26" i="15"/>
  <c r="O26" i="15"/>
  <c r="L26" i="15"/>
  <c r="I26" i="15"/>
  <c r="Q26" i="15" s="1"/>
  <c r="F26" i="15"/>
  <c r="P26" i="15" s="1"/>
  <c r="E26" i="15"/>
  <c r="R25" i="15"/>
  <c r="O25" i="15"/>
  <c r="L25" i="15"/>
  <c r="I25" i="15"/>
  <c r="Q25" i="15" s="1"/>
  <c r="F25" i="15"/>
  <c r="P25" i="15" s="1"/>
  <c r="E25" i="15"/>
  <c r="R24" i="15"/>
  <c r="O24" i="15"/>
  <c r="L24" i="15"/>
  <c r="I24" i="15"/>
  <c r="Q24" i="15" s="1"/>
  <c r="F24" i="15"/>
  <c r="P24" i="15" s="1"/>
  <c r="E24" i="15"/>
  <c r="R23" i="15"/>
  <c r="O23" i="15"/>
  <c r="L23" i="15"/>
  <c r="I23" i="15"/>
  <c r="Q23" i="15" s="1"/>
  <c r="F23" i="15"/>
  <c r="P23" i="15" s="1"/>
  <c r="E23" i="15"/>
  <c r="R22" i="15"/>
  <c r="O22" i="15"/>
  <c r="L22" i="15"/>
  <c r="I22" i="15"/>
  <c r="Q22" i="15" s="1"/>
  <c r="F22" i="15"/>
  <c r="P22" i="15" s="1"/>
  <c r="E22" i="15"/>
  <c r="R21" i="15"/>
  <c r="O21" i="15"/>
  <c r="L21" i="15"/>
  <c r="I21" i="15"/>
  <c r="Q21" i="15" s="1"/>
  <c r="F21" i="15"/>
  <c r="P21" i="15" s="1"/>
  <c r="E21" i="15"/>
  <c r="R20" i="15"/>
  <c r="O20" i="15"/>
  <c r="L20" i="15"/>
  <c r="I20" i="15"/>
  <c r="Q20" i="15" s="1"/>
  <c r="F20" i="15"/>
  <c r="P20" i="15" s="1"/>
  <c r="E20" i="15"/>
  <c r="R19" i="15"/>
  <c r="O19" i="15"/>
  <c r="L19" i="15"/>
  <c r="I19" i="15"/>
  <c r="Q19" i="15" s="1"/>
  <c r="F19" i="15"/>
  <c r="P19" i="15" s="1"/>
  <c r="E19" i="15"/>
  <c r="R18" i="15"/>
  <c r="O18" i="15"/>
  <c r="L18" i="15"/>
  <c r="I18" i="15"/>
  <c r="Q18" i="15" s="1"/>
  <c r="F18" i="15"/>
  <c r="P18" i="15" s="1"/>
  <c r="E18" i="15"/>
  <c r="R17" i="15"/>
  <c r="O17" i="15"/>
  <c r="L17" i="15"/>
  <c r="I17" i="15"/>
  <c r="Q17" i="15" s="1"/>
  <c r="F17" i="15"/>
  <c r="P17" i="15" s="1"/>
  <c r="E17" i="15"/>
  <c r="R16" i="15"/>
  <c r="O16" i="15"/>
  <c r="L16" i="15"/>
  <c r="I16" i="15"/>
  <c r="Q16" i="15" s="1"/>
  <c r="F16" i="15"/>
  <c r="P16" i="15" s="1"/>
  <c r="E16" i="15"/>
  <c r="R15" i="15"/>
  <c r="O15" i="15"/>
  <c r="L15" i="15"/>
  <c r="I15" i="15"/>
  <c r="Q15" i="15" s="1"/>
  <c r="F15" i="15"/>
  <c r="P15" i="15" s="1"/>
  <c r="E15" i="15"/>
  <c r="R14" i="15"/>
  <c r="O14" i="15"/>
  <c r="L14" i="15"/>
  <c r="I14" i="15"/>
  <c r="Q14" i="15" s="1"/>
  <c r="F14" i="15"/>
  <c r="P14" i="15" s="1"/>
  <c r="E14" i="15"/>
  <c r="R13" i="15"/>
  <c r="O13" i="15"/>
  <c r="L13" i="15"/>
  <c r="I13" i="15"/>
  <c r="Q13" i="15" s="1"/>
  <c r="F13" i="15"/>
  <c r="P13" i="15" s="1"/>
  <c r="E13" i="15"/>
  <c r="R12" i="15"/>
  <c r="O12" i="15"/>
  <c r="L12" i="15"/>
  <c r="I12" i="15"/>
  <c r="Q12" i="15" s="1"/>
  <c r="F12" i="15"/>
  <c r="P12" i="15" s="1"/>
  <c r="E12" i="15"/>
  <c r="R11" i="15"/>
  <c r="O11" i="15"/>
  <c r="L11" i="15"/>
  <c r="I11" i="15"/>
  <c r="Q11" i="15" s="1"/>
  <c r="F11" i="15"/>
  <c r="P11" i="15" s="1"/>
  <c r="E11" i="15"/>
  <c r="R10" i="15"/>
  <c r="O10" i="15"/>
  <c r="L10" i="15"/>
  <c r="I10" i="15"/>
  <c r="Q10" i="15" s="1"/>
  <c r="F10" i="15"/>
  <c r="P10" i="15" s="1"/>
  <c r="E10" i="15"/>
  <c r="R9" i="15"/>
  <c r="O9" i="15"/>
  <c r="L9" i="15"/>
  <c r="I9" i="15"/>
  <c r="Q9" i="15" s="1"/>
  <c r="F9" i="15"/>
  <c r="P9" i="15" s="1"/>
  <c r="E9" i="15"/>
  <c r="R8" i="15"/>
  <c r="O8" i="15"/>
  <c r="L8" i="15"/>
  <c r="I8" i="15"/>
  <c r="Q8" i="15" s="1"/>
  <c r="F8" i="15"/>
  <c r="P8" i="15" s="1"/>
  <c r="E8" i="15"/>
  <c r="R7" i="15"/>
  <c r="O7" i="15"/>
  <c r="L7" i="15"/>
  <c r="I7" i="15"/>
  <c r="Q7" i="15" s="1"/>
  <c r="F7" i="15"/>
  <c r="P7" i="15" s="1"/>
  <c r="E7" i="15"/>
  <c r="R6" i="15"/>
  <c r="O6" i="15"/>
  <c r="L6" i="15"/>
  <c r="I6" i="15"/>
  <c r="Q6" i="15" s="1"/>
  <c r="F6" i="15"/>
  <c r="P6" i="15" s="1"/>
  <c r="E6" i="15"/>
  <c r="R5" i="15"/>
  <c r="O5" i="15"/>
  <c r="L5" i="15"/>
  <c r="I5" i="15"/>
  <c r="Q5" i="15" s="1"/>
  <c r="F5" i="15"/>
  <c r="P5" i="15" s="1"/>
  <c r="E5" i="15"/>
  <c r="R4" i="15"/>
  <c r="O4" i="15"/>
  <c r="L4" i="15"/>
  <c r="I4" i="15"/>
  <c r="Q4" i="15" s="1"/>
  <c r="F4" i="15"/>
  <c r="P4" i="15" s="1"/>
  <c r="E4" i="15"/>
  <c r="R3" i="15"/>
  <c r="O3" i="15"/>
  <c r="L3" i="15"/>
  <c r="I3" i="15"/>
  <c r="Q3" i="15" s="1"/>
  <c r="F3" i="15"/>
  <c r="P3" i="15" s="1"/>
  <c r="E3" i="15"/>
  <c r="R2" i="15"/>
  <c r="O2" i="15"/>
  <c r="L2" i="15"/>
  <c r="I2" i="15"/>
  <c r="Q2" i="15" s="1"/>
  <c r="F2" i="15"/>
  <c r="P2" i="15" s="1"/>
  <c r="E2" i="15"/>
  <c r="R43" i="14"/>
  <c r="Q43" i="14"/>
  <c r="P43" i="14"/>
  <c r="R40" i="14"/>
  <c r="Q40" i="14"/>
  <c r="P40" i="14"/>
  <c r="O40" i="14"/>
  <c r="R39" i="14"/>
  <c r="Q39" i="14"/>
  <c r="P39" i="14"/>
  <c r="O39" i="14"/>
  <c r="R38" i="14"/>
  <c r="Q38" i="14"/>
  <c r="P38" i="14"/>
  <c r="O38" i="14"/>
  <c r="Q36" i="14"/>
  <c r="L36" i="14"/>
  <c r="R36" i="14" s="1"/>
  <c r="I36" i="14"/>
  <c r="F36" i="14"/>
  <c r="P36" i="14" s="1"/>
  <c r="E36" i="14"/>
  <c r="O36" i="14" s="1"/>
  <c r="Q35" i="14"/>
  <c r="L35" i="14"/>
  <c r="R35" i="14" s="1"/>
  <c r="I35" i="14"/>
  <c r="F35" i="14"/>
  <c r="P35" i="14" s="1"/>
  <c r="E35" i="14"/>
  <c r="O35" i="14" s="1"/>
  <c r="Q34" i="14"/>
  <c r="L34" i="14"/>
  <c r="R34" i="14" s="1"/>
  <c r="I34" i="14"/>
  <c r="F34" i="14"/>
  <c r="P34" i="14" s="1"/>
  <c r="E34" i="14"/>
  <c r="O34" i="14" s="1"/>
  <c r="Q33" i="14"/>
  <c r="L33" i="14"/>
  <c r="R33" i="14" s="1"/>
  <c r="I33" i="14"/>
  <c r="F33" i="14"/>
  <c r="P33" i="14" s="1"/>
  <c r="E33" i="14"/>
  <c r="O33" i="14" s="1"/>
  <c r="Q32" i="14"/>
  <c r="L32" i="14"/>
  <c r="R32" i="14" s="1"/>
  <c r="I32" i="14"/>
  <c r="F32" i="14"/>
  <c r="P32" i="14" s="1"/>
  <c r="E32" i="14"/>
  <c r="O32" i="14" s="1"/>
  <c r="Q31" i="14"/>
  <c r="L31" i="14"/>
  <c r="R31" i="14" s="1"/>
  <c r="I31" i="14"/>
  <c r="F31" i="14"/>
  <c r="P31" i="14" s="1"/>
  <c r="E31" i="14"/>
  <c r="O31" i="14" s="1"/>
  <c r="Q30" i="14"/>
  <c r="L30" i="14"/>
  <c r="R30" i="14" s="1"/>
  <c r="I30" i="14"/>
  <c r="F30" i="14"/>
  <c r="P30" i="14" s="1"/>
  <c r="E30" i="14"/>
  <c r="O30" i="14" s="1"/>
  <c r="Q29" i="14"/>
  <c r="L29" i="14"/>
  <c r="R29" i="14" s="1"/>
  <c r="I29" i="14"/>
  <c r="F29" i="14"/>
  <c r="P29" i="14" s="1"/>
  <c r="E29" i="14"/>
  <c r="O29" i="14" s="1"/>
  <c r="Q28" i="14"/>
  <c r="L28" i="14"/>
  <c r="R28" i="14" s="1"/>
  <c r="I28" i="14"/>
  <c r="F28" i="14"/>
  <c r="P28" i="14" s="1"/>
  <c r="E28" i="14"/>
  <c r="O28" i="14" s="1"/>
  <c r="Q27" i="14"/>
  <c r="L27" i="14"/>
  <c r="R27" i="14" s="1"/>
  <c r="I27" i="14"/>
  <c r="F27" i="14"/>
  <c r="P27" i="14" s="1"/>
  <c r="E27" i="14"/>
  <c r="O27" i="14" s="1"/>
  <c r="Q26" i="14"/>
  <c r="L26" i="14"/>
  <c r="R26" i="14" s="1"/>
  <c r="I26" i="14"/>
  <c r="F26" i="14"/>
  <c r="P26" i="14" s="1"/>
  <c r="E26" i="14"/>
  <c r="O26" i="14" s="1"/>
  <c r="Q25" i="14"/>
  <c r="L25" i="14"/>
  <c r="R25" i="14" s="1"/>
  <c r="I25" i="14"/>
  <c r="F25" i="14"/>
  <c r="P25" i="14" s="1"/>
  <c r="E25" i="14"/>
  <c r="O25" i="14" s="1"/>
  <c r="Q24" i="14"/>
  <c r="L24" i="14"/>
  <c r="R24" i="14" s="1"/>
  <c r="I24" i="14"/>
  <c r="F24" i="14"/>
  <c r="P24" i="14" s="1"/>
  <c r="E24" i="14"/>
  <c r="O24" i="14" s="1"/>
  <c r="Q23" i="14"/>
  <c r="L23" i="14"/>
  <c r="R23" i="14" s="1"/>
  <c r="I23" i="14"/>
  <c r="F23" i="14"/>
  <c r="P23" i="14" s="1"/>
  <c r="E23" i="14"/>
  <c r="O23" i="14" s="1"/>
  <c r="Q22" i="14"/>
  <c r="L22" i="14"/>
  <c r="R22" i="14" s="1"/>
  <c r="I22" i="14"/>
  <c r="F22" i="14"/>
  <c r="P22" i="14" s="1"/>
  <c r="E22" i="14"/>
  <c r="O22" i="14" s="1"/>
  <c r="Q21" i="14"/>
  <c r="L21" i="14"/>
  <c r="R21" i="14" s="1"/>
  <c r="I21" i="14"/>
  <c r="F21" i="14"/>
  <c r="P21" i="14" s="1"/>
  <c r="E21" i="14"/>
  <c r="O21" i="14" s="1"/>
  <c r="Q20" i="14"/>
  <c r="L20" i="14"/>
  <c r="R20" i="14" s="1"/>
  <c r="I20" i="14"/>
  <c r="F20" i="14"/>
  <c r="P20" i="14" s="1"/>
  <c r="E20" i="14"/>
  <c r="O20" i="14" s="1"/>
  <c r="Q19" i="14"/>
  <c r="L19" i="14"/>
  <c r="R19" i="14" s="1"/>
  <c r="I19" i="14"/>
  <c r="F19" i="14"/>
  <c r="P19" i="14" s="1"/>
  <c r="E19" i="14"/>
  <c r="O19" i="14" s="1"/>
  <c r="Q18" i="14"/>
  <c r="L18" i="14"/>
  <c r="R18" i="14" s="1"/>
  <c r="I18" i="14"/>
  <c r="F18" i="14"/>
  <c r="P18" i="14" s="1"/>
  <c r="E18" i="14"/>
  <c r="O18" i="14" s="1"/>
  <c r="Q17" i="14"/>
  <c r="L17" i="14"/>
  <c r="R17" i="14" s="1"/>
  <c r="I17" i="14"/>
  <c r="F17" i="14"/>
  <c r="P17" i="14" s="1"/>
  <c r="E17" i="14"/>
  <c r="O17" i="14" s="1"/>
  <c r="Q16" i="14"/>
  <c r="L16" i="14"/>
  <c r="R16" i="14" s="1"/>
  <c r="I16" i="14"/>
  <c r="F16" i="14"/>
  <c r="P16" i="14" s="1"/>
  <c r="E16" i="14"/>
  <c r="O16" i="14" s="1"/>
  <c r="Q15" i="14"/>
  <c r="L15" i="14"/>
  <c r="R15" i="14" s="1"/>
  <c r="I15" i="14"/>
  <c r="F15" i="14"/>
  <c r="P15" i="14" s="1"/>
  <c r="E15" i="14"/>
  <c r="O15" i="14" s="1"/>
  <c r="Q14" i="14"/>
  <c r="L14" i="14"/>
  <c r="R14" i="14" s="1"/>
  <c r="I14" i="14"/>
  <c r="F14" i="14"/>
  <c r="P14" i="14" s="1"/>
  <c r="E14" i="14"/>
  <c r="O14" i="14" s="1"/>
  <c r="Q13" i="14"/>
  <c r="L13" i="14"/>
  <c r="R13" i="14" s="1"/>
  <c r="I13" i="14"/>
  <c r="F13" i="14"/>
  <c r="P13" i="14" s="1"/>
  <c r="E13" i="14"/>
  <c r="O13" i="14" s="1"/>
  <c r="Q12" i="14"/>
  <c r="L12" i="14"/>
  <c r="R12" i="14" s="1"/>
  <c r="I12" i="14"/>
  <c r="F12" i="14"/>
  <c r="P12" i="14" s="1"/>
  <c r="E12" i="14"/>
  <c r="O12" i="14" s="1"/>
  <c r="Q11" i="14"/>
  <c r="L11" i="14"/>
  <c r="R11" i="14" s="1"/>
  <c r="I11" i="14"/>
  <c r="F11" i="14"/>
  <c r="P11" i="14" s="1"/>
  <c r="E11" i="14"/>
  <c r="O11" i="14" s="1"/>
  <c r="Q10" i="14"/>
  <c r="L10" i="14"/>
  <c r="R10" i="14" s="1"/>
  <c r="I10" i="14"/>
  <c r="F10" i="14"/>
  <c r="P10" i="14" s="1"/>
  <c r="E10" i="14"/>
  <c r="O10" i="14" s="1"/>
  <c r="Q9" i="14"/>
  <c r="L9" i="14"/>
  <c r="R9" i="14" s="1"/>
  <c r="I9" i="14"/>
  <c r="F9" i="14"/>
  <c r="P9" i="14" s="1"/>
  <c r="E9" i="14"/>
  <c r="O9" i="14" s="1"/>
  <c r="Q8" i="14"/>
  <c r="L8" i="14"/>
  <c r="R8" i="14" s="1"/>
  <c r="I8" i="14"/>
  <c r="F8" i="14"/>
  <c r="P8" i="14" s="1"/>
  <c r="E8" i="14"/>
  <c r="O8" i="14" s="1"/>
  <c r="Q7" i="14"/>
  <c r="L7" i="14"/>
  <c r="R7" i="14" s="1"/>
  <c r="I7" i="14"/>
  <c r="F7" i="14"/>
  <c r="P7" i="14" s="1"/>
  <c r="E7" i="14"/>
  <c r="O7" i="14" s="1"/>
  <c r="Q6" i="14"/>
  <c r="L6" i="14"/>
  <c r="R6" i="14" s="1"/>
  <c r="I6" i="14"/>
  <c r="F6" i="14"/>
  <c r="P6" i="14" s="1"/>
  <c r="E6" i="14"/>
  <c r="O6" i="14" s="1"/>
  <c r="Q5" i="14"/>
  <c r="L5" i="14"/>
  <c r="R5" i="14" s="1"/>
  <c r="I5" i="14"/>
  <c r="F5" i="14"/>
  <c r="P5" i="14" s="1"/>
  <c r="E5" i="14"/>
  <c r="O5" i="14" s="1"/>
  <c r="Q4" i="14"/>
  <c r="L4" i="14"/>
  <c r="R4" i="14" s="1"/>
  <c r="I4" i="14"/>
  <c r="F4" i="14"/>
  <c r="P4" i="14" s="1"/>
  <c r="E4" i="14"/>
  <c r="O4" i="14" s="1"/>
  <c r="Q3" i="14"/>
  <c r="L3" i="14"/>
  <c r="R3" i="14" s="1"/>
  <c r="I3" i="14"/>
  <c r="F3" i="14"/>
  <c r="P3" i="14" s="1"/>
  <c r="E3" i="14"/>
  <c r="O3" i="14" s="1"/>
  <c r="Q2" i="14"/>
  <c r="L2" i="14"/>
  <c r="R2" i="14" s="1"/>
  <c r="I2" i="14"/>
  <c r="F2" i="14"/>
  <c r="P2" i="14" s="1"/>
  <c r="E2" i="14"/>
  <c r="O2" i="14" s="1"/>
  <c r="R43" i="13"/>
  <c r="Q43" i="13"/>
  <c r="P43" i="13"/>
  <c r="R40" i="13"/>
  <c r="Q40" i="13"/>
  <c r="P40" i="13"/>
  <c r="O40" i="13"/>
  <c r="R39" i="13"/>
  <c r="Q39" i="13"/>
  <c r="P39" i="13"/>
  <c r="O39" i="13"/>
  <c r="R38" i="13"/>
  <c r="Q38" i="13"/>
  <c r="P38" i="13"/>
  <c r="O38" i="13"/>
  <c r="P36" i="13"/>
  <c r="L36" i="13"/>
  <c r="R36" i="13" s="1"/>
  <c r="I36" i="13"/>
  <c r="Q36" i="13" s="1"/>
  <c r="F36" i="13"/>
  <c r="E36" i="13"/>
  <c r="O36" i="13" s="1"/>
  <c r="P35" i="13"/>
  <c r="L35" i="13"/>
  <c r="R35" i="13" s="1"/>
  <c r="I35" i="13"/>
  <c r="Q35" i="13" s="1"/>
  <c r="F35" i="13"/>
  <c r="E35" i="13"/>
  <c r="O35" i="13" s="1"/>
  <c r="P34" i="13"/>
  <c r="L34" i="13"/>
  <c r="R34" i="13" s="1"/>
  <c r="I34" i="13"/>
  <c r="Q34" i="13" s="1"/>
  <c r="F34" i="13"/>
  <c r="E34" i="13"/>
  <c r="O34" i="13" s="1"/>
  <c r="R33" i="13"/>
  <c r="L33" i="13"/>
  <c r="I33" i="13"/>
  <c r="Q33" i="13" s="1"/>
  <c r="F33" i="13"/>
  <c r="P33" i="13" s="1"/>
  <c r="E33" i="13"/>
  <c r="O33" i="13" s="1"/>
  <c r="R32" i="13"/>
  <c r="L32" i="13"/>
  <c r="I32" i="13"/>
  <c r="Q32" i="13" s="1"/>
  <c r="F32" i="13"/>
  <c r="P32" i="13" s="1"/>
  <c r="E32" i="13"/>
  <c r="O32" i="13" s="1"/>
  <c r="R31" i="13"/>
  <c r="L31" i="13"/>
  <c r="I31" i="13"/>
  <c r="Q31" i="13" s="1"/>
  <c r="F31" i="13"/>
  <c r="P31" i="13" s="1"/>
  <c r="E31" i="13"/>
  <c r="O31" i="13" s="1"/>
  <c r="R30" i="13"/>
  <c r="P30" i="13"/>
  <c r="L30" i="13"/>
  <c r="I30" i="13"/>
  <c r="Q30" i="13" s="1"/>
  <c r="F30" i="13"/>
  <c r="E30" i="13"/>
  <c r="O30" i="13" s="1"/>
  <c r="R29" i="13"/>
  <c r="L29" i="13"/>
  <c r="I29" i="13"/>
  <c r="Q29" i="13" s="1"/>
  <c r="F29" i="13"/>
  <c r="P29" i="13" s="1"/>
  <c r="E29" i="13"/>
  <c r="O29" i="13" s="1"/>
  <c r="R28" i="13"/>
  <c r="L28" i="13"/>
  <c r="I28" i="13"/>
  <c r="Q28" i="13" s="1"/>
  <c r="F28" i="13"/>
  <c r="P28" i="13" s="1"/>
  <c r="E28" i="13"/>
  <c r="O28" i="13" s="1"/>
  <c r="R27" i="13"/>
  <c r="L27" i="13"/>
  <c r="I27" i="13"/>
  <c r="Q27" i="13" s="1"/>
  <c r="F27" i="13"/>
  <c r="P27" i="13" s="1"/>
  <c r="E27" i="13"/>
  <c r="O27" i="13" s="1"/>
  <c r="R26" i="13"/>
  <c r="P26" i="13"/>
  <c r="L26" i="13"/>
  <c r="I26" i="13"/>
  <c r="Q26" i="13" s="1"/>
  <c r="F26" i="13"/>
  <c r="E26" i="13"/>
  <c r="O26" i="13" s="1"/>
  <c r="R25" i="13"/>
  <c r="L25" i="13"/>
  <c r="I25" i="13"/>
  <c r="Q25" i="13" s="1"/>
  <c r="F25" i="13"/>
  <c r="P25" i="13" s="1"/>
  <c r="E25" i="13"/>
  <c r="O25" i="13" s="1"/>
  <c r="R24" i="13"/>
  <c r="L24" i="13"/>
  <c r="I24" i="13"/>
  <c r="Q24" i="13" s="1"/>
  <c r="F24" i="13"/>
  <c r="P24" i="13" s="1"/>
  <c r="E24" i="13"/>
  <c r="O24" i="13" s="1"/>
  <c r="R23" i="13"/>
  <c r="L23" i="13"/>
  <c r="I23" i="13"/>
  <c r="Q23" i="13" s="1"/>
  <c r="F23" i="13"/>
  <c r="P23" i="13" s="1"/>
  <c r="E23" i="13"/>
  <c r="O23" i="13" s="1"/>
  <c r="R22" i="13"/>
  <c r="P22" i="13"/>
  <c r="L22" i="13"/>
  <c r="I22" i="13"/>
  <c r="Q22" i="13" s="1"/>
  <c r="F22" i="13"/>
  <c r="E22" i="13"/>
  <c r="O22" i="13" s="1"/>
  <c r="P21" i="13"/>
  <c r="O21" i="13"/>
  <c r="L21" i="13"/>
  <c r="R21" i="13" s="1"/>
  <c r="I21" i="13"/>
  <c r="Q21" i="13" s="1"/>
  <c r="F21" i="13"/>
  <c r="E21" i="13"/>
  <c r="Q20" i="13"/>
  <c r="P20" i="13"/>
  <c r="O20" i="13"/>
  <c r="L20" i="13"/>
  <c r="R20" i="13" s="1"/>
  <c r="I20" i="13"/>
  <c r="F20" i="13"/>
  <c r="E20" i="13"/>
  <c r="Q19" i="13"/>
  <c r="P19" i="13"/>
  <c r="O19" i="13"/>
  <c r="L19" i="13"/>
  <c r="R19" i="13" s="1"/>
  <c r="I19" i="13"/>
  <c r="F19" i="13"/>
  <c r="E19" i="13"/>
  <c r="Q18" i="13"/>
  <c r="P18" i="13"/>
  <c r="O18" i="13"/>
  <c r="L18" i="13"/>
  <c r="R18" i="13" s="1"/>
  <c r="I18" i="13"/>
  <c r="F18" i="13"/>
  <c r="E18" i="13"/>
  <c r="Q17" i="13"/>
  <c r="P17" i="13"/>
  <c r="O17" i="13"/>
  <c r="L17" i="13"/>
  <c r="R17" i="13" s="1"/>
  <c r="I17" i="13"/>
  <c r="F17" i="13"/>
  <c r="E17" i="13"/>
  <c r="Q16" i="13"/>
  <c r="P16" i="13"/>
  <c r="O16" i="13"/>
  <c r="L16" i="13"/>
  <c r="R16" i="13" s="1"/>
  <c r="I16" i="13"/>
  <c r="F16" i="13"/>
  <c r="E16" i="13"/>
  <c r="Q15" i="13"/>
  <c r="P15" i="13"/>
  <c r="O15" i="13"/>
  <c r="L15" i="13"/>
  <c r="R15" i="13" s="1"/>
  <c r="I15" i="13"/>
  <c r="F15" i="13"/>
  <c r="E15" i="13"/>
  <c r="Q14" i="13"/>
  <c r="P14" i="13"/>
  <c r="O14" i="13"/>
  <c r="L14" i="13"/>
  <c r="R14" i="13" s="1"/>
  <c r="I14" i="13"/>
  <c r="F14" i="13"/>
  <c r="E14" i="13"/>
  <c r="Q13" i="13"/>
  <c r="P13" i="13"/>
  <c r="O13" i="13"/>
  <c r="L13" i="13"/>
  <c r="R13" i="13" s="1"/>
  <c r="I13" i="13"/>
  <c r="F13" i="13"/>
  <c r="E13" i="13"/>
  <c r="Q12" i="13"/>
  <c r="P12" i="13"/>
  <c r="O12" i="13"/>
  <c r="L12" i="13"/>
  <c r="R12" i="13" s="1"/>
  <c r="I12" i="13"/>
  <c r="F12" i="13"/>
  <c r="E12" i="13"/>
  <c r="Q11" i="13"/>
  <c r="P11" i="13"/>
  <c r="O11" i="13"/>
  <c r="L11" i="13"/>
  <c r="R11" i="13" s="1"/>
  <c r="I11" i="13"/>
  <c r="F11" i="13"/>
  <c r="E11" i="13"/>
  <c r="Q10" i="13"/>
  <c r="P10" i="13"/>
  <c r="O10" i="13"/>
  <c r="L10" i="13"/>
  <c r="R10" i="13" s="1"/>
  <c r="I10" i="13"/>
  <c r="F10" i="13"/>
  <c r="E10" i="13"/>
  <c r="Q9" i="13"/>
  <c r="P9" i="13"/>
  <c r="O9" i="13"/>
  <c r="L9" i="13"/>
  <c r="R9" i="13" s="1"/>
  <c r="I9" i="13"/>
  <c r="F9" i="13"/>
  <c r="E9" i="13"/>
  <c r="Q8" i="13"/>
  <c r="P8" i="13"/>
  <c r="O8" i="13"/>
  <c r="L8" i="13"/>
  <c r="R8" i="13" s="1"/>
  <c r="I8" i="13"/>
  <c r="F8" i="13"/>
  <c r="E8" i="13"/>
  <c r="Q7" i="13"/>
  <c r="P7" i="13"/>
  <c r="O7" i="13"/>
  <c r="L7" i="13"/>
  <c r="R7" i="13" s="1"/>
  <c r="I7" i="13"/>
  <c r="F7" i="13"/>
  <c r="E7" i="13"/>
  <c r="Q6" i="13"/>
  <c r="P6" i="13"/>
  <c r="O6" i="13"/>
  <c r="L6" i="13"/>
  <c r="R6" i="13" s="1"/>
  <c r="I6" i="13"/>
  <c r="F6" i="13"/>
  <c r="E6" i="13"/>
  <c r="Q5" i="13"/>
  <c r="P5" i="13"/>
  <c r="O5" i="13"/>
  <c r="L5" i="13"/>
  <c r="R5" i="13" s="1"/>
  <c r="I5" i="13"/>
  <c r="F5" i="13"/>
  <c r="E5" i="13"/>
  <c r="Q4" i="13"/>
  <c r="P4" i="13"/>
  <c r="O4" i="13"/>
  <c r="L4" i="13"/>
  <c r="R4" i="13" s="1"/>
  <c r="I4" i="13"/>
  <c r="F4" i="13"/>
  <c r="E4" i="13"/>
  <c r="Q3" i="13"/>
  <c r="P3" i="13"/>
  <c r="O3" i="13"/>
  <c r="L3" i="13"/>
  <c r="R3" i="13" s="1"/>
  <c r="I3" i="13"/>
  <c r="F3" i="13"/>
  <c r="E3" i="13"/>
  <c r="Q2" i="13"/>
  <c r="P2" i="13"/>
  <c r="O2" i="13"/>
  <c r="L2" i="13"/>
  <c r="R2" i="13" s="1"/>
  <c r="I2" i="13"/>
  <c r="F2" i="13"/>
  <c r="E2" i="13"/>
  <c r="R43" i="12"/>
  <c r="Q43" i="12"/>
  <c r="P43" i="12"/>
  <c r="R40" i="12"/>
  <c r="Q40" i="12"/>
  <c r="P40" i="12"/>
  <c r="O40" i="12"/>
  <c r="R39" i="12"/>
  <c r="Q39" i="12"/>
  <c r="P39" i="12"/>
  <c r="O39" i="12"/>
  <c r="R38" i="12"/>
  <c r="Q38" i="12"/>
  <c r="P38" i="12"/>
  <c r="O38" i="12"/>
  <c r="P36" i="12"/>
  <c r="O36" i="12"/>
  <c r="L36" i="12"/>
  <c r="R36" i="12" s="1"/>
  <c r="I36" i="12"/>
  <c r="Q36" i="12" s="1"/>
  <c r="F36" i="12"/>
  <c r="E36" i="12"/>
  <c r="P35" i="12"/>
  <c r="O35" i="12"/>
  <c r="L35" i="12"/>
  <c r="R35" i="12" s="1"/>
  <c r="I35" i="12"/>
  <c r="Q35" i="12" s="1"/>
  <c r="F35" i="12"/>
  <c r="E35" i="12"/>
  <c r="P34" i="12"/>
  <c r="O34" i="12"/>
  <c r="L34" i="12"/>
  <c r="R34" i="12" s="1"/>
  <c r="I34" i="12"/>
  <c r="Q34" i="12" s="1"/>
  <c r="F34" i="12"/>
  <c r="E34" i="12"/>
  <c r="P33" i="12"/>
  <c r="O33" i="12"/>
  <c r="L33" i="12"/>
  <c r="R33" i="12" s="1"/>
  <c r="I33" i="12"/>
  <c r="Q33" i="12" s="1"/>
  <c r="F33" i="12"/>
  <c r="E33" i="12"/>
  <c r="P32" i="12"/>
  <c r="O32" i="12"/>
  <c r="L32" i="12"/>
  <c r="R32" i="12" s="1"/>
  <c r="I32" i="12"/>
  <c r="Q32" i="12" s="1"/>
  <c r="F32" i="12"/>
  <c r="E32" i="12"/>
  <c r="P31" i="12"/>
  <c r="O31" i="12"/>
  <c r="L31" i="12"/>
  <c r="R31" i="12" s="1"/>
  <c r="I31" i="12"/>
  <c r="Q31" i="12" s="1"/>
  <c r="F31" i="12"/>
  <c r="E31" i="12"/>
  <c r="P30" i="12"/>
  <c r="O30" i="12"/>
  <c r="L30" i="12"/>
  <c r="R30" i="12" s="1"/>
  <c r="I30" i="12"/>
  <c r="Q30" i="12" s="1"/>
  <c r="F30" i="12"/>
  <c r="E30" i="12"/>
  <c r="P29" i="12"/>
  <c r="O29" i="12"/>
  <c r="L29" i="12"/>
  <c r="R29" i="12" s="1"/>
  <c r="I29" i="12"/>
  <c r="Q29" i="12" s="1"/>
  <c r="F29" i="12"/>
  <c r="E29" i="12"/>
  <c r="P28" i="12"/>
  <c r="O28" i="12"/>
  <c r="L28" i="12"/>
  <c r="R28" i="12" s="1"/>
  <c r="I28" i="12"/>
  <c r="Q28" i="12" s="1"/>
  <c r="F28" i="12"/>
  <c r="E28" i="12"/>
  <c r="P27" i="12"/>
  <c r="O27" i="12"/>
  <c r="L27" i="12"/>
  <c r="R27" i="12" s="1"/>
  <c r="I27" i="12"/>
  <c r="Q27" i="12" s="1"/>
  <c r="F27" i="12"/>
  <c r="E27" i="12"/>
  <c r="P26" i="12"/>
  <c r="O26" i="12"/>
  <c r="L26" i="12"/>
  <c r="R26" i="12" s="1"/>
  <c r="I26" i="12"/>
  <c r="Q26" i="12" s="1"/>
  <c r="F26" i="12"/>
  <c r="E26" i="12"/>
  <c r="P25" i="12"/>
  <c r="O25" i="12"/>
  <c r="L25" i="12"/>
  <c r="R25" i="12" s="1"/>
  <c r="I25" i="12"/>
  <c r="Q25" i="12" s="1"/>
  <c r="F25" i="12"/>
  <c r="E25" i="12"/>
  <c r="P24" i="12"/>
  <c r="O24" i="12"/>
  <c r="L24" i="12"/>
  <c r="R24" i="12" s="1"/>
  <c r="I24" i="12"/>
  <c r="Q24" i="12" s="1"/>
  <c r="F24" i="12"/>
  <c r="E24" i="12"/>
  <c r="P23" i="12"/>
  <c r="O23" i="12"/>
  <c r="L23" i="12"/>
  <c r="R23" i="12" s="1"/>
  <c r="I23" i="12"/>
  <c r="Q23" i="12" s="1"/>
  <c r="F23" i="12"/>
  <c r="E23" i="12"/>
  <c r="P22" i="12"/>
  <c r="O22" i="12"/>
  <c r="L22" i="12"/>
  <c r="R22" i="12" s="1"/>
  <c r="I22" i="12"/>
  <c r="Q22" i="12" s="1"/>
  <c r="F22" i="12"/>
  <c r="E22" i="12"/>
  <c r="P21" i="12"/>
  <c r="O21" i="12"/>
  <c r="L21" i="12"/>
  <c r="R21" i="12" s="1"/>
  <c r="I21" i="12"/>
  <c r="Q21" i="12" s="1"/>
  <c r="F21" i="12"/>
  <c r="E21" i="12"/>
  <c r="P20" i="12"/>
  <c r="O20" i="12"/>
  <c r="L20" i="12"/>
  <c r="R20" i="12" s="1"/>
  <c r="I20" i="12"/>
  <c r="Q20" i="12" s="1"/>
  <c r="F20" i="12"/>
  <c r="E20" i="12"/>
  <c r="P19" i="12"/>
  <c r="O19" i="12"/>
  <c r="L19" i="12"/>
  <c r="R19" i="12" s="1"/>
  <c r="I19" i="12"/>
  <c r="Q19" i="12" s="1"/>
  <c r="F19" i="12"/>
  <c r="E19" i="12"/>
  <c r="P18" i="12"/>
  <c r="O18" i="12"/>
  <c r="L18" i="12"/>
  <c r="R18" i="12" s="1"/>
  <c r="I18" i="12"/>
  <c r="Q18" i="12" s="1"/>
  <c r="F18" i="12"/>
  <c r="E18" i="12"/>
  <c r="P17" i="12"/>
  <c r="O17" i="12"/>
  <c r="L17" i="12"/>
  <c r="R17" i="12" s="1"/>
  <c r="I17" i="12"/>
  <c r="Q17" i="12" s="1"/>
  <c r="F17" i="12"/>
  <c r="E17" i="12"/>
  <c r="P16" i="12"/>
  <c r="O16" i="12"/>
  <c r="L16" i="12"/>
  <c r="R16" i="12" s="1"/>
  <c r="I16" i="12"/>
  <c r="Q16" i="12" s="1"/>
  <c r="F16" i="12"/>
  <c r="E16" i="12"/>
  <c r="P15" i="12"/>
  <c r="O15" i="12"/>
  <c r="L15" i="12"/>
  <c r="R15" i="12" s="1"/>
  <c r="I15" i="12"/>
  <c r="Q15" i="12" s="1"/>
  <c r="F15" i="12"/>
  <c r="E15" i="12"/>
  <c r="P14" i="12"/>
  <c r="O14" i="12"/>
  <c r="L14" i="12"/>
  <c r="R14" i="12" s="1"/>
  <c r="I14" i="12"/>
  <c r="Q14" i="12" s="1"/>
  <c r="F14" i="12"/>
  <c r="E14" i="12"/>
  <c r="P13" i="12"/>
  <c r="O13" i="12"/>
  <c r="L13" i="12"/>
  <c r="R13" i="12" s="1"/>
  <c r="I13" i="12"/>
  <c r="Q13" i="12" s="1"/>
  <c r="F13" i="12"/>
  <c r="E13" i="12"/>
  <c r="P12" i="12"/>
  <c r="O12" i="12"/>
  <c r="L12" i="12"/>
  <c r="R12" i="12" s="1"/>
  <c r="I12" i="12"/>
  <c r="Q12" i="12" s="1"/>
  <c r="F12" i="12"/>
  <c r="E12" i="12"/>
  <c r="P11" i="12"/>
  <c r="O11" i="12"/>
  <c r="L11" i="12"/>
  <c r="R11" i="12" s="1"/>
  <c r="I11" i="12"/>
  <c r="Q11" i="12" s="1"/>
  <c r="F11" i="12"/>
  <c r="E11" i="12"/>
  <c r="P10" i="12"/>
  <c r="O10" i="12"/>
  <c r="L10" i="12"/>
  <c r="R10" i="12" s="1"/>
  <c r="I10" i="12"/>
  <c r="Q10" i="12" s="1"/>
  <c r="F10" i="12"/>
  <c r="E10" i="12"/>
  <c r="P9" i="12"/>
  <c r="O9" i="12"/>
  <c r="L9" i="12"/>
  <c r="R9" i="12" s="1"/>
  <c r="I9" i="12"/>
  <c r="Q9" i="12" s="1"/>
  <c r="F9" i="12"/>
  <c r="E9" i="12"/>
  <c r="P8" i="12"/>
  <c r="O8" i="12"/>
  <c r="L8" i="12"/>
  <c r="R8" i="12" s="1"/>
  <c r="I8" i="12"/>
  <c r="Q8" i="12" s="1"/>
  <c r="F8" i="12"/>
  <c r="E8" i="12"/>
  <c r="P7" i="12"/>
  <c r="O7" i="12"/>
  <c r="L7" i="12"/>
  <c r="R7" i="12" s="1"/>
  <c r="I7" i="12"/>
  <c r="Q7" i="12" s="1"/>
  <c r="F7" i="12"/>
  <c r="E7" i="12"/>
  <c r="P6" i="12"/>
  <c r="O6" i="12"/>
  <c r="L6" i="12"/>
  <c r="R6" i="12" s="1"/>
  <c r="I6" i="12"/>
  <c r="Q6" i="12" s="1"/>
  <c r="F6" i="12"/>
  <c r="E6" i="12"/>
  <c r="P5" i="12"/>
  <c r="O5" i="12"/>
  <c r="L5" i="12"/>
  <c r="R5" i="12" s="1"/>
  <c r="I5" i="12"/>
  <c r="Q5" i="12" s="1"/>
  <c r="F5" i="12"/>
  <c r="E5" i="12"/>
  <c r="P4" i="12"/>
  <c r="O4" i="12"/>
  <c r="L4" i="12"/>
  <c r="R4" i="12" s="1"/>
  <c r="I4" i="12"/>
  <c r="Q4" i="12" s="1"/>
  <c r="F4" i="12"/>
  <c r="E4" i="12"/>
  <c r="P3" i="12"/>
  <c r="O3" i="12"/>
  <c r="L3" i="12"/>
  <c r="R3" i="12" s="1"/>
  <c r="I3" i="12"/>
  <c r="Q3" i="12" s="1"/>
  <c r="F3" i="12"/>
  <c r="E3" i="12"/>
  <c r="P2" i="12"/>
  <c r="O2" i="12"/>
  <c r="L2" i="12"/>
  <c r="R2" i="12" s="1"/>
  <c r="I2" i="12"/>
  <c r="Q2" i="12" s="1"/>
  <c r="F2" i="12"/>
  <c r="E2" i="12"/>
  <c r="R43" i="11"/>
  <c r="Q43" i="11"/>
  <c r="P43" i="11"/>
  <c r="R40" i="11"/>
  <c r="Q40" i="11"/>
  <c r="P40" i="11"/>
  <c r="O40" i="11"/>
  <c r="R39" i="11"/>
  <c r="Q39" i="11"/>
  <c r="P39" i="11"/>
  <c r="O39" i="11"/>
  <c r="R38" i="11"/>
  <c r="Q38" i="11"/>
  <c r="P38" i="11"/>
  <c r="O38" i="11"/>
  <c r="O36" i="11"/>
  <c r="L36" i="11"/>
  <c r="R36" i="11" s="1"/>
  <c r="I36" i="11"/>
  <c r="Q36" i="11" s="1"/>
  <c r="F36" i="11"/>
  <c r="P36" i="11" s="1"/>
  <c r="E36" i="11"/>
  <c r="O35" i="11"/>
  <c r="L35" i="11"/>
  <c r="R35" i="11" s="1"/>
  <c r="I35" i="11"/>
  <c r="Q35" i="11" s="1"/>
  <c r="F35" i="11"/>
  <c r="P35" i="11" s="1"/>
  <c r="E35" i="11"/>
  <c r="O34" i="11"/>
  <c r="L34" i="11"/>
  <c r="R34" i="11" s="1"/>
  <c r="I34" i="11"/>
  <c r="Q34" i="11" s="1"/>
  <c r="F34" i="11"/>
  <c r="P34" i="11" s="1"/>
  <c r="E34" i="11"/>
  <c r="O33" i="11"/>
  <c r="L33" i="11"/>
  <c r="R33" i="11" s="1"/>
  <c r="I33" i="11"/>
  <c r="Q33" i="11" s="1"/>
  <c r="F33" i="11"/>
  <c r="P33" i="11" s="1"/>
  <c r="E33" i="11"/>
  <c r="O32" i="11"/>
  <c r="L32" i="11"/>
  <c r="R32" i="11" s="1"/>
  <c r="I32" i="11"/>
  <c r="Q32" i="11" s="1"/>
  <c r="F32" i="11"/>
  <c r="P32" i="11" s="1"/>
  <c r="E32" i="11"/>
  <c r="O31" i="11"/>
  <c r="L31" i="11"/>
  <c r="R31" i="11" s="1"/>
  <c r="I31" i="11"/>
  <c r="Q31" i="11" s="1"/>
  <c r="F31" i="11"/>
  <c r="P31" i="11" s="1"/>
  <c r="E31" i="11"/>
  <c r="O30" i="11"/>
  <c r="L30" i="11"/>
  <c r="R30" i="11" s="1"/>
  <c r="I30" i="11"/>
  <c r="Q30" i="11" s="1"/>
  <c r="F30" i="11"/>
  <c r="P30" i="11" s="1"/>
  <c r="E30" i="11"/>
  <c r="O29" i="11"/>
  <c r="L29" i="11"/>
  <c r="R29" i="11" s="1"/>
  <c r="I29" i="11"/>
  <c r="Q29" i="11" s="1"/>
  <c r="F29" i="11"/>
  <c r="P29" i="11" s="1"/>
  <c r="E29" i="11"/>
  <c r="O28" i="11"/>
  <c r="L28" i="11"/>
  <c r="R28" i="11" s="1"/>
  <c r="I28" i="11"/>
  <c r="Q28" i="11" s="1"/>
  <c r="F28" i="11"/>
  <c r="P28" i="11" s="1"/>
  <c r="E28" i="11"/>
  <c r="O27" i="11"/>
  <c r="L27" i="11"/>
  <c r="R27" i="11" s="1"/>
  <c r="I27" i="11"/>
  <c r="Q27" i="11" s="1"/>
  <c r="F27" i="11"/>
  <c r="P27" i="11" s="1"/>
  <c r="E27" i="11"/>
  <c r="O26" i="11"/>
  <c r="L26" i="11"/>
  <c r="R26" i="11" s="1"/>
  <c r="I26" i="11"/>
  <c r="Q26" i="11" s="1"/>
  <c r="F26" i="11"/>
  <c r="P26" i="11" s="1"/>
  <c r="E26" i="11"/>
  <c r="O25" i="11"/>
  <c r="L25" i="11"/>
  <c r="R25" i="11" s="1"/>
  <c r="I25" i="11"/>
  <c r="Q25" i="11" s="1"/>
  <c r="F25" i="11"/>
  <c r="P25" i="11" s="1"/>
  <c r="E25" i="11"/>
  <c r="O24" i="11"/>
  <c r="L24" i="11"/>
  <c r="R24" i="11" s="1"/>
  <c r="I24" i="11"/>
  <c r="Q24" i="11" s="1"/>
  <c r="F24" i="11"/>
  <c r="P24" i="11" s="1"/>
  <c r="E24" i="11"/>
  <c r="O23" i="11"/>
  <c r="L23" i="11"/>
  <c r="R23" i="11" s="1"/>
  <c r="I23" i="11"/>
  <c r="Q23" i="11" s="1"/>
  <c r="F23" i="11"/>
  <c r="P23" i="11" s="1"/>
  <c r="E23" i="11"/>
  <c r="O22" i="11"/>
  <c r="L22" i="11"/>
  <c r="R22" i="11" s="1"/>
  <c r="I22" i="11"/>
  <c r="Q22" i="11" s="1"/>
  <c r="F22" i="11"/>
  <c r="P22" i="11" s="1"/>
  <c r="E22" i="11"/>
  <c r="O21" i="11"/>
  <c r="L21" i="11"/>
  <c r="R21" i="11" s="1"/>
  <c r="I21" i="11"/>
  <c r="Q21" i="11" s="1"/>
  <c r="F21" i="11"/>
  <c r="P21" i="11" s="1"/>
  <c r="E21" i="11"/>
  <c r="O20" i="11"/>
  <c r="L20" i="11"/>
  <c r="R20" i="11" s="1"/>
  <c r="I20" i="11"/>
  <c r="Q20" i="11" s="1"/>
  <c r="F20" i="11"/>
  <c r="P20" i="11" s="1"/>
  <c r="E20" i="11"/>
  <c r="L19" i="11"/>
  <c r="R19" i="11" s="1"/>
  <c r="I19" i="11"/>
  <c r="Q19" i="11" s="1"/>
  <c r="F19" i="11"/>
  <c r="P19" i="11" s="1"/>
  <c r="E19" i="11"/>
  <c r="O19" i="11" s="1"/>
  <c r="L18" i="11"/>
  <c r="R18" i="11" s="1"/>
  <c r="I18" i="11"/>
  <c r="Q18" i="11" s="1"/>
  <c r="F18" i="11"/>
  <c r="P18" i="11" s="1"/>
  <c r="E18" i="11"/>
  <c r="O18" i="11" s="1"/>
  <c r="P17" i="11"/>
  <c r="O17" i="11"/>
  <c r="L17" i="11"/>
  <c r="R17" i="11" s="1"/>
  <c r="I17" i="11"/>
  <c r="Q17" i="11" s="1"/>
  <c r="F17" i="11"/>
  <c r="E17" i="11"/>
  <c r="P16" i="11"/>
  <c r="O16" i="11"/>
  <c r="L16" i="11"/>
  <c r="R16" i="11" s="1"/>
  <c r="I16" i="11"/>
  <c r="Q16" i="11" s="1"/>
  <c r="F16" i="11"/>
  <c r="E16" i="11"/>
  <c r="L15" i="11"/>
  <c r="R15" i="11" s="1"/>
  <c r="I15" i="11"/>
  <c r="Q15" i="11" s="1"/>
  <c r="F15" i="11"/>
  <c r="P15" i="11" s="1"/>
  <c r="E15" i="11"/>
  <c r="O15" i="11" s="1"/>
  <c r="L14" i="11"/>
  <c r="R14" i="11" s="1"/>
  <c r="I14" i="11"/>
  <c r="Q14" i="11" s="1"/>
  <c r="F14" i="11"/>
  <c r="P14" i="11" s="1"/>
  <c r="E14" i="11"/>
  <c r="O14" i="11" s="1"/>
  <c r="P13" i="11"/>
  <c r="O13" i="11"/>
  <c r="L13" i="11"/>
  <c r="R13" i="11" s="1"/>
  <c r="I13" i="11"/>
  <c r="Q13" i="11" s="1"/>
  <c r="F13" i="11"/>
  <c r="E13" i="11"/>
  <c r="P12" i="11"/>
  <c r="O12" i="11"/>
  <c r="L12" i="11"/>
  <c r="R12" i="11" s="1"/>
  <c r="I12" i="11"/>
  <c r="Q12" i="11" s="1"/>
  <c r="F12" i="11"/>
  <c r="E12" i="11"/>
  <c r="L11" i="11"/>
  <c r="R11" i="11" s="1"/>
  <c r="I11" i="11"/>
  <c r="Q11" i="11" s="1"/>
  <c r="F11" i="11"/>
  <c r="P11" i="11" s="1"/>
  <c r="E11" i="11"/>
  <c r="O11" i="11" s="1"/>
  <c r="L10" i="11"/>
  <c r="R10" i="11" s="1"/>
  <c r="I10" i="11"/>
  <c r="Q10" i="11" s="1"/>
  <c r="F10" i="11"/>
  <c r="P10" i="11" s="1"/>
  <c r="E10" i="11"/>
  <c r="O10" i="11" s="1"/>
  <c r="P9" i="11"/>
  <c r="O9" i="11"/>
  <c r="L9" i="11"/>
  <c r="R9" i="11" s="1"/>
  <c r="I9" i="11"/>
  <c r="Q9" i="11" s="1"/>
  <c r="F9" i="11"/>
  <c r="E9" i="11"/>
  <c r="P8" i="11"/>
  <c r="O8" i="11"/>
  <c r="L8" i="11"/>
  <c r="R8" i="11" s="1"/>
  <c r="I8" i="11"/>
  <c r="Q8" i="11" s="1"/>
  <c r="F8" i="11"/>
  <c r="E8" i="11"/>
  <c r="L7" i="11"/>
  <c r="R7" i="11" s="1"/>
  <c r="I7" i="11"/>
  <c r="Q7" i="11" s="1"/>
  <c r="F7" i="11"/>
  <c r="P7" i="11" s="1"/>
  <c r="E7" i="11"/>
  <c r="O7" i="11" s="1"/>
  <c r="L6" i="11"/>
  <c r="R6" i="11" s="1"/>
  <c r="I6" i="11"/>
  <c r="Q6" i="11" s="1"/>
  <c r="F6" i="11"/>
  <c r="P6" i="11" s="1"/>
  <c r="E6" i="11"/>
  <c r="O6" i="11" s="1"/>
  <c r="P5" i="11"/>
  <c r="O5" i="11"/>
  <c r="L5" i="11"/>
  <c r="R5" i="11" s="1"/>
  <c r="I5" i="11"/>
  <c r="Q5" i="11" s="1"/>
  <c r="F5" i="11"/>
  <c r="E5" i="11"/>
  <c r="P4" i="11"/>
  <c r="O4" i="11"/>
  <c r="L4" i="11"/>
  <c r="R4" i="11" s="1"/>
  <c r="I4" i="11"/>
  <c r="Q4" i="11" s="1"/>
  <c r="F4" i="11"/>
  <c r="E4" i="11"/>
  <c r="L3" i="11"/>
  <c r="R3" i="11" s="1"/>
  <c r="I3" i="11"/>
  <c r="Q3" i="11" s="1"/>
  <c r="F3" i="11"/>
  <c r="P3" i="11" s="1"/>
  <c r="E3" i="11"/>
  <c r="O3" i="11" s="1"/>
  <c r="L2" i="11"/>
  <c r="R2" i="11" s="1"/>
  <c r="I2" i="11"/>
  <c r="Q2" i="11" s="1"/>
  <c r="F2" i="11"/>
  <c r="P2" i="11" s="1"/>
  <c r="E2" i="11"/>
  <c r="O2" i="11" s="1"/>
  <c r="R43" i="10"/>
  <c r="Q43" i="10"/>
  <c r="P43" i="10"/>
  <c r="R40" i="10"/>
  <c r="Q40" i="10"/>
  <c r="P40" i="10"/>
  <c r="O40" i="10"/>
  <c r="R39" i="10"/>
  <c r="Q39" i="10"/>
  <c r="P39" i="10"/>
  <c r="O39" i="10"/>
  <c r="R38" i="10"/>
  <c r="Q38" i="10"/>
  <c r="P38" i="10"/>
  <c r="O38" i="10"/>
  <c r="O36" i="10"/>
  <c r="L36" i="10"/>
  <c r="R36" i="10" s="1"/>
  <c r="I36" i="10"/>
  <c r="Q36" i="10" s="1"/>
  <c r="F36" i="10"/>
  <c r="P36" i="10" s="1"/>
  <c r="E36" i="10"/>
  <c r="R35" i="10"/>
  <c r="O35" i="10"/>
  <c r="L35" i="10"/>
  <c r="I35" i="10"/>
  <c r="Q35" i="10" s="1"/>
  <c r="F35" i="10"/>
  <c r="P35" i="10" s="1"/>
  <c r="E35" i="10"/>
  <c r="L34" i="10"/>
  <c r="R34" i="10" s="1"/>
  <c r="I34" i="10"/>
  <c r="Q34" i="10" s="1"/>
  <c r="F34" i="10"/>
  <c r="P34" i="10" s="1"/>
  <c r="E34" i="10"/>
  <c r="O34" i="10" s="1"/>
  <c r="R33" i="10"/>
  <c r="L33" i="10"/>
  <c r="I33" i="10"/>
  <c r="Q33" i="10" s="1"/>
  <c r="F33" i="10"/>
  <c r="P33" i="10" s="1"/>
  <c r="E33" i="10"/>
  <c r="O33" i="10" s="1"/>
  <c r="O32" i="10"/>
  <c r="L32" i="10"/>
  <c r="R32" i="10" s="1"/>
  <c r="I32" i="10"/>
  <c r="Q32" i="10" s="1"/>
  <c r="F32" i="10"/>
  <c r="P32" i="10" s="1"/>
  <c r="E32" i="10"/>
  <c r="O31" i="10"/>
  <c r="L31" i="10"/>
  <c r="R31" i="10" s="1"/>
  <c r="I31" i="10"/>
  <c r="Q31" i="10" s="1"/>
  <c r="F31" i="10"/>
  <c r="P31" i="10" s="1"/>
  <c r="E31" i="10"/>
  <c r="O30" i="10"/>
  <c r="L30" i="10"/>
  <c r="R30" i="10" s="1"/>
  <c r="I30" i="10"/>
  <c r="Q30" i="10" s="1"/>
  <c r="F30" i="10"/>
  <c r="P30" i="10" s="1"/>
  <c r="E30" i="10"/>
  <c r="L29" i="10"/>
  <c r="R29" i="10" s="1"/>
  <c r="I29" i="10"/>
  <c r="Q29" i="10" s="1"/>
  <c r="F29" i="10"/>
  <c r="P29" i="10" s="1"/>
  <c r="E29" i="10"/>
  <c r="O29" i="10" s="1"/>
  <c r="L28" i="10"/>
  <c r="R28" i="10" s="1"/>
  <c r="I28" i="10"/>
  <c r="Q28" i="10" s="1"/>
  <c r="F28" i="10"/>
  <c r="P28" i="10" s="1"/>
  <c r="E28" i="10"/>
  <c r="O28" i="10" s="1"/>
  <c r="R27" i="10"/>
  <c r="L27" i="10"/>
  <c r="I27" i="10"/>
  <c r="Q27" i="10" s="1"/>
  <c r="F27" i="10"/>
  <c r="P27" i="10" s="1"/>
  <c r="E27" i="10"/>
  <c r="O27" i="10" s="1"/>
  <c r="R26" i="10"/>
  <c r="Q26" i="10"/>
  <c r="L26" i="10"/>
  <c r="I26" i="10"/>
  <c r="F26" i="10"/>
  <c r="P26" i="10" s="1"/>
  <c r="E26" i="10"/>
  <c r="O26" i="10" s="1"/>
  <c r="R25" i="10"/>
  <c r="Q25" i="10"/>
  <c r="O25" i="10"/>
  <c r="L25" i="10"/>
  <c r="I25" i="10"/>
  <c r="F25" i="10"/>
  <c r="P25" i="10" s="1"/>
  <c r="E25" i="10"/>
  <c r="Q24" i="10"/>
  <c r="O24" i="10"/>
  <c r="L24" i="10"/>
  <c r="R24" i="10" s="1"/>
  <c r="I24" i="10"/>
  <c r="F24" i="10"/>
  <c r="P24" i="10" s="1"/>
  <c r="E24" i="10"/>
  <c r="O23" i="10"/>
  <c r="L23" i="10"/>
  <c r="R23" i="10" s="1"/>
  <c r="I23" i="10"/>
  <c r="Q23" i="10" s="1"/>
  <c r="F23" i="10"/>
  <c r="P23" i="10" s="1"/>
  <c r="E23" i="10"/>
  <c r="O22" i="10"/>
  <c r="L22" i="10"/>
  <c r="R22" i="10" s="1"/>
  <c r="I22" i="10"/>
  <c r="Q22" i="10" s="1"/>
  <c r="F22" i="10"/>
  <c r="P22" i="10" s="1"/>
  <c r="E22" i="10"/>
  <c r="O21" i="10"/>
  <c r="L21" i="10"/>
  <c r="R21" i="10" s="1"/>
  <c r="I21" i="10"/>
  <c r="Q21" i="10" s="1"/>
  <c r="F21" i="10"/>
  <c r="P21" i="10" s="1"/>
  <c r="E21" i="10"/>
  <c r="O20" i="10"/>
  <c r="L20" i="10"/>
  <c r="R20" i="10" s="1"/>
  <c r="I20" i="10"/>
  <c r="Q20" i="10" s="1"/>
  <c r="F20" i="10"/>
  <c r="P20" i="10" s="1"/>
  <c r="E20" i="10"/>
  <c r="O19" i="10"/>
  <c r="L19" i="10"/>
  <c r="R19" i="10" s="1"/>
  <c r="I19" i="10"/>
  <c r="Q19" i="10" s="1"/>
  <c r="F19" i="10"/>
  <c r="P19" i="10" s="1"/>
  <c r="E19" i="10"/>
  <c r="O18" i="10"/>
  <c r="L18" i="10"/>
  <c r="R18" i="10" s="1"/>
  <c r="I18" i="10"/>
  <c r="Q18" i="10" s="1"/>
  <c r="F18" i="10"/>
  <c r="P18" i="10" s="1"/>
  <c r="E18" i="10"/>
  <c r="O17" i="10"/>
  <c r="L17" i="10"/>
  <c r="R17" i="10" s="1"/>
  <c r="I17" i="10"/>
  <c r="Q17" i="10" s="1"/>
  <c r="F17" i="10"/>
  <c r="P17" i="10" s="1"/>
  <c r="E17" i="10"/>
  <c r="O16" i="10"/>
  <c r="L16" i="10"/>
  <c r="R16" i="10" s="1"/>
  <c r="I16" i="10"/>
  <c r="Q16" i="10" s="1"/>
  <c r="F16" i="10"/>
  <c r="P16" i="10" s="1"/>
  <c r="E16" i="10"/>
  <c r="O15" i="10"/>
  <c r="L15" i="10"/>
  <c r="R15" i="10" s="1"/>
  <c r="I15" i="10"/>
  <c r="Q15" i="10" s="1"/>
  <c r="F15" i="10"/>
  <c r="P15" i="10" s="1"/>
  <c r="E15" i="10"/>
  <c r="O14" i="10"/>
  <c r="L14" i="10"/>
  <c r="R14" i="10" s="1"/>
  <c r="I14" i="10"/>
  <c r="Q14" i="10" s="1"/>
  <c r="F14" i="10"/>
  <c r="P14" i="10" s="1"/>
  <c r="E14" i="10"/>
  <c r="O13" i="10"/>
  <c r="L13" i="10"/>
  <c r="R13" i="10" s="1"/>
  <c r="I13" i="10"/>
  <c r="Q13" i="10" s="1"/>
  <c r="F13" i="10"/>
  <c r="P13" i="10" s="1"/>
  <c r="E13" i="10"/>
  <c r="O12" i="10"/>
  <c r="L12" i="10"/>
  <c r="R12" i="10" s="1"/>
  <c r="I12" i="10"/>
  <c r="Q12" i="10" s="1"/>
  <c r="F12" i="10"/>
  <c r="P12" i="10" s="1"/>
  <c r="E12" i="10"/>
  <c r="O11" i="10"/>
  <c r="L11" i="10"/>
  <c r="R11" i="10" s="1"/>
  <c r="I11" i="10"/>
  <c r="Q11" i="10" s="1"/>
  <c r="F11" i="10"/>
  <c r="P11" i="10" s="1"/>
  <c r="E11" i="10"/>
  <c r="O10" i="10"/>
  <c r="L10" i="10"/>
  <c r="R10" i="10" s="1"/>
  <c r="I10" i="10"/>
  <c r="Q10" i="10" s="1"/>
  <c r="F10" i="10"/>
  <c r="P10" i="10" s="1"/>
  <c r="E10" i="10"/>
  <c r="O9" i="10"/>
  <c r="L9" i="10"/>
  <c r="R9" i="10" s="1"/>
  <c r="I9" i="10"/>
  <c r="Q9" i="10" s="1"/>
  <c r="F9" i="10"/>
  <c r="P9" i="10" s="1"/>
  <c r="E9" i="10"/>
  <c r="O8" i="10"/>
  <c r="L8" i="10"/>
  <c r="R8" i="10" s="1"/>
  <c r="I8" i="10"/>
  <c r="Q8" i="10" s="1"/>
  <c r="F8" i="10"/>
  <c r="P8" i="10" s="1"/>
  <c r="E8" i="10"/>
  <c r="O7" i="10"/>
  <c r="L7" i="10"/>
  <c r="R7" i="10" s="1"/>
  <c r="I7" i="10"/>
  <c r="Q7" i="10" s="1"/>
  <c r="F7" i="10"/>
  <c r="P7" i="10" s="1"/>
  <c r="E7" i="10"/>
  <c r="O6" i="10"/>
  <c r="L6" i="10"/>
  <c r="R6" i="10" s="1"/>
  <c r="I6" i="10"/>
  <c r="Q6" i="10" s="1"/>
  <c r="F6" i="10"/>
  <c r="P6" i="10" s="1"/>
  <c r="E6" i="10"/>
  <c r="O5" i="10"/>
  <c r="L5" i="10"/>
  <c r="R5" i="10" s="1"/>
  <c r="I5" i="10"/>
  <c r="Q5" i="10" s="1"/>
  <c r="F5" i="10"/>
  <c r="P5" i="10" s="1"/>
  <c r="E5" i="10"/>
  <c r="O4" i="10"/>
  <c r="L4" i="10"/>
  <c r="R4" i="10" s="1"/>
  <c r="I4" i="10"/>
  <c r="Q4" i="10" s="1"/>
  <c r="F4" i="10"/>
  <c r="P4" i="10" s="1"/>
  <c r="E4" i="10"/>
  <c r="O3" i="10"/>
  <c r="L3" i="10"/>
  <c r="R3" i="10" s="1"/>
  <c r="I3" i="10"/>
  <c r="Q3" i="10" s="1"/>
  <c r="F3" i="10"/>
  <c r="P3" i="10" s="1"/>
  <c r="E3" i="10"/>
  <c r="O2" i="10"/>
  <c r="L2" i="10"/>
  <c r="R2" i="10" s="1"/>
  <c r="I2" i="10"/>
  <c r="Q2" i="10" s="1"/>
  <c r="F2" i="10"/>
  <c r="P2" i="10" s="1"/>
  <c r="E2" i="10"/>
  <c r="R43" i="9"/>
  <c r="Q43" i="9"/>
  <c r="P43" i="9"/>
  <c r="R40" i="9"/>
  <c r="Q40" i="9"/>
  <c r="P40" i="9"/>
  <c r="O40" i="9"/>
  <c r="R39" i="9"/>
  <c r="Q39" i="9"/>
  <c r="P39" i="9"/>
  <c r="O39" i="9"/>
  <c r="R38" i="9"/>
  <c r="Q38" i="9"/>
  <c r="P38" i="9"/>
  <c r="O38" i="9"/>
  <c r="L36" i="9"/>
  <c r="R36" i="9" s="1"/>
  <c r="I36" i="9"/>
  <c r="Q36" i="9" s="1"/>
  <c r="F36" i="9"/>
  <c r="P36" i="9" s="1"/>
  <c r="E36" i="9"/>
  <c r="O36" i="9" s="1"/>
  <c r="O35" i="9"/>
  <c r="L35" i="9"/>
  <c r="R35" i="9" s="1"/>
  <c r="I35" i="9"/>
  <c r="Q35" i="9" s="1"/>
  <c r="F35" i="9"/>
  <c r="P35" i="9" s="1"/>
  <c r="E35" i="9"/>
  <c r="L34" i="9"/>
  <c r="R34" i="9" s="1"/>
  <c r="I34" i="9"/>
  <c r="Q34" i="9" s="1"/>
  <c r="F34" i="9"/>
  <c r="P34" i="9" s="1"/>
  <c r="E34" i="9"/>
  <c r="O34" i="9" s="1"/>
  <c r="L33" i="9"/>
  <c r="R33" i="9" s="1"/>
  <c r="I33" i="9"/>
  <c r="Q33" i="9" s="1"/>
  <c r="F33" i="9"/>
  <c r="P33" i="9" s="1"/>
  <c r="E33" i="9"/>
  <c r="O33" i="9" s="1"/>
  <c r="O32" i="9"/>
  <c r="L32" i="9"/>
  <c r="R32" i="9" s="1"/>
  <c r="I32" i="9"/>
  <c r="Q32" i="9" s="1"/>
  <c r="F32" i="9"/>
  <c r="P32" i="9" s="1"/>
  <c r="E32" i="9"/>
  <c r="L31" i="9"/>
  <c r="R31" i="9" s="1"/>
  <c r="I31" i="9"/>
  <c r="Q31" i="9" s="1"/>
  <c r="F31" i="9"/>
  <c r="P31" i="9" s="1"/>
  <c r="E31" i="9"/>
  <c r="O31" i="9" s="1"/>
  <c r="O30" i="9"/>
  <c r="L30" i="9"/>
  <c r="R30" i="9" s="1"/>
  <c r="I30" i="9"/>
  <c r="Q30" i="9" s="1"/>
  <c r="F30" i="9"/>
  <c r="P30" i="9" s="1"/>
  <c r="E30" i="9"/>
  <c r="O29" i="9"/>
  <c r="L29" i="9"/>
  <c r="R29" i="9" s="1"/>
  <c r="I29" i="9"/>
  <c r="Q29" i="9" s="1"/>
  <c r="F29" i="9"/>
  <c r="P29" i="9" s="1"/>
  <c r="E29" i="9"/>
  <c r="L28" i="9"/>
  <c r="R28" i="9" s="1"/>
  <c r="I28" i="9"/>
  <c r="Q28" i="9" s="1"/>
  <c r="F28" i="9"/>
  <c r="P28" i="9" s="1"/>
  <c r="E28" i="9"/>
  <c r="O28" i="9" s="1"/>
  <c r="O27" i="9"/>
  <c r="L27" i="9"/>
  <c r="R27" i="9" s="1"/>
  <c r="I27" i="9"/>
  <c r="Q27" i="9" s="1"/>
  <c r="F27" i="9"/>
  <c r="P27" i="9" s="1"/>
  <c r="E27" i="9"/>
  <c r="L26" i="9"/>
  <c r="R26" i="9" s="1"/>
  <c r="I26" i="9"/>
  <c r="Q26" i="9" s="1"/>
  <c r="F26" i="9"/>
  <c r="P26" i="9" s="1"/>
  <c r="E26" i="9"/>
  <c r="O26" i="9" s="1"/>
  <c r="L25" i="9"/>
  <c r="R25" i="9" s="1"/>
  <c r="I25" i="9"/>
  <c r="Q25" i="9" s="1"/>
  <c r="F25" i="9"/>
  <c r="P25" i="9" s="1"/>
  <c r="E25" i="9"/>
  <c r="O25" i="9" s="1"/>
  <c r="O24" i="9"/>
  <c r="L24" i="9"/>
  <c r="R24" i="9" s="1"/>
  <c r="I24" i="9"/>
  <c r="Q24" i="9" s="1"/>
  <c r="F24" i="9"/>
  <c r="P24" i="9" s="1"/>
  <c r="E24" i="9"/>
  <c r="L23" i="9"/>
  <c r="R23" i="9" s="1"/>
  <c r="I23" i="9"/>
  <c r="Q23" i="9" s="1"/>
  <c r="F23" i="9"/>
  <c r="P23" i="9" s="1"/>
  <c r="E23" i="9"/>
  <c r="O23" i="9" s="1"/>
  <c r="O22" i="9"/>
  <c r="L22" i="9"/>
  <c r="R22" i="9" s="1"/>
  <c r="I22" i="9"/>
  <c r="Q22" i="9" s="1"/>
  <c r="F22" i="9"/>
  <c r="P22" i="9" s="1"/>
  <c r="E22" i="9"/>
  <c r="O21" i="9"/>
  <c r="L21" i="9"/>
  <c r="R21" i="9" s="1"/>
  <c r="I21" i="9"/>
  <c r="Q21" i="9" s="1"/>
  <c r="F21" i="9"/>
  <c r="P21" i="9" s="1"/>
  <c r="E21" i="9"/>
  <c r="L20" i="9"/>
  <c r="R20" i="9" s="1"/>
  <c r="I20" i="9"/>
  <c r="Q20" i="9" s="1"/>
  <c r="F20" i="9"/>
  <c r="P20" i="9" s="1"/>
  <c r="E20" i="9"/>
  <c r="O20" i="9" s="1"/>
  <c r="O19" i="9"/>
  <c r="L19" i="9"/>
  <c r="R19" i="9" s="1"/>
  <c r="I19" i="9"/>
  <c r="Q19" i="9" s="1"/>
  <c r="F19" i="9"/>
  <c r="P19" i="9" s="1"/>
  <c r="E19" i="9"/>
  <c r="L18" i="9"/>
  <c r="R18" i="9" s="1"/>
  <c r="I18" i="9"/>
  <c r="Q18" i="9" s="1"/>
  <c r="F18" i="9"/>
  <c r="P18" i="9" s="1"/>
  <c r="E18" i="9"/>
  <c r="O18" i="9" s="1"/>
  <c r="L17" i="9"/>
  <c r="R17" i="9" s="1"/>
  <c r="I17" i="9"/>
  <c r="Q17" i="9" s="1"/>
  <c r="F17" i="9"/>
  <c r="P17" i="9" s="1"/>
  <c r="E17" i="9"/>
  <c r="O17" i="9" s="1"/>
  <c r="O16" i="9"/>
  <c r="L16" i="9"/>
  <c r="R16" i="9" s="1"/>
  <c r="I16" i="9"/>
  <c r="Q16" i="9" s="1"/>
  <c r="F16" i="9"/>
  <c r="P16" i="9" s="1"/>
  <c r="E16" i="9"/>
  <c r="L15" i="9"/>
  <c r="R15" i="9" s="1"/>
  <c r="I15" i="9"/>
  <c r="Q15" i="9" s="1"/>
  <c r="F15" i="9"/>
  <c r="P15" i="9" s="1"/>
  <c r="E15" i="9"/>
  <c r="O15" i="9" s="1"/>
  <c r="O14" i="9"/>
  <c r="L14" i="9"/>
  <c r="R14" i="9" s="1"/>
  <c r="I14" i="9"/>
  <c r="Q14" i="9" s="1"/>
  <c r="F14" i="9"/>
  <c r="P14" i="9" s="1"/>
  <c r="E14" i="9"/>
  <c r="O13" i="9"/>
  <c r="L13" i="9"/>
  <c r="R13" i="9" s="1"/>
  <c r="I13" i="9"/>
  <c r="Q13" i="9" s="1"/>
  <c r="F13" i="9"/>
  <c r="P13" i="9" s="1"/>
  <c r="E13" i="9"/>
  <c r="L12" i="9"/>
  <c r="R12" i="9" s="1"/>
  <c r="I12" i="9"/>
  <c r="Q12" i="9" s="1"/>
  <c r="F12" i="9"/>
  <c r="P12" i="9" s="1"/>
  <c r="E12" i="9"/>
  <c r="O12" i="9" s="1"/>
  <c r="O11" i="9"/>
  <c r="L11" i="9"/>
  <c r="R11" i="9" s="1"/>
  <c r="I11" i="9"/>
  <c r="Q11" i="9" s="1"/>
  <c r="F11" i="9"/>
  <c r="P11" i="9" s="1"/>
  <c r="E11" i="9"/>
  <c r="L10" i="9"/>
  <c r="R10" i="9" s="1"/>
  <c r="I10" i="9"/>
  <c r="Q10" i="9" s="1"/>
  <c r="F10" i="9"/>
  <c r="P10" i="9" s="1"/>
  <c r="E10" i="9"/>
  <c r="O10" i="9" s="1"/>
  <c r="L9" i="9"/>
  <c r="R9" i="9" s="1"/>
  <c r="I9" i="9"/>
  <c r="Q9" i="9" s="1"/>
  <c r="F9" i="9"/>
  <c r="P9" i="9" s="1"/>
  <c r="E9" i="9"/>
  <c r="O9" i="9" s="1"/>
  <c r="O8" i="9"/>
  <c r="L8" i="9"/>
  <c r="R8" i="9" s="1"/>
  <c r="I8" i="9"/>
  <c r="Q8" i="9" s="1"/>
  <c r="F8" i="9"/>
  <c r="P8" i="9" s="1"/>
  <c r="E8" i="9"/>
  <c r="L7" i="9"/>
  <c r="R7" i="9" s="1"/>
  <c r="I7" i="9"/>
  <c r="Q7" i="9" s="1"/>
  <c r="F7" i="9"/>
  <c r="P7" i="9" s="1"/>
  <c r="E7" i="9"/>
  <c r="O7" i="9" s="1"/>
  <c r="O6" i="9"/>
  <c r="L6" i="9"/>
  <c r="R6" i="9" s="1"/>
  <c r="I6" i="9"/>
  <c r="Q6" i="9" s="1"/>
  <c r="F6" i="9"/>
  <c r="P6" i="9" s="1"/>
  <c r="E6" i="9"/>
  <c r="O5" i="9"/>
  <c r="L5" i="9"/>
  <c r="R5" i="9" s="1"/>
  <c r="I5" i="9"/>
  <c r="Q5" i="9" s="1"/>
  <c r="F5" i="9"/>
  <c r="P5" i="9" s="1"/>
  <c r="E5" i="9"/>
  <c r="L4" i="9"/>
  <c r="R4" i="9" s="1"/>
  <c r="I4" i="9"/>
  <c r="Q4" i="9" s="1"/>
  <c r="F4" i="9"/>
  <c r="P4" i="9" s="1"/>
  <c r="E4" i="9"/>
  <c r="O4" i="9" s="1"/>
  <c r="O3" i="9"/>
  <c r="L3" i="9"/>
  <c r="R3" i="9" s="1"/>
  <c r="I3" i="9"/>
  <c r="Q3" i="9" s="1"/>
  <c r="F3" i="9"/>
  <c r="P3" i="9" s="1"/>
  <c r="E3" i="9"/>
  <c r="L2" i="9"/>
  <c r="R2" i="9" s="1"/>
  <c r="I2" i="9"/>
  <c r="Q2" i="9" s="1"/>
  <c r="F2" i="9"/>
  <c r="P2" i="9" s="1"/>
  <c r="E2" i="9"/>
  <c r="O2" i="9" s="1"/>
  <c r="R43" i="8"/>
  <c r="Q43" i="8"/>
  <c r="P43" i="8"/>
  <c r="R40" i="8"/>
  <c r="Q40" i="8"/>
  <c r="P40" i="8"/>
  <c r="O40" i="8"/>
  <c r="R39" i="8"/>
  <c r="Q39" i="8"/>
  <c r="P39" i="8"/>
  <c r="O39" i="8"/>
  <c r="R38" i="8"/>
  <c r="Q38" i="8"/>
  <c r="P38" i="8"/>
  <c r="O38" i="8"/>
  <c r="R36" i="8"/>
  <c r="L36" i="8"/>
  <c r="I36" i="8"/>
  <c r="Q36" i="8" s="1"/>
  <c r="F36" i="8"/>
  <c r="P36" i="8" s="1"/>
  <c r="E36" i="8"/>
  <c r="O36" i="8" s="1"/>
  <c r="L35" i="8"/>
  <c r="R35" i="8" s="1"/>
  <c r="I35" i="8"/>
  <c r="Q35" i="8" s="1"/>
  <c r="F35" i="8"/>
  <c r="P35" i="8" s="1"/>
  <c r="E35" i="8"/>
  <c r="O35" i="8" s="1"/>
  <c r="L34" i="8"/>
  <c r="R34" i="8" s="1"/>
  <c r="I34" i="8"/>
  <c r="Q34" i="8" s="1"/>
  <c r="F34" i="8"/>
  <c r="P34" i="8" s="1"/>
  <c r="E34" i="8"/>
  <c r="O34" i="8" s="1"/>
  <c r="L33" i="8"/>
  <c r="R33" i="8" s="1"/>
  <c r="I33" i="8"/>
  <c r="Q33" i="8" s="1"/>
  <c r="F33" i="8"/>
  <c r="P33" i="8" s="1"/>
  <c r="E33" i="8"/>
  <c r="O33" i="8" s="1"/>
  <c r="R32" i="8"/>
  <c r="L32" i="8"/>
  <c r="I32" i="8"/>
  <c r="Q32" i="8" s="1"/>
  <c r="F32" i="8"/>
  <c r="P32" i="8" s="1"/>
  <c r="E32" i="8"/>
  <c r="O32" i="8" s="1"/>
  <c r="R31" i="8"/>
  <c r="L31" i="8"/>
  <c r="I31" i="8"/>
  <c r="Q31" i="8" s="1"/>
  <c r="F31" i="8"/>
  <c r="P31" i="8" s="1"/>
  <c r="E31" i="8"/>
  <c r="O31" i="8" s="1"/>
  <c r="R30" i="8"/>
  <c r="L30" i="8"/>
  <c r="I30" i="8"/>
  <c r="Q30" i="8" s="1"/>
  <c r="F30" i="8"/>
  <c r="P30" i="8" s="1"/>
  <c r="E30" i="8"/>
  <c r="O30" i="8" s="1"/>
  <c r="L29" i="8"/>
  <c r="R29" i="8" s="1"/>
  <c r="I29" i="8"/>
  <c r="Q29" i="8" s="1"/>
  <c r="F29" i="8"/>
  <c r="P29" i="8" s="1"/>
  <c r="E29" i="8"/>
  <c r="O29" i="8" s="1"/>
  <c r="R28" i="8"/>
  <c r="L28" i="8"/>
  <c r="I28" i="8"/>
  <c r="Q28" i="8" s="1"/>
  <c r="F28" i="8"/>
  <c r="P28" i="8" s="1"/>
  <c r="E28" i="8"/>
  <c r="O28" i="8" s="1"/>
  <c r="L27" i="8"/>
  <c r="R27" i="8" s="1"/>
  <c r="I27" i="8"/>
  <c r="Q27" i="8" s="1"/>
  <c r="F27" i="8"/>
  <c r="P27" i="8" s="1"/>
  <c r="E27" i="8"/>
  <c r="O27" i="8" s="1"/>
  <c r="L26" i="8"/>
  <c r="R26" i="8" s="1"/>
  <c r="I26" i="8"/>
  <c r="Q26" i="8" s="1"/>
  <c r="F26" i="8"/>
  <c r="P26" i="8" s="1"/>
  <c r="E26" i="8"/>
  <c r="O26" i="8" s="1"/>
  <c r="R25" i="8"/>
  <c r="L25" i="8"/>
  <c r="I25" i="8"/>
  <c r="Q25" i="8" s="1"/>
  <c r="F25" i="8"/>
  <c r="P25" i="8" s="1"/>
  <c r="E25" i="8"/>
  <c r="O25" i="8" s="1"/>
  <c r="R24" i="8"/>
  <c r="L24" i="8"/>
  <c r="I24" i="8"/>
  <c r="Q24" i="8" s="1"/>
  <c r="F24" i="8"/>
  <c r="P24" i="8" s="1"/>
  <c r="E24" i="8"/>
  <c r="O24" i="8" s="1"/>
  <c r="R23" i="8"/>
  <c r="L23" i="8"/>
  <c r="I23" i="8"/>
  <c r="Q23" i="8" s="1"/>
  <c r="F23" i="8"/>
  <c r="P23" i="8" s="1"/>
  <c r="E23" i="8"/>
  <c r="O23" i="8" s="1"/>
  <c r="R22" i="8"/>
  <c r="L22" i="8"/>
  <c r="I22" i="8"/>
  <c r="Q22" i="8" s="1"/>
  <c r="F22" i="8"/>
  <c r="P22" i="8" s="1"/>
  <c r="E22" i="8"/>
  <c r="O22" i="8" s="1"/>
  <c r="L21" i="8"/>
  <c r="R21" i="8" s="1"/>
  <c r="I21" i="8"/>
  <c r="Q21" i="8" s="1"/>
  <c r="F21" i="8"/>
  <c r="P21" i="8" s="1"/>
  <c r="E21" i="8"/>
  <c r="O21" i="8" s="1"/>
  <c r="R20" i="8"/>
  <c r="L20" i="8"/>
  <c r="I20" i="8"/>
  <c r="Q20" i="8" s="1"/>
  <c r="F20" i="8"/>
  <c r="P20" i="8" s="1"/>
  <c r="E20" i="8"/>
  <c r="O20" i="8" s="1"/>
  <c r="L19" i="8"/>
  <c r="R19" i="8" s="1"/>
  <c r="I19" i="8"/>
  <c r="Q19" i="8" s="1"/>
  <c r="F19" i="8"/>
  <c r="P19" i="8" s="1"/>
  <c r="E19" i="8"/>
  <c r="O19" i="8" s="1"/>
  <c r="R18" i="8"/>
  <c r="L18" i="8"/>
  <c r="I18" i="8"/>
  <c r="Q18" i="8" s="1"/>
  <c r="F18" i="8"/>
  <c r="P18" i="8" s="1"/>
  <c r="E18" i="8"/>
  <c r="O18" i="8" s="1"/>
  <c r="L17" i="8"/>
  <c r="R17" i="8" s="1"/>
  <c r="I17" i="8"/>
  <c r="Q17" i="8" s="1"/>
  <c r="F17" i="8"/>
  <c r="P17" i="8" s="1"/>
  <c r="E17" i="8"/>
  <c r="O17" i="8" s="1"/>
  <c r="R16" i="8"/>
  <c r="L16" i="8"/>
  <c r="I16" i="8"/>
  <c r="Q16" i="8" s="1"/>
  <c r="F16" i="8"/>
  <c r="P16" i="8" s="1"/>
  <c r="E16" i="8"/>
  <c r="O16" i="8" s="1"/>
  <c r="R15" i="8"/>
  <c r="L15" i="8"/>
  <c r="I15" i="8"/>
  <c r="Q15" i="8" s="1"/>
  <c r="F15" i="8"/>
  <c r="P15" i="8" s="1"/>
  <c r="E15" i="8"/>
  <c r="O15" i="8" s="1"/>
  <c r="R14" i="8"/>
  <c r="P14" i="8"/>
  <c r="L14" i="8"/>
  <c r="I14" i="8"/>
  <c r="Q14" i="8" s="1"/>
  <c r="F14" i="8"/>
  <c r="E14" i="8"/>
  <c r="O14" i="8" s="1"/>
  <c r="P13" i="8"/>
  <c r="L13" i="8"/>
  <c r="R13" i="8" s="1"/>
  <c r="I13" i="8"/>
  <c r="Q13" i="8" s="1"/>
  <c r="F13" i="8"/>
  <c r="E13" i="8"/>
  <c r="O13" i="8" s="1"/>
  <c r="L12" i="8"/>
  <c r="R12" i="8" s="1"/>
  <c r="I12" i="8"/>
  <c r="Q12" i="8" s="1"/>
  <c r="F12" i="8"/>
  <c r="P12" i="8" s="1"/>
  <c r="E12" i="8"/>
  <c r="O12" i="8" s="1"/>
  <c r="R11" i="8"/>
  <c r="L11" i="8"/>
  <c r="I11" i="8"/>
  <c r="Q11" i="8" s="1"/>
  <c r="F11" i="8"/>
  <c r="P11" i="8" s="1"/>
  <c r="E11" i="8"/>
  <c r="O11" i="8" s="1"/>
  <c r="R10" i="8"/>
  <c r="P10" i="8"/>
  <c r="L10" i="8"/>
  <c r="I10" i="8"/>
  <c r="Q10" i="8" s="1"/>
  <c r="F10" i="8"/>
  <c r="E10" i="8"/>
  <c r="O10" i="8" s="1"/>
  <c r="P9" i="8"/>
  <c r="L9" i="8"/>
  <c r="R9" i="8" s="1"/>
  <c r="I9" i="8"/>
  <c r="Q9" i="8" s="1"/>
  <c r="F9" i="8"/>
  <c r="E9" i="8"/>
  <c r="O9" i="8" s="1"/>
  <c r="L8" i="8"/>
  <c r="R8" i="8" s="1"/>
  <c r="I8" i="8"/>
  <c r="Q8" i="8" s="1"/>
  <c r="F8" i="8"/>
  <c r="P8" i="8" s="1"/>
  <c r="E8" i="8"/>
  <c r="O8" i="8" s="1"/>
  <c r="R7" i="8"/>
  <c r="L7" i="8"/>
  <c r="I7" i="8"/>
  <c r="Q7" i="8" s="1"/>
  <c r="F7" i="8"/>
  <c r="P7" i="8" s="1"/>
  <c r="E7" i="8"/>
  <c r="O7" i="8" s="1"/>
  <c r="R6" i="8"/>
  <c r="P6" i="8"/>
  <c r="L6" i="8"/>
  <c r="I6" i="8"/>
  <c r="Q6" i="8" s="1"/>
  <c r="F6" i="8"/>
  <c r="E6" i="8"/>
  <c r="O6" i="8" s="1"/>
  <c r="P5" i="8"/>
  <c r="L5" i="8"/>
  <c r="R5" i="8" s="1"/>
  <c r="I5" i="8"/>
  <c r="Q5" i="8" s="1"/>
  <c r="F5" i="8"/>
  <c r="E5" i="8"/>
  <c r="O5" i="8" s="1"/>
  <c r="L4" i="8"/>
  <c r="R4" i="8" s="1"/>
  <c r="I4" i="8"/>
  <c r="Q4" i="8" s="1"/>
  <c r="F4" i="8"/>
  <c r="P4" i="8" s="1"/>
  <c r="E4" i="8"/>
  <c r="O4" i="8" s="1"/>
  <c r="R3" i="8"/>
  <c r="L3" i="8"/>
  <c r="I3" i="8"/>
  <c r="Q3" i="8" s="1"/>
  <c r="F3" i="8"/>
  <c r="P3" i="8" s="1"/>
  <c r="E3" i="8"/>
  <c r="O3" i="8" s="1"/>
  <c r="R2" i="8"/>
  <c r="P2" i="8"/>
  <c r="L2" i="8"/>
  <c r="I2" i="8"/>
  <c r="Q2" i="8" s="1"/>
  <c r="F2" i="8"/>
  <c r="E2" i="8"/>
  <c r="O2" i="8" s="1"/>
  <c r="F160" i="6"/>
  <c r="E160" i="6"/>
  <c r="F159" i="6"/>
  <c r="E159" i="6"/>
  <c r="F158" i="6"/>
  <c r="E158" i="6"/>
  <c r="F157" i="6"/>
  <c r="E157" i="6"/>
  <c r="F156" i="6"/>
  <c r="E156" i="6"/>
  <c r="F155" i="6"/>
  <c r="E155" i="6"/>
  <c r="F151" i="6"/>
  <c r="E151" i="6"/>
  <c r="F150" i="6"/>
  <c r="E150" i="6"/>
  <c r="F149" i="6"/>
  <c r="E149" i="6"/>
  <c r="F148" i="6"/>
  <c r="E148" i="6"/>
  <c r="F147" i="6"/>
  <c r="E147" i="6"/>
  <c r="F146" i="6"/>
  <c r="E146" i="6"/>
  <c r="F141" i="6"/>
  <c r="E141" i="6"/>
  <c r="F140" i="6"/>
  <c r="E140" i="6"/>
  <c r="F139" i="6"/>
  <c r="E139" i="6"/>
  <c r="F138" i="6"/>
  <c r="E138" i="6"/>
  <c r="F137" i="6"/>
  <c r="E137" i="6"/>
  <c r="F136" i="6"/>
  <c r="E136" i="6"/>
  <c r="F132" i="6"/>
  <c r="E132" i="6"/>
  <c r="F131" i="6"/>
  <c r="E131" i="6"/>
  <c r="F130" i="6"/>
  <c r="E130" i="6"/>
  <c r="F129" i="6"/>
  <c r="E129" i="6"/>
  <c r="F128" i="6"/>
  <c r="E128" i="6"/>
  <c r="F127" i="6"/>
  <c r="E127" i="6"/>
  <c r="F123" i="6"/>
  <c r="E123" i="6"/>
  <c r="F122" i="6"/>
  <c r="E122" i="6"/>
  <c r="F121" i="6"/>
  <c r="E121" i="6"/>
  <c r="F120" i="6"/>
  <c r="E120" i="6"/>
  <c r="F119" i="6"/>
  <c r="E119" i="6"/>
  <c r="F118" i="6"/>
  <c r="E118" i="6"/>
  <c r="F114" i="6"/>
  <c r="E114" i="6"/>
  <c r="F113" i="6"/>
  <c r="E113" i="6"/>
  <c r="F112" i="6"/>
  <c r="E112" i="6"/>
  <c r="F111" i="6"/>
  <c r="E111" i="6"/>
  <c r="F110" i="6"/>
  <c r="E110" i="6"/>
  <c r="F109" i="6"/>
  <c r="E109" i="6"/>
  <c r="E105" i="6"/>
  <c r="F105" i="6" s="1"/>
  <c r="D105" i="6"/>
  <c r="C105" i="6"/>
  <c r="B105" i="6"/>
  <c r="E104" i="6"/>
  <c r="C104" i="6"/>
  <c r="D104" i="6" s="1"/>
  <c r="B104" i="6"/>
  <c r="E103" i="6"/>
  <c r="F103" i="6" s="1"/>
  <c r="D103" i="6"/>
  <c r="C103" i="6"/>
  <c r="B103" i="6"/>
  <c r="E102" i="6"/>
  <c r="C102" i="6"/>
  <c r="B102" i="6"/>
  <c r="D102" i="6" s="1"/>
  <c r="F101" i="6"/>
  <c r="E101" i="6"/>
  <c r="D101" i="6"/>
  <c r="C101" i="6"/>
  <c r="B101" i="6"/>
  <c r="F100" i="6"/>
  <c r="E100" i="6"/>
  <c r="D100" i="6"/>
  <c r="C100" i="6"/>
  <c r="B100" i="6"/>
  <c r="E96" i="6"/>
  <c r="C96" i="6"/>
  <c r="D96" i="6" s="1"/>
  <c r="B96" i="6"/>
  <c r="F96" i="6" s="1"/>
  <c r="F95" i="6"/>
  <c r="E95" i="6"/>
  <c r="C95" i="6"/>
  <c r="D95" i="6" s="1"/>
  <c r="B95" i="6"/>
  <c r="E94" i="6"/>
  <c r="F94" i="6" s="1"/>
  <c r="C94" i="6"/>
  <c r="D94" i="6" s="1"/>
  <c r="B94" i="6"/>
  <c r="E93" i="6"/>
  <c r="C93" i="6"/>
  <c r="B93" i="6"/>
  <c r="F92" i="6"/>
  <c r="E92" i="6"/>
  <c r="D92" i="6"/>
  <c r="C92" i="6"/>
  <c r="B92" i="6"/>
  <c r="E91" i="6"/>
  <c r="C91" i="6"/>
  <c r="D91" i="6" s="1"/>
  <c r="B91" i="6"/>
  <c r="M83" i="6"/>
  <c r="N83" i="6" s="1"/>
  <c r="O83" i="6" s="1"/>
  <c r="G83" i="6"/>
  <c r="H83" i="6" s="1"/>
  <c r="F83" i="6"/>
  <c r="E83" i="6"/>
  <c r="D83" i="6"/>
  <c r="M82" i="6"/>
  <c r="N82" i="6" s="1"/>
  <c r="O82" i="6" s="1"/>
  <c r="H82" i="6"/>
  <c r="G82" i="6"/>
  <c r="E82" i="6"/>
  <c r="F82" i="6" s="1"/>
  <c r="D82" i="6"/>
  <c r="N81" i="6"/>
  <c r="O81" i="6" s="1"/>
  <c r="M81" i="6"/>
  <c r="G81" i="6"/>
  <c r="E81" i="6"/>
  <c r="D81" i="6"/>
  <c r="P80" i="6"/>
  <c r="M80" i="6"/>
  <c r="N80" i="6" s="1"/>
  <c r="O80" i="6" s="1"/>
  <c r="Q80" i="6" s="1"/>
  <c r="G80" i="6"/>
  <c r="F80" i="6"/>
  <c r="E80" i="6"/>
  <c r="D80" i="6"/>
  <c r="H80" i="6" s="1"/>
  <c r="M79" i="6"/>
  <c r="N79" i="6" s="1"/>
  <c r="O79" i="6" s="1"/>
  <c r="G79" i="6"/>
  <c r="H79" i="6" s="1"/>
  <c r="F79" i="6"/>
  <c r="E79" i="6"/>
  <c r="D79" i="6"/>
  <c r="N78" i="6"/>
  <c r="O78" i="6" s="1"/>
  <c r="M78" i="6"/>
  <c r="H78" i="6"/>
  <c r="G78" i="6"/>
  <c r="E78" i="6"/>
  <c r="D78" i="6"/>
  <c r="F78" i="6" s="1"/>
  <c r="O72" i="6"/>
  <c r="Q72" i="6" s="1"/>
  <c r="N72" i="6"/>
  <c r="M72" i="6"/>
  <c r="F72" i="6"/>
  <c r="D72" i="6"/>
  <c r="H72" i="6" s="1"/>
  <c r="N71" i="6"/>
  <c r="O71" i="6" s="1"/>
  <c r="M71" i="6"/>
  <c r="F71" i="6"/>
  <c r="D71" i="6"/>
  <c r="H71" i="6" s="1"/>
  <c r="N70" i="6"/>
  <c r="O70" i="6" s="1"/>
  <c r="M70" i="6"/>
  <c r="D70" i="6"/>
  <c r="H70" i="6" s="1"/>
  <c r="P69" i="6"/>
  <c r="O69" i="6"/>
  <c r="Q69" i="6" s="1"/>
  <c r="N69" i="6"/>
  <c r="M69" i="6"/>
  <c r="D69" i="6"/>
  <c r="H69" i="6" s="1"/>
  <c r="N68" i="6"/>
  <c r="O68" i="6" s="1"/>
  <c r="M68" i="6"/>
  <c r="D68" i="6"/>
  <c r="H68" i="6" s="1"/>
  <c r="O67" i="6"/>
  <c r="Q67" i="6" s="1"/>
  <c r="N67" i="6"/>
  <c r="M67" i="6"/>
  <c r="D67" i="6"/>
  <c r="H67" i="6" s="1"/>
  <c r="N61" i="6"/>
  <c r="O61" i="6" s="1"/>
  <c r="P61" i="6" s="1"/>
  <c r="M61" i="6"/>
  <c r="H61" i="6"/>
  <c r="D61" i="6"/>
  <c r="F61" i="6" s="1"/>
  <c r="M60" i="6"/>
  <c r="N60" i="6" s="1"/>
  <c r="O60" i="6" s="1"/>
  <c r="P60" i="6" s="1"/>
  <c r="H60" i="6"/>
  <c r="F60" i="6"/>
  <c r="D60" i="6"/>
  <c r="M59" i="6"/>
  <c r="N59" i="6" s="1"/>
  <c r="O59" i="6" s="1"/>
  <c r="P59" i="6" s="1"/>
  <c r="H59" i="6"/>
  <c r="F59" i="6"/>
  <c r="D59" i="6"/>
  <c r="N58" i="6"/>
  <c r="O58" i="6" s="1"/>
  <c r="P58" i="6" s="1"/>
  <c r="M58" i="6"/>
  <c r="H58" i="6"/>
  <c r="F58" i="6"/>
  <c r="D58" i="6"/>
  <c r="M57" i="6"/>
  <c r="N57" i="6" s="1"/>
  <c r="O57" i="6" s="1"/>
  <c r="P57" i="6" s="1"/>
  <c r="F57" i="6"/>
  <c r="D57" i="6"/>
  <c r="H57" i="6" s="1"/>
  <c r="P56" i="6"/>
  <c r="M56" i="6"/>
  <c r="N56" i="6" s="1"/>
  <c r="O56" i="6" s="1"/>
  <c r="D56" i="6"/>
  <c r="P50" i="6"/>
  <c r="O50" i="6"/>
  <c r="N50" i="6"/>
  <c r="M50" i="6"/>
  <c r="H50" i="6"/>
  <c r="F50" i="6"/>
  <c r="D50" i="6"/>
  <c r="O49" i="6"/>
  <c r="P49" i="6" s="1"/>
  <c r="N49" i="6"/>
  <c r="M49" i="6"/>
  <c r="D49" i="6"/>
  <c r="H49" i="6" s="1"/>
  <c r="N48" i="6"/>
  <c r="O48" i="6" s="1"/>
  <c r="P48" i="6" s="1"/>
  <c r="M48" i="6"/>
  <c r="H48" i="6"/>
  <c r="D48" i="6"/>
  <c r="F48" i="6" s="1"/>
  <c r="N47" i="6"/>
  <c r="O47" i="6" s="1"/>
  <c r="P47" i="6" s="1"/>
  <c r="M47" i="6"/>
  <c r="H47" i="6"/>
  <c r="F47" i="6"/>
  <c r="D47" i="6"/>
  <c r="M46" i="6"/>
  <c r="N46" i="6" s="1"/>
  <c r="O46" i="6" s="1"/>
  <c r="P46" i="6" s="1"/>
  <c r="H46" i="6"/>
  <c r="F46" i="6"/>
  <c r="D46" i="6"/>
  <c r="N45" i="6"/>
  <c r="O45" i="6" s="1"/>
  <c r="P45" i="6" s="1"/>
  <c r="M45" i="6"/>
  <c r="F45" i="6"/>
  <c r="D45" i="6"/>
  <c r="H45" i="6" s="1"/>
  <c r="N39" i="6"/>
  <c r="O39" i="6" s="1"/>
  <c r="M39" i="6"/>
  <c r="H39" i="6"/>
  <c r="D39" i="6"/>
  <c r="F39" i="6" s="1"/>
  <c r="N38" i="6"/>
  <c r="O38" i="6" s="1"/>
  <c r="M38" i="6"/>
  <c r="D38" i="6"/>
  <c r="F38" i="6" s="1"/>
  <c r="N37" i="6"/>
  <c r="O37" i="6" s="1"/>
  <c r="M37" i="6"/>
  <c r="D37" i="6"/>
  <c r="H37" i="6" s="1"/>
  <c r="N36" i="6"/>
  <c r="O36" i="6" s="1"/>
  <c r="M36" i="6"/>
  <c r="H36" i="6"/>
  <c r="F36" i="6"/>
  <c r="D36" i="6"/>
  <c r="N35" i="6"/>
  <c r="O35" i="6" s="1"/>
  <c r="M35" i="6"/>
  <c r="D35" i="6"/>
  <c r="H35" i="6" s="1"/>
  <c r="N34" i="6"/>
  <c r="O34" i="6" s="1"/>
  <c r="M34" i="6"/>
  <c r="F34" i="6"/>
  <c r="D34" i="6"/>
  <c r="H34" i="6" s="1"/>
  <c r="N28" i="6"/>
  <c r="O28" i="6" s="1"/>
  <c r="M28" i="6"/>
  <c r="G28" i="6"/>
  <c r="H28" i="6" s="1"/>
  <c r="F28" i="6"/>
  <c r="E28" i="6"/>
  <c r="D28" i="6"/>
  <c r="M27" i="6"/>
  <c r="N27" i="6" s="1"/>
  <c r="O27" i="6" s="1"/>
  <c r="H27" i="6"/>
  <c r="G27" i="6"/>
  <c r="E27" i="6"/>
  <c r="D27" i="6"/>
  <c r="F27" i="6" s="1"/>
  <c r="O26" i="6"/>
  <c r="Q26" i="6" s="1"/>
  <c r="N26" i="6"/>
  <c r="M26" i="6"/>
  <c r="G26" i="6"/>
  <c r="E26" i="6"/>
  <c r="D26" i="6"/>
  <c r="Q25" i="6"/>
  <c r="M25" i="6"/>
  <c r="N25" i="6" s="1"/>
  <c r="O25" i="6" s="1"/>
  <c r="P25" i="6" s="1"/>
  <c r="G25" i="6"/>
  <c r="E25" i="6"/>
  <c r="D25" i="6"/>
  <c r="H25" i="6" s="1"/>
  <c r="N24" i="6"/>
  <c r="O24" i="6" s="1"/>
  <c r="M24" i="6"/>
  <c r="G24" i="6"/>
  <c r="H24" i="6" s="1"/>
  <c r="F24" i="6"/>
  <c r="E24" i="6"/>
  <c r="D24" i="6"/>
  <c r="M23" i="6"/>
  <c r="N23" i="6" s="1"/>
  <c r="O23" i="6" s="1"/>
  <c r="H23" i="6"/>
  <c r="G23" i="6"/>
  <c r="E23" i="6"/>
  <c r="D23" i="6"/>
  <c r="F23" i="6" s="1"/>
  <c r="N17" i="6"/>
  <c r="O17" i="6" s="1"/>
  <c r="M17" i="6"/>
  <c r="D17" i="6"/>
  <c r="H17" i="6" s="1"/>
  <c r="O16" i="6"/>
  <c r="Q16" i="6" s="1"/>
  <c r="N16" i="6"/>
  <c r="M16" i="6"/>
  <c r="D16" i="6"/>
  <c r="H16" i="6" s="1"/>
  <c r="O15" i="6"/>
  <c r="Q15" i="6" s="1"/>
  <c r="N15" i="6"/>
  <c r="M15" i="6"/>
  <c r="D15" i="6"/>
  <c r="H15" i="6" s="1"/>
  <c r="O14" i="6"/>
  <c r="Q14" i="6" s="1"/>
  <c r="N14" i="6"/>
  <c r="M14" i="6"/>
  <c r="D14" i="6"/>
  <c r="H14" i="6" s="1"/>
  <c r="N13" i="6"/>
  <c r="O13" i="6" s="1"/>
  <c r="M13" i="6"/>
  <c r="D13" i="6"/>
  <c r="H13" i="6" s="1"/>
  <c r="N12" i="6"/>
  <c r="O12" i="6" s="1"/>
  <c r="M12" i="6"/>
  <c r="D12" i="6"/>
  <c r="H12" i="6" s="1"/>
  <c r="N8" i="6"/>
  <c r="O8" i="6" s="1"/>
  <c r="M8" i="6"/>
  <c r="D8" i="6"/>
  <c r="H8" i="6" s="1"/>
  <c r="P7" i="6"/>
  <c r="O7" i="6"/>
  <c r="Q7" i="6" s="1"/>
  <c r="N7" i="6"/>
  <c r="M7" i="6"/>
  <c r="D7" i="6"/>
  <c r="H7" i="6" s="1"/>
  <c r="N6" i="6"/>
  <c r="O6" i="6" s="1"/>
  <c r="M6" i="6"/>
  <c r="D6" i="6"/>
  <c r="H6" i="6" s="1"/>
  <c r="O5" i="6"/>
  <c r="Q5" i="6" s="1"/>
  <c r="N5" i="6"/>
  <c r="M5" i="6"/>
  <c r="D5" i="6"/>
  <c r="H5" i="6" s="1"/>
  <c r="O4" i="6"/>
  <c r="Q4" i="6" s="1"/>
  <c r="N4" i="6"/>
  <c r="M4" i="6"/>
  <c r="D4" i="6"/>
  <c r="H4" i="6" s="1"/>
  <c r="O3" i="6"/>
  <c r="Q3" i="6" s="1"/>
  <c r="N3" i="6"/>
  <c r="M3" i="6"/>
  <c r="D3" i="6"/>
  <c r="H3" i="6" s="1"/>
  <c r="F146" i="4"/>
  <c r="E146" i="4"/>
  <c r="F145" i="4"/>
  <c r="E145" i="4"/>
  <c r="F144" i="4"/>
  <c r="E144" i="4"/>
  <c r="F143" i="4"/>
  <c r="E143" i="4"/>
  <c r="F142" i="4"/>
  <c r="E142" i="4"/>
  <c r="F141" i="4"/>
  <c r="E141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0" i="4"/>
  <c r="E100" i="4"/>
  <c r="F99" i="4"/>
  <c r="E99" i="4"/>
  <c r="F98" i="4"/>
  <c r="E98" i="4"/>
  <c r="F97" i="4"/>
  <c r="E97" i="4"/>
  <c r="F96" i="4"/>
  <c r="E96" i="4"/>
  <c r="F95" i="4"/>
  <c r="E95" i="4"/>
  <c r="E91" i="4"/>
  <c r="F91" i="4" s="1"/>
  <c r="C91" i="4"/>
  <c r="D91" i="4" s="1"/>
  <c r="B91" i="4"/>
  <c r="E90" i="4"/>
  <c r="C90" i="4"/>
  <c r="B90" i="4"/>
  <c r="D90" i="4" s="1"/>
  <c r="F89" i="4"/>
  <c r="E89" i="4"/>
  <c r="D89" i="4"/>
  <c r="C89" i="4"/>
  <c r="B89" i="4"/>
  <c r="E88" i="4"/>
  <c r="C88" i="4"/>
  <c r="D88" i="4" s="1"/>
  <c r="B88" i="4"/>
  <c r="F88" i="4" s="1"/>
  <c r="F87" i="4"/>
  <c r="E87" i="4"/>
  <c r="C87" i="4"/>
  <c r="D87" i="4" s="1"/>
  <c r="B87" i="4"/>
  <c r="F86" i="4"/>
  <c r="E86" i="4"/>
  <c r="D86" i="4"/>
  <c r="C86" i="4"/>
  <c r="B86" i="4"/>
  <c r="E82" i="4"/>
  <c r="C82" i="4"/>
  <c r="D82" i="4" s="1"/>
  <c r="B82" i="4"/>
  <c r="F81" i="4"/>
  <c r="E81" i="4"/>
  <c r="C81" i="4"/>
  <c r="D81" i="4" s="1"/>
  <c r="B81" i="4"/>
  <c r="E80" i="4"/>
  <c r="F80" i="4" s="1"/>
  <c r="C80" i="4"/>
  <c r="D80" i="4" s="1"/>
  <c r="B80" i="4"/>
  <c r="E79" i="4"/>
  <c r="C79" i="4"/>
  <c r="B79" i="4"/>
  <c r="D79" i="4" s="1"/>
  <c r="F78" i="4"/>
  <c r="E78" i="4"/>
  <c r="D78" i="4"/>
  <c r="C78" i="4"/>
  <c r="B78" i="4"/>
  <c r="E77" i="4"/>
  <c r="C77" i="4"/>
  <c r="D77" i="4" s="1"/>
  <c r="B77" i="4"/>
  <c r="F77" i="4" s="1"/>
  <c r="H71" i="4"/>
  <c r="G71" i="4"/>
  <c r="E71" i="4"/>
  <c r="D71" i="4"/>
  <c r="F71" i="4" s="1"/>
  <c r="H70" i="4"/>
  <c r="G70" i="4"/>
  <c r="F70" i="4"/>
  <c r="E70" i="4"/>
  <c r="D70" i="4"/>
  <c r="G69" i="4"/>
  <c r="E69" i="4"/>
  <c r="D69" i="4"/>
  <c r="H68" i="4"/>
  <c r="G68" i="4"/>
  <c r="E68" i="4"/>
  <c r="D68" i="4"/>
  <c r="F68" i="4" s="1"/>
  <c r="G67" i="4"/>
  <c r="E67" i="4"/>
  <c r="F67" i="4" s="1"/>
  <c r="D67" i="4"/>
  <c r="G66" i="4"/>
  <c r="E66" i="4"/>
  <c r="D66" i="4"/>
  <c r="H62" i="4"/>
  <c r="F62" i="4"/>
  <c r="D62" i="4"/>
  <c r="D61" i="4"/>
  <c r="H61" i="4" s="1"/>
  <c r="D60" i="4"/>
  <c r="H60" i="4" s="1"/>
  <c r="H59" i="4"/>
  <c r="F59" i="4"/>
  <c r="D59" i="4"/>
  <c r="F58" i="4"/>
  <c r="D58" i="4"/>
  <c r="H58" i="4" s="1"/>
  <c r="D57" i="4"/>
  <c r="H57" i="4" s="1"/>
  <c r="H53" i="4"/>
  <c r="D53" i="4"/>
  <c r="F53" i="4" s="1"/>
  <c r="D52" i="4"/>
  <c r="H51" i="4"/>
  <c r="F51" i="4"/>
  <c r="D51" i="4"/>
  <c r="D50" i="4"/>
  <c r="H50" i="4" s="1"/>
  <c r="F49" i="4"/>
  <c r="D49" i="4"/>
  <c r="H49" i="4" s="1"/>
  <c r="H48" i="4"/>
  <c r="F48" i="4"/>
  <c r="D48" i="4"/>
  <c r="F44" i="4"/>
  <c r="D44" i="4"/>
  <c r="H44" i="4" s="1"/>
  <c r="H43" i="4"/>
  <c r="F43" i="4"/>
  <c r="D43" i="4"/>
  <c r="H42" i="4"/>
  <c r="D42" i="4"/>
  <c r="F42" i="4" s="1"/>
  <c r="D41" i="4"/>
  <c r="H40" i="4"/>
  <c r="F40" i="4"/>
  <c r="D40" i="4"/>
  <c r="D39" i="4"/>
  <c r="H39" i="4" s="1"/>
  <c r="D35" i="4"/>
  <c r="H35" i="4" s="1"/>
  <c r="H34" i="4"/>
  <c r="F34" i="4"/>
  <c r="D34" i="4"/>
  <c r="F33" i="4"/>
  <c r="D33" i="4"/>
  <c r="H33" i="4" s="1"/>
  <c r="D32" i="4"/>
  <c r="H32" i="4" s="1"/>
  <c r="H31" i="4"/>
  <c r="D31" i="4"/>
  <c r="F31" i="4" s="1"/>
  <c r="D30" i="4"/>
  <c r="H26" i="4"/>
  <c r="G26" i="4"/>
  <c r="F26" i="4"/>
  <c r="E26" i="4"/>
  <c r="D26" i="4"/>
  <c r="G25" i="4"/>
  <c r="E25" i="4"/>
  <c r="D25" i="4"/>
  <c r="H25" i="4" s="1"/>
  <c r="H24" i="4"/>
  <c r="G24" i="4"/>
  <c r="E24" i="4"/>
  <c r="F24" i="4" s="1"/>
  <c r="D24" i="4"/>
  <c r="H23" i="4"/>
  <c r="G23" i="4"/>
  <c r="F23" i="4"/>
  <c r="E23" i="4"/>
  <c r="D23" i="4"/>
  <c r="G22" i="4"/>
  <c r="E22" i="4"/>
  <c r="D22" i="4"/>
  <c r="H21" i="4"/>
  <c r="G21" i="4"/>
  <c r="E21" i="4"/>
  <c r="D21" i="4"/>
  <c r="F21" i="4" s="1"/>
  <c r="D17" i="4"/>
  <c r="H17" i="4" s="1"/>
  <c r="H16" i="4"/>
  <c r="F16" i="4"/>
  <c r="D16" i="4"/>
  <c r="F15" i="4"/>
  <c r="D15" i="4"/>
  <c r="H15" i="4" s="1"/>
  <c r="D14" i="4"/>
  <c r="H14" i="4" s="1"/>
  <c r="H13" i="4"/>
  <c r="D13" i="4"/>
  <c r="F13" i="4" s="1"/>
  <c r="D12" i="4"/>
  <c r="H8" i="4"/>
  <c r="F8" i="4"/>
  <c r="D8" i="4"/>
  <c r="D7" i="4"/>
  <c r="H7" i="4" s="1"/>
  <c r="F6" i="4"/>
  <c r="D6" i="4"/>
  <c r="H6" i="4" s="1"/>
  <c r="H5" i="4"/>
  <c r="F5" i="4"/>
  <c r="D5" i="4"/>
  <c r="F4" i="4"/>
  <c r="D4" i="4"/>
  <c r="H4" i="4" s="1"/>
  <c r="H3" i="4"/>
  <c r="F3" i="4"/>
  <c r="D3" i="4"/>
  <c r="U49" i="3"/>
  <c r="R49" i="3"/>
  <c r="P49" i="3"/>
  <c r="S49" i="3" s="1"/>
  <c r="N49" i="3"/>
  <c r="M49" i="3"/>
  <c r="L49" i="3"/>
  <c r="I49" i="3"/>
  <c r="F49" i="3"/>
  <c r="Q49" i="3" s="1"/>
  <c r="T49" i="3" s="1"/>
  <c r="E49" i="3"/>
  <c r="I48" i="3"/>
  <c r="N48" i="3" s="1"/>
  <c r="F48" i="3"/>
  <c r="E48" i="3"/>
  <c r="U47" i="3"/>
  <c r="R47" i="3"/>
  <c r="P47" i="3"/>
  <c r="S47" i="3" s="1"/>
  <c r="N47" i="3"/>
  <c r="M47" i="3"/>
  <c r="L47" i="3"/>
  <c r="I47" i="3"/>
  <c r="F47" i="3"/>
  <c r="Q47" i="3" s="1"/>
  <c r="T47" i="3" s="1"/>
  <c r="E47" i="3"/>
  <c r="R46" i="3"/>
  <c r="U46" i="3" s="1"/>
  <c r="I46" i="3"/>
  <c r="N46" i="3" s="1"/>
  <c r="F46" i="3"/>
  <c r="E46" i="3"/>
  <c r="U42" i="3"/>
  <c r="R42" i="3"/>
  <c r="P42" i="3"/>
  <c r="S42" i="3" s="1"/>
  <c r="N42" i="3"/>
  <c r="M42" i="3"/>
  <c r="L42" i="3"/>
  <c r="I42" i="3"/>
  <c r="F42" i="3"/>
  <c r="Q42" i="3" s="1"/>
  <c r="T42" i="3" s="1"/>
  <c r="E42" i="3"/>
  <c r="R41" i="3"/>
  <c r="U41" i="3" s="1"/>
  <c r="I41" i="3"/>
  <c r="N41" i="3" s="1"/>
  <c r="F41" i="3"/>
  <c r="E41" i="3"/>
  <c r="U40" i="3"/>
  <c r="R40" i="3"/>
  <c r="P40" i="3"/>
  <c r="S40" i="3" s="1"/>
  <c r="N40" i="3"/>
  <c r="M40" i="3"/>
  <c r="L40" i="3"/>
  <c r="I40" i="3"/>
  <c r="F40" i="3"/>
  <c r="Q40" i="3" s="1"/>
  <c r="T40" i="3" s="1"/>
  <c r="E40" i="3"/>
  <c r="R39" i="3"/>
  <c r="U39" i="3" s="1"/>
  <c r="Q39" i="3"/>
  <c r="T39" i="3" s="1"/>
  <c r="I39" i="3"/>
  <c r="N39" i="3" s="1"/>
  <c r="F39" i="3"/>
  <c r="M39" i="3" s="1"/>
  <c r="E39" i="3"/>
  <c r="U35" i="3"/>
  <c r="R35" i="3"/>
  <c r="P35" i="3"/>
  <c r="S35" i="3" s="1"/>
  <c r="N35" i="3"/>
  <c r="M35" i="3"/>
  <c r="L35" i="3"/>
  <c r="I35" i="3"/>
  <c r="F35" i="3"/>
  <c r="Q35" i="3" s="1"/>
  <c r="T35" i="3" s="1"/>
  <c r="E35" i="3"/>
  <c r="R34" i="3"/>
  <c r="U34" i="3" s="1"/>
  <c r="Q34" i="3"/>
  <c r="T34" i="3" s="1"/>
  <c r="I34" i="3"/>
  <c r="N34" i="3" s="1"/>
  <c r="F34" i="3"/>
  <c r="M34" i="3" s="1"/>
  <c r="E34" i="3"/>
  <c r="U33" i="3"/>
  <c r="R33" i="3"/>
  <c r="P33" i="3"/>
  <c r="S33" i="3" s="1"/>
  <c r="N33" i="3"/>
  <c r="M33" i="3"/>
  <c r="L33" i="3"/>
  <c r="I33" i="3"/>
  <c r="F33" i="3"/>
  <c r="Q33" i="3" s="1"/>
  <c r="T33" i="3" s="1"/>
  <c r="E33" i="3"/>
  <c r="R32" i="3"/>
  <c r="U32" i="3" s="1"/>
  <c r="Q32" i="3"/>
  <c r="T32" i="3" s="1"/>
  <c r="I32" i="3"/>
  <c r="N32" i="3" s="1"/>
  <c r="F32" i="3"/>
  <c r="M32" i="3" s="1"/>
  <c r="E32" i="3"/>
  <c r="U28" i="3"/>
  <c r="R28" i="3"/>
  <c r="P28" i="3"/>
  <c r="S28" i="3" s="1"/>
  <c r="N28" i="3"/>
  <c r="M28" i="3"/>
  <c r="L28" i="3"/>
  <c r="I28" i="3"/>
  <c r="F28" i="3"/>
  <c r="Q28" i="3" s="1"/>
  <c r="T28" i="3" s="1"/>
  <c r="E28" i="3"/>
  <c r="R27" i="3"/>
  <c r="U27" i="3" s="1"/>
  <c r="Q27" i="3"/>
  <c r="T27" i="3" s="1"/>
  <c r="I27" i="3"/>
  <c r="N27" i="3" s="1"/>
  <c r="F27" i="3"/>
  <c r="M27" i="3" s="1"/>
  <c r="E27" i="3"/>
  <c r="R26" i="3"/>
  <c r="U26" i="3" s="1"/>
  <c r="N26" i="3"/>
  <c r="M26" i="3"/>
  <c r="L26" i="3"/>
  <c r="I26" i="3"/>
  <c r="F26" i="3"/>
  <c r="Q26" i="3" s="1"/>
  <c r="T26" i="3" s="1"/>
  <c r="E26" i="3"/>
  <c r="P26" i="3" s="1"/>
  <c r="S26" i="3" s="1"/>
  <c r="R25" i="3"/>
  <c r="U25" i="3" s="1"/>
  <c r="Q25" i="3"/>
  <c r="T25" i="3" s="1"/>
  <c r="I25" i="3"/>
  <c r="N25" i="3" s="1"/>
  <c r="F25" i="3"/>
  <c r="M25" i="3" s="1"/>
  <c r="E25" i="3"/>
  <c r="U19" i="3"/>
  <c r="R19" i="3"/>
  <c r="P19" i="3"/>
  <c r="S19" i="3" s="1"/>
  <c r="N19" i="3"/>
  <c r="M19" i="3"/>
  <c r="I19" i="3"/>
  <c r="F19" i="3"/>
  <c r="Q19" i="3" s="1"/>
  <c r="T19" i="3" s="1"/>
  <c r="E19" i="3"/>
  <c r="L19" i="3" s="1"/>
  <c r="R18" i="3"/>
  <c r="U18" i="3" s="1"/>
  <c r="Q18" i="3"/>
  <c r="T18" i="3" s="1"/>
  <c r="I18" i="3"/>
  <c r="N18" i="3" s="1"/>
  <c r="F18" i="3"/>
  <c r="M18" i="3" s="1"/>
  <c r="E18" i="3"/>
  <c r="R12" i="3"/>
  <c r="U12" i="3" s="1"/>
  <c r="P12" i="3"/>
  <c r="S12" i="3" s="1"/>
  <c r="N12" i="3"/>
  <c r="M12" i="3"/>
  <c r="L12" i="3"/>
  <c r="I12" i="3"/>
  <c r="F12" i="3"/>
  <c r="Q12" i="3" s="1"/>
  <c r="T12" i="3" s="1"/>
  <c r="E12" i="3"/>
  <c r="R11" i="3"/>
  <c r="U11" i="3" s="1"/>
  <c r="N11" i="3"/>
  <c r="I11" i="3"/>
  <c r="F11" i="3"/>
  <c r="Q11" i="3" s="1"/>
  <c r="T11" i="3" s="1"/>
  <c r="E11" i="3"/>
  <c r="P11" i="3" s="1"/>
  <c r="S11" i="3" s="1"/>
  <c r="U7" i="3"/>
  <c r="R7" i="3"/>
  <c r="Q7" i="3"/>
  <c r="T7" i="3" s="1"/>
  <c r="N7" i="3"/>
  <c r="M7" i="3"/>
  <c r="L7" i="3"/>
  <c r="I7" i="3"/>
  <c r="F7" i="3"/>
  <c r="E7" i="3"/>
  <c r="P7" i="3" s="1"/>
  <c r="S7" i="3" s="1"/>
  <c r="R6" i="3"/>
  <c r="U6" i="3" s="1"/>
  <c r="N6" i="3"/>
  <c r="I6" i="3"/>
  <c r="F6" i="3"/>
  <c r="Q6" i="3" s="1"/>
  <c r="T6" i="3" s="1"/>
  <c r="E6" i="3"/>
  <c r="P6" i="3" s="1"/>
  <c r="S6" i="3" s="1"/>
  <c r="U5" i="3"/>
  <c r="R5" i="3"/>
  <c r="Q5" i="3"/>
  <c r="T5" i="3" s="1"/>
  <c r="N5" i="3"/>
  <c r="M5" i="3"/>
  <c r="L5" i="3"/>
  <c r="I5" i="3"/>
  <c r="F5" i="3"/>
  <c r="E5" i="3"/>
  <c r="P5" i="3" s="1"/>
  <c r="S5" i="3" s="1"/>
  <c r="R4" i="3"/>
  <c r="U4" i="3" s="1"/>
  <c r="N4" i="3"/>
  <c r="I4" i="3"/>
  <c r="F4" i="3"/>
  <c r="Q4" i="3" s="1"/>
  <c r="T4" i="3" s="1"/>
  <c r="E4" i="3"/>
  <c r="P4" i="3" s="1"/>
  <c r="S4" i="3" s="1"/>
  <c r="T15" i="2"/>
  <c r="S15" i="2"/>
  <c r="R15" i="2"/>
  <c r="Q15" i="2"/>
  <c r="O15" i="2"/>
  <c r="N15" i="2"/>
  <c r="M15" i="2"/>
  <c r="L15" i="2"/>
  <c r="J15" i="2"/>
  <c r="I15" i="2"/>
  <c r="H15" i="2"/>
  <c r="G15" i="2"/>
  <c r="AB49" i="50" l="1"/>
  <c r="W34" i="50"/>
  <c r="X43" i="50"/>
  <c r="V55" i="51"/>
  <c r="U43" i="50"/>
  <c r="W55" i="50"/>
  <c r="AE55" i="50"/>
  <c r="AC56" i="50"/>
  <c r="W59" i="50"/>
  <c r="AE59" i="50"/>
  <c r="AC60" i="50"/>
  <c r="AF43" i="50"/>
  <c r="AF55" i="50" s="1"/>
  <c r="X47" i="50"/>
  <c r="X58" i="50" s="1"/>
  <c r="AC61" i="50"/>
  <c r="AC56" i="51"/>
  <c r="AA57" i="51"/>
  <c r="AC60" i="51"/>
  <c r="AA61" i="51"/>
  <c r="Z46" i="50"/>
  <c r="U31" i="50"/>
  <c r="AD48" i="50"/>
  <c r="AD59" i="50" s="1"/>
  <c r="Y33" i="50"/>
  <c r="X55" i="50"/>
  <c r="AD56" i="50"/>
  <c r="X59" i="50"/>
  <c r="AD60" i="50"/>
  <c r="AF47" i="50"/>
  <c r="T45" i="51"/>
  <c r="V56" i="51"/>
  <c r="AD56" i="51"/>
  <c r="T49" i="51"/>
  <c r="V60" i="51"/>
  <c r="AD60" i="51"/>
  <c r="V61" i="51"/>
  <c r="AC55" i="50"/>
  <c r="W56" i="51"/>
  <c r="AE56" i="51"/>
  <c r="W60" i="51"/>
  <c r="AE60" i="51"/>
  <c r="V57" i="51"/>
  <c r="AC61" i="51"/>
  <c r="X56" i="50"/>
  <c r="AC59" i="50"/>
  <c r="X56" i="51"/>
  <c r="AB58" i="51"/>
  <c r="AB62" i="51"/>
  <c r="AC57" i="51"/>
  <c r="AD61" i="51"/>
  <c r="AB45" i="50"/>
  <c r="W30" i="50"/>
  <c r="R44" i="50" s="1"/>
  <c r="X51" i="50"/>
  <c r="X62" i="50" s="1"/>
  <c r="S36" i="50"/>
  <c r="W57" i="50"/>
  <c r="AE57" i="50"/>
  <c r="AC58" i="50"/>
  <c r="W61" i="50"/>
  <c r="AE61" i="50"/>
  <c r="AC62" i="50"/>
  <c r="R50" i="50"/>
  <c r="Y56" i="50"/>
  <c r="X60" i="50"/>
  <c r="AA55" i="51"/>
  <c r="W57" i="51"/>
  <c r="AE57" i="51"/>
  <c r="AC58" i="51"/>
  <c r="AA59" i="51"/>
  <c r="W61" i="51"/>
  <c r="AE61" i="51"/>
  <c r="AC62" i="51"/>
  <c r="AD57" i="51"/>
  <c r="AD44" i="50"/>
  <c r="AD55" i="50" s="1"/>
  <c r="Y29" i="50"/>
  <c r="AF51" i="50"/>
  <c r="AF62" i="50" s="1"/>
  <c r="AA36" i="50"/>
  <c r="X57" i="50"/>
  <c r="AF57" i="50"/>
  <c r="AD58" i="50"/>
  <c r="X61" i="50"/>
  <c r="AF61" i="50"/>
  <c r="AD62" i="50"/>
  <c r="V58" i="51"/>
  <c r="T47" i="51"/>
  <c r="AD58" i="51"/>
  <c r="X61" i="51"/>
  <c r="V62" i="51"/>
  <c r="AD62" i="51"/>
  <c r="Z50" i="50"/>
  <c r="U35" i="50"/>
  <c r="AB61" i="50"/>
  <c r="W58" i="50"/>
  <c r="AE58" i="50"/>
  <c r="W62" i="50"/>
  <c r="AE62" i="50"/>
  <c r="AB57" i="50"/>
  <c r="W58" i="51"/>
  <c r="AE58" i="51"/>
  <c r="AA60" i="51"/>
  <c r="W62" i="51"/>
  <c r="AE62" i="51"/>
  <c r="AC44" i="51"/>
  <c r="AC55" i="51" s="1"/>
  <c r="X28" i="50"/>
  <c r="R42" i="50" s="1"/>
  <c r="V29" i="50"/>
  <c r="R31" i="50"/>
  <c r="Z31" i="50"/>
  <c r="X32" i="50"/>
  <c r="V33" i="50"/>
  <c r="R35" i="50"/>
  <c r="Z35" i="50"/>
  <c r="X36" i="50"/>
  <c r="W45" i="50"/>
  <c r="AE45" i="50"/>
  <c r="AE56" i="50" s="1"/>
  <c r="AA46" i="50"/>
  <c r="W49" i="50"/>
  <c r="AE49" i="50"/>
  <c r="AE60" i="50" s="1"/>
  <c r="AA50" i="50"/>
  <c r="Y51" i="50"/>
  <c r="W30" i="51"/>
  <c r="U31" i="51"/>
  <c r="S32" i="51"/>
  <c r="W34" i="51"/>
  <c r="U35" i="51"/>
  <c r="Q48" i="51" s="1"/>
  <c r="S36" i="51"/>
  <c r="W38" i="51"/>
  <c r="X43" i="51"/>
  <c r="X60" i="51" s="1"/>
  <c r="AB46" i="51"/>
  <c r="AB57" i="51" s="1"/>
  <c r="X47" i="51"/>
  <c r="AB50" i="51"/>
  <c r="AB61" i="51" s="1"/>
  <c r="X51" i="51"/>
  <c r="X62" i="51" s="1"/>
  <c r="AC48" i="51"/>
  <c r="AC59" i="51" s="1"/>
  <c r="V48" i="51"/>
  <c r="Z43" i="50"/>
  <c r="Z55" i="50" s="1"/>
  <c r="AD46" i="50"/>
  <c r="AD57" i="50" s="1"/>
  <c r="Z47" i="50"/>
  <c r="AD50" i="50"/>
  <c r="AD61" i="50" s="1"/>
  <c r="AB51" i="50"/>
  <c r="AB62" i="50" s="1"/>
  <c r="R30" i="51"/>
  <c r="Q43" i="51" s="1"/>
  <c r="Z30" i="51"/>
  <c r="V32" i="51"/>
  <c r="T33" i="51"/>
  <c r="Q46" i="51" s="1"/>
  <c r="R34" i="51"/>
  <c r="Q47" i="51" s="1"/>
  <c r="Z34" i="51"/>
  <c r="V36" i="51"/>
  <c r="T37" i="51"/>
  <c r="Q50" i="51" s="1"/>
  <c r="R38" i="51"/>
  <c r="Q51" i="51" s="1"/>
  <c r="Z38" i="51"/>
  <c r="AA43" i="51"/>
  <c r="AA56" i="51" s="1"/>
  <c r="W44" i="51"/>
  <c r="W55" i="51" s="1"/>
  <c r="AE44" i="51"/>
  <c r="AE55" i="51" s="1"/>
  <c r="AA47" i="51"/>
  <c r="AA58" i="51" s="1"/>
  <c r="W48" i="51"/>
  <c r="W59" i="51" s="1"/>
  <c r="AE48" i="51"/>
  <c r="AE59" i="51" s="1"/>
  <c r="AA51" i="51"/>
  <c r="AA62" i="51" s="1"/>
  <c r="Y43" i="50"/>
  <c r="Y60" i="50" s="1"/>
  <c r="R29" i="50"/>
  <c r="Z29" i="50"/>
  <c r="X30" i="50"/>
  <c r="T32" i="50"/>
  <c r="R46" i="50" s="1"/>
  <c r="R33" i="50"/>
  <c r="Z33" i="50"/>
  <c r="X34" i="50"/>
  <c r="R48" i="50" s="1"/>
  <c r="AA43" i="50"/>
  <c r="AA59" i="50" s="1"/>
  <c r="AA47" i="50"/>
  <c r="Q31" i="51"/>
  <c r="Y31" i="51"/>
  <c r="W32" i="51"/>
  <c r="U33" i="51"/>
  <c r="Y35" i="51"/>
  <c r="W36" i="51"/>
  <c r="U37" i="51"/>
  <c r="X44" i="51"/>
  <c r="X48" i="51"/>
  <c r="X59" i="51" s="1"/>
  <c r="S29" i="50"/>
  <c r="AA29" i="50"/>
  <c r="Y30" i="50"/>
  <c r="S33" i="50"/>
  <c r="AA33" i="50"/>
  <c r="Y34" i="50"/>
  <c r="AB43" i="50"/>
  <c r="AB55" i="50" s="1"/>
  <c r="AB47" i="50"/>
  <c r="AB58" i="50" s="1"/>
  <c r="X32" i="51"/>
  <c r="V33" i="51"/>
  <c r="X36" i="51"/>
  <c r="V37" i="51"/>
  <c r="Y44" i="51"/>
  <c r="Y55" i="51" s="1"/>
  <c r="Y48" i="51"/>
  <c r="Y59" i="51" s="1"/>
  <c r="T29" i="50"/>
  <c r="T33" i="50"/>
  <c r="Q32" i="51"/>
  <c r="Y32" i="51"/>
  <c r="Q36" i="51"/>
  <c r="Y36" i="51"/>
  <c r="U29" i="50"/>
  <c r="U33" i="50"/>
  <c r="R32" i="51"/>
  <c r="Z32" i="51"/>
  <c r="R36" i="51"/>
  <c r="Z36" i="51"/>
  <c r="K26" i="34"/>
  <c r="J26" i="34"/>
  <c r="I26" i="34"/>
  <c r="H26" i="34"/>
  <c r="G26" i="34"/>
  <c r="K26" i="37"/>
  <c r="J26" i="37"/>
  <c r="I26" i="37"/>
  <c r="H26" i="37"/>
  <c r="G26" i="37"/>
  <c r="E34" i="34"/>
  <c r="E38" i="34"/>
  <c r="E42" i="34"/>
  <c r="E46" i="34"/>
  <c r="E50" i="34"/>
  <c r="E58" i="34"/>
  <c r="E62" i="34"/>
  <c r="E66" i="34"/>
  <c r="E70" i="34"/>
  <c r="E74" i="34"/>
  <c r="E88" i="34"/>
  <c r="E92" i="34"/>
  <c r="E96" i="34"/>
  <c r="E100" i="34"/>
  <c r="E104" i="34"/>
  <c r="E112" i="34"/>
  <c r="D12" i="36"/>
  <c r="D20" i="36"/>
  <c r="E46" i="37"/>
  <c r="E50" i="37"/>
  <c r="E58" i="37"/>
  <c r="E62" i="37"/>
  <c r="E66" i="37"/>
  <c r="E70" i="37"/>
  <c r="E74" i="37"/>
  <c r="E88" i="37"/>
  <c r="E92" i="37"/>
  <c r="E96" i="37"/>
  <c r="E100" i="37"/>
  <c r="E104" i="37"/>
  <c r="E112" i="37"/>
  <c r="E37" i="34"/>
  <c r="E41" i="34"/>
  <c r="E45" i="34"/>
  <c r="E49" i="34"/>
  <c r="E53" i="34"/>
  <c r="E61" i="34"/>
  <c r="E65" i="34"/>
  <c r="E69" i="34"/>
  <c r="E73" i="34"/>
  <c r="E77" i="34"/>
  <c r="E91" i="34"/>
  <c r="E95" i="34"/>
  <c r="E99" i="34"/>
  <c r="E103" i="34"/>
  <c r="E107" i="34"/>
  <c r="D15" i="36"/>
  <c r="D23" i="36"/>
  <c r="E37" i="37"/>
  <c r="E41" i="37"/>
  <c r="E45" i="37"/>
  <c r="E49" i="37"/>
  <c r="E53" i="37"/>
  <c r="E61" i="37"/>
  <c r="E65" i="37"/>
  <c r="E69" i="37"/>
  <c r="E73" i="37"/>
  <c r="E77" i="37"/>
  <c r="E91" i="37"/>
  <c r="E95" i="37"/>
  <c r="E99" i="37"/>
  <c r="E103" i="37"/>
  <c r="E107" i="37"/>
  <c r="E36" i="34"/>
  <c r="E40" i="34"/>
  <c r="E44" i="34"/>
  <c r="E48" i="34"/>
  <c r="E52" i="34"/>
  <c r="E60" i="34"/>
  <c r="E64" i="34"/>
  <c r="E68" i="34"/>
  <c r="E72" i="34"/>
  <c r="E76" i="34"/>
  <c r="E90" i="34"/>
  <c r="E94" i="34"/>
  <c r="E98" i="34"/>
  <c r="E102" i="34"/>
  <c r="E106" i="34"/>
  <c r="D14" i="36"/>
  <c r="D22" i="36"/>
  <c r="E35" i="34"/>
  <c r="E39" i="34"/>
  <c r="E43" i="34"/>
  <c r="E47" i="34"/>
  <c r="E51" i="34"/>
  <c r="E59" i="34"/>
  <c r="E63" i="34"/>
  <c r="E67" i="34"/>
  <c r="E71" i="34"/>
  <c r="E75" i="34"/>
  <c r="E89" i="34"/>
  <c r="E93" i="34"/>
  <c r="E97" i="34"/>
  <c r="E101" i="34"/>
  <c r="E105" i="34"/>
  <c r="D13" i="36"/>
  <c r="D21" i="36"/>
  <c r="M30" i="23"/>
  <c r="K63" i="17" a="1"/>
  <c r="K63" i="17" s="1"/>
  <c r="G30" i="17" a="1"/>
  <c r="G30" i="17" s="1"/>
  <c r="O30" i="17" a="1"/>
  <c r="O30" i="17" s="1"/>
  <c r="O31" i="17" a="1"/>
  <c r="O31" i="17" s="1"/>
  <c r="T30" i="23"/>
  <c r="AA30" i="23"/>
  <c r="G31" i="17" a="1"/>
  <c r="G31" i="17" s="1"/>
  <c r="G94" i="17" a="1"/>
  <c r="G94" i="17" s="1"/>
  <c r="K31" i="17" a="1"/>
  <c r="K31" i="17" s="1"/>
  <c r="K30" i="17" a="1"/>
  <c r="K30" i="17" s="1"/>
  <c r="G63" i="17" a="1"/>
  <c r="G63" i="17" s="1"/>
  <c r="G62" i="17" a="1"/>
  <c r="G62" i="17" s="1"/>
  <c r="K95" i="17" a="1"/>
  <c r="K95" i="17" s="1"/>
  <c r="K94" i="17" a="1"/>
  <c r="K94" i="17" s="1"/>
  <c r="B3" i="25"/>
  <c r="B64" i="25"/>
  <c r="B11" i="25"/>
  <c r="B72" i="25"/>
  <c r="R46" i="24"/>
  <c r="N54" i="24" s="1"/>
  <c r="P46" i="24"/>
  <c r="H28" i="25"/>
  <c r="F89" i="25"/>
  <c r="G95" i="17" a="1"/>
  <c r="G95" i="17" s="1"/>
  <c r="M54" i="24"/>
  <c r="B4" i="25"/>
  <c r="C57" i="25"/>
  <c r="E89" i="25"/>
  <c r="B67" i="25"/>
  <c r="C118" i="25"/>
  <c r="N62" i="26"/>
  <c r="F30" i="23"/>
  <c r="K62" i="17" a="1"/>
  <c r="K62" i="17" s="1"/>
  <c r="C28" i="25"/>
  <c r="B12" i="25"/>
  <c r="E57" i="25"/>
  <c r="G89" i="25"/>
  <c r="B75" i="25"/>
  <c r="D118" i="25"/>
  <c r="E47" i="26"/>
  <c r="L47" i="26"/>
  <c r="L44" i="29"/>
  <c r="B32" i="25"/>
  <c r="F59" i="23"/>
  <c r="B93" i="25"/>
  <c r="F89" i="23"/>
  <c r="F118" i="23"/>
  <c r="B83" i="25"/>
  <c r="E118" i="25"/>
  <c r="D44" i="29"/>
  <c r="B5" i="25"/>
  <c r="B66" i="25"/>
  <c r="B77" i="25"/>
  <c r="B16" i="25"/>
  <c r="B85" i="25"/>
  <c r="B24" i="25"/>
  <c r="B76" i="25"/>
  <c r="B15" i="25"/>
  <c r="B19" i="25"/>
  <c r="B80" i="25"/>
  <c r="B84" i="25"/>
  <c r="B23" i="25"/>
  <c r="B27" i="25"/>
  <c r="B88" i="25"/>
  <c r="B44" i="29"/>
  <c r="M59" i="23"/>
  <c r="M89" i="23"/>
  <c r="P43" i="24"/>
  <c r="M51" i="24" s="1"/>
  <c r="M55" i="24"/>
  <c r="E28" i="25"/>
  <c r="B20" i="25"/>
  <c r="G57" i="25"/>
  <c r="J47" i="26"/>
  <c r="J62" i="26"/>
  <c r="B68" i="25"/>
  <c r="B7" i="25"/>
  <c r="B70" i="25"/>
  <c r="B9" i="25"/>
  <c r="R42" i="24"/>
  <c r="N50" i="24" s="1"/>
  <c r="P42" i="24"/>
  <c r="M50" i="24" s="1"/>
  <c r="B13" i="25"/>
  <c r="B74" i="25"/>
  <c r="B78" i="25"/>
  <c r="B17" i="25"/>
  <c r="B21" i="25"/>
  <c r="B82" i="25"/>
  <c r="B86" i="25"/>
  <c r="B25" i="25"/>
  <c r="T59" i="23"/>
  <c r="F28" i="25"/>
  <c r="B10" i="25"/>
  <c r="H57" i="25"/>
  <c r="B69" i="25"/>
  <c r="H118" i="25"/>
  <c r="F44" i="29"/>
  <c r="B36" i="25"/>
  <c r="B44" i="25"/>
  <c r="B52" i="25"/>
  <c r="B101" i="25"/>
  <c r="B109" i="25"/>
  <c r="B117" i="25"/>
  <c r="B35" i="25"/>
  <c r="B43" i="25"/>
  <c r="B51" i="25"/>
  <c r="K62" i="26"/>
  <c r="O45" i="24"/>
  <c r="M53" i="24" s="1"/>
  <c r="B34" i="25"/>
  <c r="B42" i="25"/>
  <c r="B50" i="25"/>
  <c r="B99" i="25"/>
  <c r="B107" i="25"/>
  <c r="B115" i="25"/>
  <c r="L62" i="26"/>
  <c r="M62" i="26"/>
  <c r="O44" i="24"/>
  <c r="M52" i="24" s="1"/>
  <c r="Q17" i="6"/>
  <c r="P17" i="6"/>
  <c r="Q81" i="6"/>
  <c r="P81" i="6"/>
  <c r="Q23" i="6"/>
  <c r="P23" i="6"/>
  <c r="Q82" i="6"/>
  <c r="P82" i="6"/>
  <c r="Q12" i="6"/>
  <c r="P12" i="6"/>
  <c r="Q13" i="6"/>
  <c r="P13" i="6"/>
  <c r="Q68" i="6"/>
  <c r="P68" i="6"/>
  <c r="Q70" i="6"/>
  <c r="P70" i="6"/>
  <c r="Q71" i="6"/>
  <c r="P71" i="6"/>
  <c r="Q6" i="6"/>
  <c r="P6" i="6"/>
  <c r="Q8" i="6"/>
  <c r="P8" i="6"/>
  <c r="Q27" i="6"/>
  <c r="P27" i="6"/>
  <c r="Q24" i="6"/>
  <c r="P24" i="6"/>
  <c r="H22" i="4"/>
  <c r="F22" i="4"/>
  <c r="P15" i="6"/>
  <c r="Q39" i="6"/>
  <c r="P39" i="6"/>
  <c r="P72" i="6"/>
  <c r="F32" i="4"/>
  <c r="F35" i="4"/>
  <c r="F35" i="6"/>
  <c r="Q36" i="6"/>
  <c r="P36" i="6"/>
  <c r="H38" i="6"/>
  <c r="D93" i="6"/>
  <c r="H12" i="4"/>
  <c r="F12" i="4"/>
  <c r="Q34" i="6"/>
  <c r="P34" i="6"/>
  <c r="F79" i="4"/>
  <c r="M4" i="3"/>
  <c r="M6" i="3"/>
  <c r="M11" i="3"/>
  <c r="P25" i="3"/>
  <c r="S25" i="3" s="1"/>
  <c r="L25" i="3"/>
  <c r="P46" i="3"/>
  <c r="S46" i="3" s="1"/>
  <c r="L46" i="3"/>
  <c r="Q48" i="3"/>
  <c r="T48" i="3" s="1"/>
  <c r="M48" i="3"/>
  <c r="F14" i="4"/>
  <c r="F17" i="4"/>
  <c r="F57" i="4"/>
  <c r="F60" i="4"/>
  <c r="H67" i="4"/>
  <c r="H69" i="4"/>
  <c r="F69" i="4"/>
  <c r="P3" i="6"/>
  <c r="P14" i="6"/>
  <c r="F37" i="6"/>
  <c r="Q38" i="6"/>
  <c r="P38" i="6"/>
  <c r="F102" i="6"/>
  <c r="F104" i="6"/>
  <c r="L4" i="3"/>
  <c r="L6" i="3"/>
  <c r="L11" i="3"/>
  <c r="P27" i="3"/>
  <c r="S27" i="3" s="1"/>
  <c r="L27" i="3"/>
  <c r="P32" i="3"/>
  <c r="S32" i="3" s="1"/>
  <c r="L32" i="3"/>
  <c r="P34" i="3"/>
  <c r="S34" i="3" s="1"/>
  <c r="L34" i="3"/>
  <c r="P39" i="3"/>
  <c r="S39" i="3" s="1"/>
  <c r="L39" i="3"/>
  <c r="P41" i="3"/>
  <c r="S41" i="3" s="1"/>
  <c r="L41" i="3"/>
  <c r="Q46" i="3"/>
  <c r="T46" i="3" s="1"/>
  <c r="M46" i="3"/>
  <c r="Q35" i="6"/>
  <c r="P35" i="6"/>
  <c r="Q79" i="6"/>
  <c r="P79" i="6"/>
  <c r="H81" i="6"/>
  <c r="F81" i="6"/>
  <c r="P18" i="3"/>
  <c r="S18" i="3" s="1"/>
  <c r="L18" i="3"/>
  <c r="F25" i="6"/>
  <c r="F91" i="6"/>
  <c r="Q41" i="3"/>
  <c r="T41" i="3" s="1"/>
  <c r="M41" i="3"/>
  <c r="R48" i="3"/>
  <c r="U48" i="3" s="1"/>
  <c r="H30" i="4"/>
  <c r="F30" i="4"/>
  <c r="F82" i="4"/>
  <c r="P5" i="6"/>
  <c r="P16" i="6"/>
  <c r="P26" i="6"/>
  <c r="P67" i="6"/>
  <c r="H52" i="4"/>
  <c r="F52" i="4"/>
  <c r="H26" i="6"/>
  <c r="F26" i="6"/>
  <c r="H66" i="4"/>
  <c r="F66" i="4"/>
  <c r="P4" i="6"/>
  <c r="H56" i="6"/>
  <c r="F56" i="6"/>
  <c r="P48" i="3"/>
  <c r="S48" i="3" s="1"/>
  <c r="L48" i="3"/>
  <c r="F90" i="4"/>
  <c r="Q28" i="6"/>
  <c r="P28" i="6"/>
  <c r="F93" i="6"/>
  <c r="F25" i="4"/>
  <c r="H41" i="4"/>
  <c r="F41" i="4"/>
  <c r="Q37" i="6"/>
  <c r="P37" i="6"/>
  <c r="Q78" i="6"/>
  <c r="P78" i="6"/>
  <c r="Q83" i="6"/>
  <c r="P83" i="6"/>
  <c r="F7" i="4"/>
  <c r="F39" i="4"/>
  <c r="F50" i="4"/>
  <c r="F61" i="4"/>
  <c r="F3" i="6"/>
  <c r="F4" i="6"/>
  <c r="F5" i="6"/>
  <c r="F6" i="6"/>
  <c r="F7" i="6"/>
  <c r="F8" i="6"/>
  <c r="F12" i="6"/>
  <c r="F13" i="6"/>
  <c r="F14" i="6"/>
  <c r="F15" i="6"/>
  <c r="F16" i="6"/>
  <c r="F17" i="6"/>
  <c r="F49" i="6"/>
  <c r="F67" i="6"/>
  <c r="F68" i="6"/>
  <c r="F69" i="6"/>
  <c r="F70" i="6"/>
  <c r="Q44" i="51" l="1"/>
  <c r="AA61" i="50"/>
  <c r="R49" i="50"/>
  <c r="Y57" i="50"/>
  <c r="X55" i="51"/>
  <c r="AA58" i="50"/>
  <c r="R43" i="50"/>
  <c r="V59" i="51"/>
  <c r="T48" i="51"/>
  <c r="U50" i="50"/>
  <c r="AA56" i="50"/>
  <c r="AF56" i="50"/>
  <c r="Z56" i="50"/>
  <c r="T50" i="51"/>
  <c r="AB56" i="50"/>
  <c r="AF59" i="50"/>
  <c r="Z57" i="50"/>
  <c r="AA57" i="50"/>
  <c r="Y61" i="50"/>
  <c r="U42" i="50"/>
  <c r="AA60" i="50"/>
  <c r="U45" i="50"/>
  <c r="Y55" i="50"/>
  <c r="T44" i="51"/>
  <c r="U48" i="50"/>
  <c r="W60" i="50"/>
  <c r="Y59" i="50"/>
  <c r="R45" i="50"/>
  <c r="Q49" i="51"/>
  <c r="R47" i="50"/>
  <c r="X58" i="51"/>
  <c r="U44" i="50"/>
  <c r="W56" i="50"/>
  <c r="Z60" i="50"/>
  <c r="AA55" i="50"/>
  <c r="Z59" i="50"/>
  <c r="AA62" i="50"/>
  <c r="Z62" i="50"/>
  <c r="U47" i="50"/>
  <c r="Z58" i="50"/>
  <c r="AF60" i="50"/>
  <c r="U46" i="50"/>
  <c r="Z61" i="50"/>
  <c r="X57" i="51"/>
  <c r="T46" i="51"/>
  <c r="AB59" i="50"/>
  <c r="AF58" i="50"/>
  <c r="Y58" i="50"/>
  <c r="Q45" i="51"/>
  <c r="Y62" i="50"/>
  <c r="T43" i="51"/>
  <c r="U49" i="50"/>
  <c r="AB60" i="50"/>
  <c r="T51" i="51"/>
  <c r="I28" i="37"/>
  <c r="I27" i="37"/>
  <c r="J27" i="37"/>
  <c r="J28" i="37"/>
  <c r="K27" i="37"/>
  <c r="K28" i="37"/>
  <c r="G27" i="34"/>
  <c r="G28" i="34"/>
  <c r="I28" i="34"/>
  <c r="I27" i="34"/>
  <c r="H27" i="34"/>
  <c r="H28" i="34"/>
  <c r="G28" i="37"/>
  <c r="G27" i="37"/>
  <c r="J28" i="34"/>
  <c r="J27" i="34"/>
  <c r="H28" i="37"/>
  <c r="H27" i="37"/>
  <c r="K28" i="34"/>
  <c r="K27" i="34"/>
  <c r="B28" i="25"/>
  <c r="B118" i="25"/>
  <c r="B57" i="25"/>
  <c r="B89" i="25"/>
</calcChain>
</file>

<file path=xl/sharedStrings.xml><?xml version="1.0" encoding="utf-8"?>
<sst xmlns="http://schemas.openxmlformats.org/spreadsheetml/2006/main" count="7487" uniqueCount="632">
  <si>
    <t>cc-pVTZ cart no frzn core</t>
  </si>
  <si>
    <t>EPT@HF vs EXP</t>
  </si>
  <si>
    <t>EPT@B3LYP vs EXP</t>
  </si>
  <si>
    <t>EPT@LDA vs EXP</t>
  </si>
  <si>
    <t>EPT@revPBE vs EXP</t>
  </si>
  <si>
    <t>SGN AVE</t>
  </si>
  <si>
    <t>MAE</t>
  </si>
  <si>
    <t>RMSD</t>
  </si>
  <si>
    <t>KT</t>
  </si>
  <si>
    <t>D2</t>
  </si>
  <si>
    <t>P3</t>
  </si>
  <si>
    <t>P3+</t>
  </si>
  <si>
    <t>semi KT</t>
  </si>
  <si>
    <t>semi D2</t>
  </si>
  <si>
    <t>semi P3</t>
  </si>
  <si>
    <t>semi P3+</t>
  </si>
  <si>
    <t>AVE PS</t>
  </si>
  <si>
    <t>EPT@HF vs BD-T1</t>
  </si>
  <si>
    <t>EPT@B3LYP vs BD-T1</t>
  </si>
  <si>
    <t>EPT@LDA vs BD-T1</t>
  </si>
  <si>
    <t>EPT@revPBE vs BD-T1</t>
  </si>
  <si>
    <t>Diff</t>
  </si>
  <si>
    <t>BeO</t>
  </si>
  <si>
    <t>orb</t>
  </si>
  <si>
    <t>kt</t>
  </si>
  <si>
    <t>d2</t>
  </si>
  <si>
    <t>ps</t>
  </si>
  <si>
    <t>l3</t>
  </si>
  <si>
    <t>exp</t>
  </si>
  <si>
    <t>sgn err kt</t>
  </si>
  <si>
    <t>sgn err d2</t>
  </si>
  <si>
    <t>sgn err l3</t>
  </si>
  <si>
    <t>BD-T1</t>
  </si>
  <si>
    <t>abs kt-BDT1</t>
  </si>
  <si>
    <t>abs d2-BDT1</t>
  </si>
  <si>
    <t>abs l3-BDT1</t>
  </si>
  <si>
    <t>HF</t>
  </si>
  <si>
    <t>σ</t>
  </si>
  <si>
    <t>B3LYP</t>
  </si>
  <si>
    <t>LDA</t>
  </si>
  <si>
    <t>revPBE</t>
  </si>
  <si>
    <t>BN</t>
  </si>
  <si>
    <t>x</t>
  </si>
  <si>
    <t>C2</t>
  </si>
  <si>
    <t>σg</t>
  </si>
  <si>
    <t>Li2</t>
  </si>
  <si>
    <t>σu</t>
  </si>
  <si>
    <t>NaH</t>
  </si>
  <si>
    <t>LiH</t>
  </si>
  <si>
    <t>NaLi</t>
  </si>
  <si>
    <t>ha</t>
  </si>
  <si>
    <t>ev</t>
  </si>
  <si>
    <t xml:space="preserve">ev (theory) </t>
  </si>
  <si>
    <t xml:space="preserve">ev (exp) </t>
  </si>
  <si>
    <t>CCSD(T)/cc-PVTZ</t>
  </si>
  <si>
    <t xml:space="preserve">singlet </t>
  </si>
  <si>
    <t>triplet gs</t>
  </si>
  <si>
    <t xml:space="preserve">gap </t>
  </si>
  <si>
    <t>RMR CCSD(T) A</t>
  </si>
  <si>
    <t>sgn err</t>
  </si>
  <si>
    <t>hf</t>
  </si>
  <si>
    <t>b3lyp</t>
  </si>
  <si>
    <t>lda</t>
  </si>
  <si>
    <t>SCAN</t>
  </si>
  <si>
    <t xml:space="preserve">SCAN0 </t>
  </si>
  <si>
    <t xml:space="preserve">C2 </t>
  </si>
  <si>
    <t>singlet gs</t>
  </si>
  <si>
    <t>triplet</t>
  </si>
  <si>
    <t>CH2</t>
  </si>
  <si>
    <t>MRBWCCSDT/tz</t>
  </si>
  <si>
    <t>NF</t>
  </si>
  <si>
    <t>MRBWCCSDT-α/tz</t>
  </si>
  <si>
    <t>BO+</t>
  </si>
  <si>
    <t xml:space="preserve">triplet </t>
  </si>
  <si>
    <t>CMRCI/tz</t>
  </si>
  <si>
    <t>none</t>
  </si>
  <si>
    <t>CN+</t>
  </si>
  <si>
    <t>O2</t>
  </si>
  <si>
    <t>singlet</t>
  </si>
  <si>
    <t>GVB/dz(d-fxns a=.9)</t>
  </si>
  <si>
    <t>NH</t>
  </si>
  <si>
    <t>MRD/basisD</t>
  </si>
  <si>
    <t>triplet gs alpha</t>
  </si>
  <si>
    <t>triplet gs beta</t>
  </si>
  <si>
    <t>sqrt Ncorr</t>
  </si>
  <si>
    <t>sqrt t1^2</t>
  </si>
  <si>
    <t>T1</t>
  </si>
  <si>
    <t>||Fia||^2</t>
  </si>
  <si>
    <t>triplet alpha</t>
  </si>
  <si>
    <t>triplet beta</t>
  </si>
  <si>
    <t xml:space="preserve"> Ncorr</t>
  </si>
  <si>
    <t>t1^2</t>
  </si>
  <si>
    <t>RCCSD(T)/cc-pVTZ | ST or TS Gap (eV)</t>
  </si>
  <si>
    <t>RCCSD(T)/cc-pVTZ | Signed Errors (eV) versus Theoretical reference data</t>
  </si>
  <si>
    <t>RCCSD(T)/cc-pVTZ | T1 Diagnostic S=0</t>
  </si>
  <si>
    <t>UCCSD(T)/cc-pVTZ | T1 Diagnostic S=1</t>
  </si>
  <si>
    <t>RCCSD(T)/cc-pVTZ | Frobenius ||Fov||^2 S=0</t>
  </si>
  <si>
    <t>UCCSD(T)/cc-pVTZ | Frobenius ||Fov||^2 Alpha S=1</t>
  </si>
  <si>
    <t>UCCSD(T)/cc-pVTZ | Frobenius ||Fov||^2 Beta S=1</t>
  </si>
  <si>
    <t>theory</t>
  </si>
  <si>
    <t>S^2 HF</t>
  </si>
  <si>
    <t>S^2 CC</t>
  </si>
  <si>
    <t>alpha</t>
  </si>
  <si>
    <t>AP singlet</t>
  </si>
  <si>
    <t>AP Gap</t>
  </si>
  <si>
    <t>improv w/ks</t>
  </si>
  <si>
    <t>not better than RHF-CC</t>
  </si>
  <si>
    <t>no improv w/ks</t>
  </si>
  <si>
    <t>better than RHF-CC</t>
  </si>
  <si>
    <t>singlet alpha</t>
  </si>
  <si>
    <t>singlet beta</t>
  </si>
  <si>
    <t>singlet gs alpha</t>
  </si>
  <si>
    <t>singlet gs beta</t>
  </si>
  <si>
    <t>UCCSD(T)/cc-pVTZ | ST or TS Gap (eV)</t>
  </si>
  <si>
    <t>UCCSD(T)/cc-pVTZ | Signed Errors (eV) versus Theoretical reference data</t>
  </si>
  <si>
    <t>AP-UCCSD(T)/cc-pVTZ | ST or TS Gap (eV)</t>
  </si>
  <si>
    <t>AP-UCCSD(T)/cc-pVTZ | Signed Errors (eV) versus Theoretical reference data</t>
  </si>
  <si>
    <t>UCCSD(T)/cc-pVTZ | T1 Diagnostic S=0</t>
  </si>
  <si>
    <t>UCCSD(T)/cc-pVTZ | Frobenius ||Fov||^2 Alpha S=0</t>
  </si>
  <si>
    <t>UCCSD(T)/cc-pVTZ | Frobenius ||Fov||^2 Beta S=0</t>
  </si>
  <si>
    <t>UCCSD(T)/cc-pVTZ | SCF S^2 S=0</t>
  </si>
  <si>
    <t>UCCSD(T)/cc-pVTZ | SCF S^2 S=1</t>
  </si>
  <si>
    <t>UCCSD(T)/cc-pVTZ | CC S^2 S=0</t>
  </si>
  <si>
    <t>UCCSD(T)/cc-pVTZ | CC S^2 S=1</t>
  </si>
  <si>
    <t>p3</t>
  </si>
  <si>
    <t>p3+</t>
  </si>
  <si>
    <t>sgn err p3</t>
  </si>
  <si>
    <t>sgn err p3+</t>
  </si>
  <si>
    <t>n2</t>
  </si>
  <si>
    <t>3sgg</t>
  </si>
  <si>
    <t>1piu</t>
  </si>
  <si>
    <t xml:space="preserve">2sgu </t>
  </si>
  <si>
    <t>h2o</t>
  </si>
  <si>
    <t>1b1</t>
  </si>
  <si>
    <t>co</t>
  </si>
  <si>
    <t>5sgg</t>
  </si>
  <si>
    <t>nh3</t>
  </si>
  <si>
    <t>3a1</t>
  </si>
  <si>
    <t>f2</t>
  </si>
  <si>
    <t>1pig</t>
  </si>
  <si>
    <t>o3</t>
  </si>
  <si>
    <t>6a1</t>
  </si>
  <si>
    <t>h2co</t>
  </si>
  <si>
    <t>2b2</t>
  </si>
  <si>
    <t>c2h2</t>
  </si>
  <si>
    <t>c2h4</t>
  </si>
  <si>
    <t>1b3u</t>
  </si>
  <si>
    <t>hcn</t>
  </si>
  <si>
    <t>1pi</t>
  </si>
  <si>
    <t>nno</t>
  </si>
  <si>
    <t>2pi</t>
  </si>
  <si>
    <t>co2</t>
  </si>
  <si>
    <t>hconh2</t>
  </si>
  <si>
    <t>10a'1</t>
  </si>
  <si>
    <t>ch4</t>
  </si>
  <si>
    <t>1t2</t>
  </si>
  <si>
    <t>c2h6</t>
  </si>
  <si>
    <t>1eg</t>
  </si>
  <si>
    <t>ch3f</t>
  </si>
  <si>
    <t>2e</t>
  </si>
  <si>
    <t>sg</t>
  </si>
  <si>
    <t>sgg</t>
  </si>
  <si>
    <t>LiF</t>
  </si>
  <si>
    <t>pi</t>
  </si>
  <si>
    <t>Ne</t>
  </si>
  <si>
    <t>2p</t>
  </si>
  <si>
    <t>BH3</t>
  </si>
  <si>
    <t>e'</t>
  </si>
  <si>
    <t>BF</t>
  </si>
  <si>
    <t>HN3</t>
  </si>
  <si>
    <t>a''</t>
  </si>
  <si>
    <t>hooh</t>
  </si>
  <si>
    <t>b</t>
  </si>
  <si>
    <t>He</t>
  </si>
  <si>
    <t>1s</t>
  </si>
  <si>
    <t>n2h4</t>
  </si>
  <si>
    <t>c4</t>
  </si>
  <si>
    <t>ag</t>
  </si>
  <si>
    <t>b2h6</t>
  </si>
  <si>
    <t>b1g</t>
  </si>
  <si>
    <t>h2</t>
  </si>
  <si>
    <t>ph3</t>
  </si>
  <si>
    <t>a1</t>
  </si>
  <si>
    <t>p2</t>
  </si>
  <si>
    <t>piu</t>
  </si>
  <si>
    <t>pn</t>
  </si>
  <si>
    <t>bd-t1</t>
  </si>
  <si>
    <t>uhh maybe compare to ip-eom-ccsdt frzn core and pure ccpvtz (show no big difference between cart in SI</t>
  </si>
  <si>
    <t>run b3lyp, get KS HOMO evals, same for LDA?</t>
  </si>
  <si>
    <t>now do EAs for some molecules that work...</t>
  </si>
  <si>
    <t>yes the p3 code is valid</t>
  </si>
  <si>
    <t>pinconning...</t>
  </si>
  <si>
    <t>https://pubs.aip.org/aip/jcp/article/162/6/064102/3334579</t>
  </si>
  <si>
    <t>pbeh3c eig</t>
  </si>
  <si>
    <t>semi eig</t>
  </si>
  <si>
    <t>hf eig</t>
  </si>
  <si>
    <t>eomp2 (semi eig)</t>
  </si>
  <si>
    <t>eomp2 (hf eig)</t>
  </si>
  <si>
    <t>h2pc</t>
  </si>
  <si>
    <t>HOMO</t>
  </si>
  <si>
    <t>11 Au</t>
  </si>
  <si>
    <t>HOMO - 1</t>
  </si>
  <si>
    <t>10 Au</t>
  </si>
  <si>
    <t xml:space="preserve">HOMO - 2 </t>
  </si>
  <si>
    <t>10 Bg</t>
  </si>
  <si>
    <t xml:space="preserve">LUMO </t>
  </si>
  <si>
    <t>11 Bg</t>
  </si>
  <si>
    <t xml:space="preserve">LUMO +1 </t>
  </si>
  <si>
    <t>12 Bg</t>
  </si>
  <si>
    <t>LUMO + 2</t>
  </si>
  <si>
    <t>12 Au</t>
  </si>
  <si>
    <t>freebase h2p</t>
  </si>
  <si>
    <t>7 Au</t>
  </si>
  <si>
    <t>6 Au</t>
  </si>
  <si>
    <t>6 Bg</t>
  </si>
  <si>
    <t>7 Bg</t>
  </si>
  <si>
    <t>8 Bg</t>
  </si>
  <si>
    <t>8 Au</t>
  </si>
  <si>
    <t>coronene</t>
  </si>
  <si>
    <t>5 Au</t>
  </si>
  <si>
    <t xml:space="preserve">7 Au </t>
  </si>
  <si>
    <t>c60</t>
  </si>
  <si>
    <t>90 Au</t>
  </si>
  <si>
    <t>89 Au</t>
  </si>
  <si>
    <t>88 Au</t>
  </si>
  <si>
    <t>91 Au</t>
  </si>
  <si>
    <t>92 Au</t>
  </si>
  <si>
    <t>93 Au</t>
  </si>
  <si>
    <t>CCSD(T) FC</t>
  </si>
  <si>
    <t>kcal/mol</t>
  </si>
  <si>
    <t>eV</t>
  </si>
  <si>
    <t>Species</t>
  </si>
  <si>
    <t>S-T CCSDT(Q)_L</t>
  </si>
  <si>
    <t>CCSD(T) S=0</t>
  </si>
  <si>
    <t>CCSD(T) S=1</t>
  </si>
  <si>
    <t>S-T CCSD(T)</t>
  </si>
  <si>
    <t>sgn error</t>
  </si>
  <si>
    <t>AgCl</t>
  </si>
  <si>
    <t>AgF</t>
  </si>
  <si>
    <t>AgH</t>
  </si>
  <si>
    <t>AuCl</t>
  </si>
  <si>
    <t>AuF</t>
  </si>
  <si>
    <t>AuH</t>
  </si>
  <si>
    <t>CdO</t>
  </si>
  <si>
    <t>CdSe</t>
  </si>
  <si>
    <t>CdS</t>
  </si>
  <si>
    <t>CuBr</t>
  </si>
  <si>
    <t>CuCl</t>
  </si>
  <si>
    <t>CuF</t>
  </si>
  <si>
    <t>CuH</t>
  </si>
  <si>
    <t>HgO</t>
  </si>
  <si>
    <t>HgSe</t>
  </si>
  <si>
    <t>HgS</t>
  </si>
  <si>
    <t>PtC</t>
  </si>
  <si>
    <t>RuC</t>
  </si>
  <si>
    <t>ScBr</t>
  </si>
  <si>
    <t>ScCl</t>
  </si>
  <si>
    <t>ScF</t>
  </si>
  <si>
    <t>ScH</t>
  </si>
  <si>
    <t>ZnO</t>
  </si>
  <si>
    <t>ZnSe</t>
  </si>
  <si>
    <t>ZnS</t>
  </si>
  <si>
    <t>RMSE</t>
  </si>
  <si>
    <t>PBE</t>
  </si>
  <si>
    <t>PBE0</t>
  </si>
  <si>
    <t>SCAN0</t>
  </si>
  <si>
    <t>errors eV</t>
  </si>
  <si>
    <t>abs error &lt; HF?</t>
  </si>
  <si>
    <t>small gap?</t>
  </si>
  <si>
    <t xml:space="preserve">(&lt;11.5 kcal/mol) </t>
  </si>
  <si>
    <t>0.5ev &gt; ha</t>
  </si>
  <si>
    <t>ha &gt; kcal</t>
  </si>
  <si>
    <t>#Trues</t>
  </si>
  <si>
    <t>S=0</t>
  </si>
  <si>
    <t>NED N-normalized</t>
  </si>
  <si>
    <t>S = 0 Total energies: ABS DFT minus HF Hartrees</t>
  </si>
  <si>
    <t>AVE</t>
  </si>
  <si>
    <t>MAX</t>
  </si>
  <si>
    <t>S=1</t>
  </si>
  <si>
    <t>S=1 and S=0 Difference</t>
  </si>
  <si>
    <t>Abs Difference NED N-normalized</t>
  </si>
  <si>
    <t>S=1 - S=0</t>
  </si>
  <si>
    <t>AVE NNED</t>
  </si>
  <si>
    <t>AVE NNED S=0</t>
  </si>
  <si>
    <t>AVE NNED S=1</t>
  </si>
  <si>
    <t>AVE Delta-NNED</t>
  </si>
  <si>
    <t>larger deltaNNED, also marginally better than HF</t>
  </si>
  <si>
    <t>is the lowest but, pbe0 gives the "best" marginally mae's</t>
  </si>
  <si>
    <t>Total Frobenius Norm Delta P</t>
  </si>
  <si>
    <t>Total Frobenius Norm Delta P ABS DIFFERENCE Triplet-Singlet</t>
  </si>
  <si>
    <t>AVE ||ΔP||_F</t>
  </si>
  <si>
    <t>AVE Δ||ΔP||_F</t>
  </si>
  <si>
    <t>alpha active</t>
  </si>
  <si>
    <t>beta active</t>
  </si>
  <si>
    <t>Nelec active</t>
  </si>
  <si>
    <t>T1^2</t>
  </si>
  <si>
    <t>T1 diagnostic</t>
  </si>
  <si>
    <t>CCSD</t>
  </si>
  <si>
    <t>Ave T1diag S=0</t>
  </si>
  <si>
    <t>Ave T1diag S=1</t>
  </si>
  <si>
    <t>AVE Delta T1diag</t>
  </si>
  <si>
    <t xml:space="preserve">S=1 </t>
  </si>
  <si>
    <t>S=0 T1/NNED</t>
  </si>
  <si>
    <t>x: T1 (0.02)/ratio</t>
  </si>
  <si>
    <t>x: T1 (0.05)/ratio</t>
  </si>
  <si>
    <t>0.02-like st ave</t>
  </si>
  <si>
    <t>0.05-like st ave</t>
  </si>
  <si>
    <t>average the ned equivs s-t</t>
  </si>
  <si>
    <t>justified by similar order of magnitude</t>
  </si>
  <si>
    <t>if</t>
  </si>
  <si>
    <t>is above</t>
  </si>
  <si>
    <t>then you are likely moderately MR</t>
  </si>
  <si>
    <t>then you are likely strongly MR</t>
  </si>
  <si>
    <t>NNED equiv</t>
  </si>
  <si>
    <t>S=0 Weak MR Threshold</t>
  </si>
  <si>
    <t>HF T1</t>
  </si>
  <si>
    <t>HF T1-based</t>
  </si>
  <si>
    <t>LDA NNED</t>
  </si>
  <si>
    <t>B3LYP NNED</t>
  </si>
  <si>
    <t>PBE NNED</t>
  </si>
  <si>
    <t>PBE0 NNED</t>
  </si>
  <si>
    <t>SCAN NNED</t>
  </si>
  <si>
    <t>SCAN0 NNED</t>
  </si>
  <si>
    <t>#trues</t>
  </si>
  <si>
    <t>s=0</t>
  </si>
  <si>
    <t>s=1</t>
  </si>
  <si>
    <t>S=1 Weak MR Threshold</t>
  </si>
  <si>
    <t>now rules for metals</t>
  </si>
  <si>
    <t>S=0 Strong MR Threshold</t>
  </si>
  <si>
    <t>S=1 Strong MR Threshold</t>
  </si>
  <si>
    <t>S=0 ROHF</t>
  </si>
  <si>
    <t>S=0 BS</t>
  </si>
  <si>
    <t>S^2</t>
  </si>
  <si>
    <t>CH4</t>
  </si>
  <si>
    <t>H2O</t>
  </si>
  <si>
    <t>prolly spin cont &lt; in KS</t>
  </si>
  <si>
    <t>S=1 ROHF</t>
  </si>
  <si>
    <t>`</t>
  </si>
  <si>
    <t>S=1 and S=0 BS Difference</t>
  </si>
  <si>
    <t>so scan0 has a smaller NED and smaller absDiff</t>
  </si>
  <si>
    <t>clear trend between distance of HF energy and density</t>
  </si>
  <si>
    <t>Specific Threshold</t>
  </si>
  <si>
    <t>ISOELECTRONIC</t>
  </si>
  <si>
    <t>LDA T1</t>
  </si>
  <si>
    <t>B3LYP T1</t>
  </si>
  <si>
    <t>revPBE T1</t>
  </si>
  <si>
    <t>SCAN T1</t>
  </si>
  <si>
    <t>SCAN0 T1</t>
  </si>
  <si>
    <t>c2 scan0/b3lyp right on 0.027/0.023, *true</t>
  </si>
  <si>
    <t>BROKEN SYMM S=0 Weak MR Threshold</t>
  </si>
  <si>
    <t>DIRADICAL</t>
  </si>
  <si>
    <t>revPBE NNED</t>
  </si>
  <si>
    <t>use PBE NNED-T1 equiv for revPBE</t>
  </si>
  <si>
    <t>RHF S=0 Weak MR Threshold</t>
  </si>
  <si>
    <t>ACTUAL T1 V NED</t>
  </si>
  <si>
    <t xml:space="preserve">SCAN NNED </t>
  </si>
  <si>
    <t>bn scan0  near 0.27 ( it is 0.0285), high thresh is 0.032</t>
  </si>
  <si>
    <t>Total Frobenius Norm Delta P DIFFERENCE Triplet-Singlet</t>
  </si>
  <si>
    <t>Total Frobenius Norm Delta P DIFFERENCE Triplet-BS Singlet</t>
  </si>
  <si>
    <t>AVE Δ||ΔP||_F BS</t>
  </si>
  <si>
    <t>RCCSD</t>
  </si>
  <si>
    <t>UCCSD</t>
  </si>
  <si>
    <r>
      <rPr>
        <sz val="10"/>
        <color theme="1"/>
        <rFont val="Arial"/>
      </rPr>
      <t xml:space="preserve">scan0 is skewed by large C2 NNED, would be </t>
    </r>
    <r>
      <rPr>
        <sz val="10"/>
        <color rgb="FF0000FF"/>
        <rFont val="Arial"/>
      </rPr>
      <t>0.0173</t>
    </r>
    <r>
      <rPr>
        <sz val="10"/>
        <color theme="1"/>
        <rFont val="Arial"/>
      </rPr>
      <t xml:space="preserve"> without it</t>
    </r>
  </si>
  <si>
    <t>BN only</t>
  </si>
  <si>
    <t>C2 only</t>
  </si>
  <si>
    <t>T1diag S=0</t>
  </si>
  <si>
    <t>NNED S=0</t>
  </si>
  <si>
    <t>T1diag S=1</t>
  </si>
  <si>
    <t>NNED S=1</t>
  </si>
  <si>
    <t>CH2 only</t>
  </si>
  <si>
    <t>O2 only</t>
  </si>
  <si>
    <t>BO+ only</t>
  </si>
  <si>
    <t>CN+ only</t>
  </si>
  <si>
    <t>NF only</t>
  </si>
  <si>
    <t>NH only</t>
  </si>
  <si>
    <t>Ave T1diag BS S=0</t>
  </si>
  <si>
    <t>Ave T1diag S=0 BS</t>
  </si>
  <si>
    <t>T1diag S=0 BS</t>
  </si>
  <si>
    <t>def2-qzvpp</t>
  </si>
  <si>
    <t>all electron</t>
  </si>
  <si>
    <t>PW91</t>
  </si>
  <si>
    <t>r2SCAN</t>
  </si>
  <si>
    <t>molecule</t>
  </si>
  <si>
    <t>req</t>
  </si>
  <si>
    <t xml:space="preserve">multiplicity </t>
  </si>
  <si>
    <t>charge</t>
  </si>
  <si>
    <t>Notes</t>
  </si>
  <si>
    <t>term</t>
  </si>
  <si>
    <t>Ncorr</t>
  </si>
  <si>
    <t>T1Diag</t>
  </si>
  <si>
    <t>NNED</t>
  </si>
  <si>
    <t>Ti-Ti</t>
  </si>
  <si>
    <t>3Δ_g</t>
  </si>
  <si>
    <t>V-V</t>
  </si>
  <si>
    <t>3Σ_g^-</t>
  </si>
  <si>
    <t>Mn-Mn</t>
  </si>
  <si>
    <t>1Σ_g^+</t>
  </si>
  <si>
    <t>Fe-Fe</t>
  </si>
  <si>
    <t>9Σ_u^-</t>
  </si>
  <si>
    <t>Fe-O</t>
  </si>
  <si>
    <t>5Δ</t>
  </si>
  <si>
    <t>Co-O</t>
  </si>
  <si>
    <t>4Δ</t>
  </si>
  <si>
    <t>Ni-O</t>
  </si>
  <si>
    <t>3Σ^-</t>
  </si>
  <si>
    <t>Cu-O</t>
  </si>
  <si>
    <t>2Π</t>
  </si>
  <si>
    <t>Ti-Cl</t>
  </si>
  <si>
    <t>4Φ</t>
  </si>
  <si>
    <t>Fe-Cl</t>
  </si>
  <si>
    <t>6Δ</t>
  </si>
  <si>
    <t>Co-Cl</t>
  </si>
  <si>
    <t>3Φ</t>
  </si>
  <si>
    <t>Ni-Cl</t>
  </si>
  <si>
    <t>Ti-H</t>
  </si>
  <si>
    <t>V-H</t>
  </si>
  <si>
    <t>B3LYP/def2-TZVP data.</t>
  </si>
  <si>
    <t>Fe-H</t>
  </si>
  <si>
    <t>Co-H</t>
  </si>
  <si>
    <t>V-H+</t>
  </si>
  <si>
    <t>B3LYP/def2-TZVP</t>
  </si>
  <si>
    <t>Cr-H+</t>
  </si>
  <si>
    <t>5Σ^+</t>
  </si>
  <si>
    <t>Mn-H+</t>
  </si>
  <si>
    <t>6Σ^+</t>
  </si>
  <si>
    <t>Ni-H+</t>
  </si>
  <si>
    <t>3Δ</t>
  </si>
  <si>
    <t>t1</t>
  </si>
  <si>
    <t>AVE T1/NNED</t>
  </si>
  <si>
    <t>nned</t>
  </si>
  <si>
    <t>x (t1=0.02)</t>
  </si>
  <si>
    <t>x (t1=0.05)</t>
  </si>
  <si>
    <t>0.02/ t1/nned</t>
  </si>
  <si>
    <t>Weak MR Threshold</t>
  </si>
  <si>
    <t>Strong MR Threshold</t>
  </si>
  <si>
    <t>larger than 0.035 and larger than 0.063</t>
  </si>
  <si>
    <t xml:space="preserve"> larger than 0.063 or for hybrids, larger than 0.027</t>
  </si>
  <si>
    <t>||ΔP||F</t>
  </si>
  <si>
    <t>species</t>
  </si>
  <si>
    <t>pbe</t>
  </si>
  <si>
    <t>pw91</t>
  </si>
  <si>
    <t>r2scan</t>
  </si>
  <si>
    <t>pbe0</t>
  </si>
  <si>
    <t>cocl</t>
  </si>
  <si>
    <t>coh</t>
  </si>
  <si>
    <t>coo</t>
  </si>
  <si>
    <t>crhPlus</t>
  </si>
  <si>
    <t>cuo</t>
  </si>
  <si>
    <t>fe2</t>
  </si>
  <si>
    <t>fecl</t>
  </si>
  <si>
    <t>feh</t>
  </si>
  <si>
    <t>feo</t>
  </si>
  <si>
    <t>mn2</t>
  </si>
  <si>
    <t>mnhPlus</t>
  </si>
  <si>
    <t>nicl</t>
  </si>
  <si>
    <t>nihPlus</t>
  </si>
  <si>
    <t>nio</t>
  </si>
  <si>
    <t>ti2</t>
  </si>
  <si>
    <t>ticl</t>
  </si>
  <si>
    <t>tih</t>
  </si>
  <si>
    <t>v2</t>
  </si>
  <si>
    <t>vh</t>
  </si>
  <si>
    <t>vhPlus</t>
  </si>
  <si>
    <t>Ave T1</t>
  </si>
  <si>
    <t>Ave ||ΔP||F</t>
  </si>
  <si>
    <t>NOTES</t>
  </si>
  <si>
    <t>Mn2</t>
  </si>
  <si>
    <t>bs uhf</t>
  </si>
  <si>
    <t>NiO</t>
  </si>
  <si>
    <t>rohf</t>
  </si>
  <si>
    <t>CoCl</t>
  </si>
  <si>
    <t>VH</t>
  </si>
  <si>
    <t>Strong HF-T1 &gt; 0.05, if NNED &gt; 0.035 use 0.063 else if NNED  &lt; 0.035 use 0.027, but always used 0.027 for hybrids</t>
  </si>
  <si>
    <t>nio pw91 is on 0.063 thresh</t>
  </si>
  <si>
    <t>HF-T1</t>
  </si>
  <si>
    <t>singlets</t>
  </si>
  <si>
    <t>S=0 UHF BS</t>
  </si>
  <si>
    <t>HF-T1 will be &gt;0.02, for main, use 0.027 always for all fxnls</t>
  </si>
  <si>
    <t>dft-eomccsd</t>
  </si>
  <si>
    <t>exFCI</t>
  </si>
  <si>
    <t>1B1</t>
  </si>
  <si>
    <t>1A2</t>
  </si>
  <si>
    <t>1A1</t>
  </si>
  <si>
    <t>3B1</t>
  </si>
  <si>
    <t>3A2</t>
  </si>
  <si>
    <t>3A1</t>
  </si>
  <si>
    <t>Acetaldehyde</t>
  </si>
  <si>
    <t>1A''</t>
  </si>
  <si>
    <t>3A''</t>
  </si>
  <si>
    <t>cyclopropene</t>
  </si>
  <si>
    <t>1B2</t>
  </si>
  <si>
    <t>3B2</t>
  </si>
  <si>
    <t>Diazomethane</t>
  </si>
  <si>
    <t>1PI</t>
  </si>
  <si>
    <t>formamide</t>
  </si>
  <si>
    <t>1A'</t>
  </si>
  <si>
    <t>3A'</t>
  </si>
  <si>
    <t>ketene</t>
  </si>
  <si>
    <t>nitrosomethane</t>
  </si>
  <si>
    <t>streptocyanine-C1</t>
  </si>
  <si>
    <t>formaldehyde</t>
  </si>
  <si>
    <t>methanimine</t>
  </si>
  <si>
    <t>thioformaldehyde</t>
  </si>
  <si>
    <t>acetylene</t>
  </si>
  <si>
    <t>1SGU-</t>
  </si>
  <si>
    <t>1DLTU</t>
  </si>
  <si>
    <t>3SGU+</t>
  </si>
  <si>
    <t>3DLTU</t>
  </si>
  <si>
    <t>3SGU-</t>
  </si>
  <si>
    <t>ethylene</t>
  </si>
  <si>
    <t>1B3u</t>
  </si>
  <si>
    <t>1B1u</t>
  </si>
  <si>
    <t>1B1g</t>
  </si>
  <si>
    <t>3B1u</t>
  </si>
  <si>
    <t>N2</t>
  </si>
  <si>
    <t>1PIG</t>
  </si>
  <si>
    <t>1SGU</t>
  </si>
  <si>
    <t>1SGG+ R</t>
  </si>
  <si>
    <t>1PIU R</t>
  </si>
  <si>
    <t>1SGU+ R</t>
  </si>
  <si>
    <t>3PIG</t>
  </si>
  <si>
    <t xml:space="preserve">CO </t>
  </si>
  <si>
    <t>1SG-</t>
  </si>
  <si>
    <t>1DLT</t>
  </si>
  <si>
    <t>1SG+ R</t>
  </si>
  <si>
    <t>1SG + R</t>
  </si>
  <si>
    <t>1PI R</t>
  </si>
  <si>
    <t>3PI</t>
  </si>
  <si>
    <t>3SG+</t>
  </si>
  <si>
    <t>3DLT</t>
  </si>
  <si>
    <t>3SG-</t>
  </si>
  <si>
    <t>3SG+ R</t>
  </si>
  <si>
    <t>MSE</t>
  </si>
  <si>
    <t>semi-B3LYP</t>
  </si>
  <si>
    <t>semi-LDA</t>
  </si>
  <si>
    <t>semi-revPBE</t>
  </si>
  <si>
    <t>3SGG</t>
  </si>
  <si>
    <t>1PIU</t>
  </si>
  <si>
    <t>2SGU</t>
  </si>
  <si>
    <t>3SGU</t>
  </si>
  <si>
    <t>4SGG</t>
  </si>
  <si>
    <t xml:space="preserve">% HFX </t>
  </si>
  <si>
    <t>semi-b3lyp</t>
  </si>
  <si>
    <t>2semi</t>
  </si>
  <si>
    <t>1semi</t>
  </si>
  <si>
    <t>3semi</t>
  </si>
  <si>
    <t>X</t>
  </si>
  <si>
    <t>revPBE0</t>
  </si>
  <si>
    <t>semi-revPBE0</t>
  </si>
  <si>
    <t>semi-SCAN0</t>
  </si>
  <si>
    <t>TiH</t>
  </si>
  <si>
    <t>CrH</t>
  </si>
  <si>
    <t>MnH</t>
  </si>
  <si>
    <t>FeH</t>
  </si>
  <si>
    <t>CoH</t>
  </si>
  <si>
    <t>NiH</t>
  </si>
  <si>
    <t>ZnH</t>
  </si>
  <si>
    <t>ScH+</t>
  </si>
  <si>
    <t>TiH+</t>
  </si>
  <si>
    <t>VH+</t>
  </si>
  <si>
    <t>CrH+</t>
  </si>
  <si>
    <t>MnH+</t>
  </si>
  <si>
    <t>FeH+</t>
  </si>
  <si>
    <t>CoH+</t>
  </si>
  <si>
    <t>NiH+</t>
  </si>
  <si>
    <t>CuH+</t>
  </si>
  <si>
    <t>ZnH+</t>
  </si>
  <si>
    <t>BLYP</t>
  </si>
  <si>
    <t>BHHLYP</t>
  </si>
  <si>
    <t>CAMB3LYP</t>
  </si>
  <si>
    <t>B97M-V</t>
  </si>
  <si>
    <t>wB97M-V</t>
  </si>
  <si>
    <t>ZPE</t>
  </si>
  <si>
    <t>BDE</t>
  </si>
  <si>
    <t>Scalar correction</t>
  </si>
  <si>
    <t>SOC</t>
  </si>
  <si>
    <t>Experimental BDES</t>
  </si>
  <si>
    <t>standard deviation</t>
  </si>
  <si>
    <t xml:space="preserve">Energy </t>
  </si>
  <si>
    <t>Energy final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</si>
  <si>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</si>
  <si>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</si>
  <si>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</si>
  <si>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</si>
  <si>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</si>
  <si>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</si>
  <si>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</si>
  <si>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</si>
  <si>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</si>
  <si>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</si>
  <si>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SRC1-R1</t>
  </si>
  <si>
    <t>signed error in BDE</t>
  </si>
  <si>
    <t>SRC1-R2</t>
  </si>
  <si>
    <t>absolute error in BDE</t>
  </si>
  <si>
    <t>Sc+</t>
  </si>
  <si>
    <t>Ti+</t>
  </si>
  <si>
    <t>V+</t>
  </si>
  <si>
    <t>Cr+</t>
  </si>
  <si>
    <t>Mn+</t>
  </si>
  <si>
    <t>Fe+</t>
  </si>
  <si>
    <t>Co+</t>
  </si>
  <si>
    <t>Ni+</t>
  </si>
  <si>
    <t>Cu+</t>
  </si>
  <si>
    <t>Zn+</t>
  </si>
  <si>
    <t>signed error BDEs</t>
  </si>
  <si>
    <t>dft better?</t>
  </si>
  <si>
    <t>Singlets</t>
  </si>
  <si>
    <t>RHF Reference</t>
  </si>
  <si>
    <t>UHF Reference</t>
  </si>
  <si>
    <t>Min</t>
  </si>
  <si>
    <t>ei-ea</t>
  </si>
  <si>
    <t>ei+ej-ea-eb</t>
  </si>
  <si>
    <t>yes they are the same</t>
  </si>
  <si>
    <t>|Min|</t>
  </si>
  <si>
    <t>RKS Reference</t>
  </si>
  <si>
    <t>UKS Reference</t>
  </si>
  <si>
    <t>|δHF|</t>
  </si>
  <si>
    <t>RKS S=0</t>
  </si>
  <si>
    <t>Theory, at least 2nd sigfig rounded</t>
  </si>
  <si>
    <t>S=0 T1-KS &lt; T1-HF?</t>
  </si>
  <si>
    <t>S=1 T1-KS &lt; T1-HF?</t>
  </si>
  <si>
    <t>KS-Gap Err &lt; HF?</t>
  </si>
  <si>
    <t>Correct Gap Sign?</t>
  </si>
  <si>
    <t>|δHF|ia &gt;= 0.01au?</t>
  </si>
  <si>
    <t>|δHF|ijab &gt;= 0.01au?</t>
  </si>
  <si>
    <t>yes</t>
  </si>
  <si>
    <t>no</t>
  </si>
  <si>
    <t>GS</t>
  </si>
  <si>
    <t>Class 1</t>
  </si>
  <si>
    <t>Class 2</t>
  </si>
  <si>
    <t>AP-UKS S=0</t>
  </si>
  <si>
    <t>UKS improves RKS?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</si>
</sst>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#,##0.000"/>
    <numFmt numFmtId="166" formatCode="0.0000"/>
    <numFmt numFmtId="167" formatCode="0.0"/>
    <numFmt numFmtId="168" formatCode="0.000000"/>
    <numFmt numFmtId="169" formatCode="0.00000"/>
  </numFmts>
  <fonts count="3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name val="Arial"/>
    </font>
    <font>
      <sz val="10"/>
      <color rgb="FF000000"/>
      <name val="Calibri"/>
    </font>
    <font>
      <i/>
      <sz val="10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FF0000"/>
      <name val="Calibri"/>
      <scheme val="minor"/>
    </font>
    <font>
      <sz val="10"/>
      <color rgb="FF0000FF"/>
      <name val="Calibri"/>
      <scheme val="minor"/>
    </font>
    <font>
      <b/>
      <sz val="10"/>
      <color rgb="FFA64D79"/>
      <name val="Calibri"/>
      <scheme val="minor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9900FF"/>
      <name val="Calibri"/>
      <scheme val="minor"/>
    </font>
    <font>
      <sz val="11"/>
      <color theme="1"/>
      <name val="Calibri"/>
      <scheme val="minor"/>
    </font>
    <font>
      <sz val="10"/>
      <color rgb="FF0000FF"/>
      <name val="Arial"/>
    </font>
    <font>
      <sz val="10"/>
      <color theme="1"/>
      <name val="Aptos"/>
    </font>
    <font>
      <sz val="10"/>
      <color theme="1"/>
      <name val="&quot;Cambria Math&quot;"/>
    </font>
    <font>
      <sz val="12"/>
      <color theme="1"/>
      <name val="Aptos"/>
    </font>
    <font>
      <sz val="10"/>
      <color rgb="FF000000"/>
      <name val="Aptos"/>
    </font>
    <font>
      <sz val="11"/>
      <color rgb="FF000000"/>
      <name val="&quot;Aptos Narrow&quot;"/>
    </font>
    <font>
      <sz val="10"/>
      <color rgb="FF000000"/>
      <name val="&quot;Cambria Math&quot;"/>
    </font>
    <font>
      <sz val="10"/>
      <color rgb="FF000000"/>
      <name val="Arial"/>
    </font>
    <font>
      <sz val="12"/>
      <color rgb="FF000000"/>
      <name val="Aptos"/>
    </font>
    <font>
      <sz val="10"/>
      <color rgb="FFEFEFEF"/>
      <name val="Calibri"/>
      <scheme val="minor"/>
    </font>
    <font>
      <sz val="11"/>
      <color theme="1"/>
      <name val="Aptos Narrow"/>
    </font>
    <font>
      <sz val="11"/>
      <name val="Aptos Narrow"/>
    </font>
    <font>
      <sz val="11"/>
      <color rgb="FF78206E"/>
      <name val="Aptos Narrow"/>
    </font>
    <font>
      <sz val="10"/>
      <color theme="1"/>
      <name val="Arimo"/>
    </font>
  </fonts>
  <fills count="2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1CEEE"/>
        <bgColor rgb="FFF1CEEE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163">
    <xf numFmtId="0" fontId="0" fillId="0" borderId="0" xfId="0"/>
    <xf numFmtId="0" fontId="2" fillId="0" borderId="0" xfId="1" applyFont="1"/>
    <xf numFmtId="0" fontId="1" fillId="0" borderId="0" xfId="1"/>
    <xf numFmtId="0" fontId="2" fillId="0" borderId="1" xfId="1" applyFont="1" applyBorder="1"/>
    <xf numFmtId="0" fontId="3" fillId="0" borderId="0" xfId="1" applyFont="1" applyAlignment="1">
      <alignment horizontal="center"/>
    </xf>
    <xf numFmtId="0" fontId="1" fillId="0" borderId="0" xfId="1"/>
    <xf numFmtId="0" fontId="4" fillId="0" borderId="1" xfId="1" applyFont="1" applyBorder="1"/>
    <xf numFmtId="164" fontId="2" fillId="0" borderId="0" xfId="1" applyNumberFormat="1" applyFont="1" applyAlignment="1">
      <alignment horizontal="left"/>
    </xf>
    <xf numFmtId="164" fontId="2" fillId="0" borderId="1" xfId="1" applyNumberFormat="1" applyFont="1" applyBorder="1" applyAlignment="1">
      <alignment horizontal="left"/>
    </xf>
    <xf numFmtId="0" fontId="2" fillId="2" borderId="0" xfId="1" applyFont="1" applyFill="1"/>
    <xf numFmtId="164" fontId="2" fillId="2" borderId="0" xfId="1" applyNumberFormat="1" applyFont="1" applyFill="1" applyAlignment="1">
      <alignment horizontal="left"/>
    </xf>
    <xf numFmtId="164" fontId="2" fillId="2" borderId="1" xfId="1" applyNumberFormat="1" applyFont="1" applyFill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1" xfId="1" applyFont="1" applyBorder="1" applyAlignment="1">
      <alignment horizontal="left"/>
    </xf>
    <xf numFmtId="164" fontId="2" fillId="0" borderId="0" xfId="1" applyNumberFormat="1" applyFont="1"/>
    <xf numFmtId="164" fontId="2" fillId="0" borderId="1" xfId="1" applyNumberFormat="1" applyFont="1" applyBorder="1"/>
    <xf numFmtId="0" fontId="3" fillId="0" borderId="0" xfId="1" applyFont="1"/>
    <xf numFmtId="0" fontId="3" fillId="0" borderId="1" xfId="1" applyFont="1" applyBorder="1"/>
    <xf numFmtId="0" fontId="2" fillId="3" borderId="0" xfId="1" applyFont="1" applyFill="1"/>
    <xf numFmtId="0" fontId="2" fillId="4" borderId="0" xfId="1" applyFont="1" applyFill="1"/>
    <xf numFmtId="165" fontId="2" fillId="0" borderId="0" xfId="1" applyNumberFormat="1" applyFont="1"/>
    <xf numFmtId="165" fontId="2" fillId="3" borderId="0" xfId="1" applyNumberFormat="1" applyFont="1" applyFill="1"/>
    <xf numFmtId="165" fontId="2" fillId="4" borderId="0" xfId="1" applyNumberFormat="1" applyFont="1" applyFill="1"/>
    <xf numFmtId="165" fontId="1" fillId="0" borderId="0" xfId="1" applyNumberFormat="1" applyAlignment="1">
      <alignment horizontal="center"/>
    </xf>
    <xf numFmtId="164" fontId="2" fillId="3" borderId="0" xfId="1" applyNumberFormat="1" applyFont="1" applyFill="1"/>
    <xf numFmtId="0" fontId="2" fillId="0" borderId="0" xfId="1" applyFont="1" applyAlignment="1">
      <alignment horizontal="left" vertical="top"/>
    </xf>
    <xf numFmtId="165" fontId="5" fillId="0" borderId="0" xfId="1" applyNumberFormat="1" applyFont="1" applyAlignment="1">
      <alignment horizontal="center"/>
    </xf>
    <xf numFmtId="166" fontId="2" fillId="0" borderId="0" xfId="1" applyNumberFormat="1" applyFont="1"/>
    <xf numFmtId="166" fontId="2" fillId="2" borderId="0" xfId="1" applyNumberFormat="1" applyFont="1" applyFill="1"/>
    <xf numFmtId="0" fontId="6" fillId="0" borderId="0" xfId="1" applyFont="1"/>
    <xf numFmtId="0" fontId="2" fillId="5" borderId="0" xfId="1" applyFont="1" applyFill="1"/>
    <xf numFmtId="164" fontId="2" fillId="2" borderId="0" xfId="1" applyNumberFormat="1" applyFont="1" applyFill="1"/>
    <xf numFmtId="0" fontId="7" fillId="0" borderId="0" xfId="1" applyFont="1"/>
    <xf numFmtId="164" fontId="2" fillId="6" borderId="0" xfId="1" applyNumberFormat="1" applyFont="1" applyFill="1"/>
    <xf numFmtId="0" fontId="8" fillId="0" borderId="0" xfId="1" applyFont="1"/>
    <xf numFmtId="0" fontId="2" fillId="6" borderId="0" xfId="1" applyFont="1" applyFill="1"/>
    <xf numFmtId="166" fontId="2" fillId="6" borderId="0" xfId="1" applyNumberFormat="1" applyFont="1" applyFill="1"/>
    <xf numFmtId="4" fontId="2" fillId="6" borderId="0" xfId="1" applyNumberFormat="1" applyFont="1" applyFill="1"/>
    <xf numFmtId="4" fontId="2" fillId="2" borderId="0" xfId="1" applyNumberFormat="1" applyFont="1" applyFill="1"/>
    <xf numFmtId="11" fontId="2" fillId="0" borderId="0" xfId="1" applyNumberFormat="1" applyFont="1"/>
    <xf numFmtId="165" fontId="2" fillId="7" borderId="0" xfId="1" applyNumberFormat="1" applyFont="1" applyFill="1"/>
    <xf numFmtId="165" fontId="2" fillId="8" borderId="0" xfId="1" applyNumberFormat="1" applyFont="1" applyFill="1"/>
    <xf numFmtId="165" fontId="2" fillId="9" borderId="0" xfId="1" applyNumberFormat="1" applyFont="1" applyFill="1"/>
    <xf numFmtId="0" fontId="9" fillId="0" borderId="0" xfId="1" applyFont="1"/>
    <xf numFmtId="0" fontId="10" fillId="0" borderId="0" xfId="1" applyFont="1"/>
    <xf numFmtId="0" fontId="2" fillId="10" borderId="0" xfId="1" applyFont="1" applyFill="1"/>
    <xf numFmtId="0" fontId="11" fillId="10" borderId="0" xfId="1" applyFont="1" applyFill="1"/>
    <xf numFmtId="0" fontId="11" fillId="0" borderId="0" xfId="1" applyFont="1"/>
    <xf numFmtId="165" fontId="2" fillId="6" borderId="0" xfId="1" applyNumberFormat="1" applyFont="1" applyFill="1"/>
    <xf numFmtId="165" fontId="2" fillId="2" borderId="0" xfId="1" applyNumberFormat="1" applyFont="1" applyFill="1"/>
    <xf numFmtId="164" fontId="2" fillId="4" borderId="0" xfId="1" applyNumberFormat="1" applyFont="1" applyFill="1"/>
    <xf numFmtId="2" fontId="2" fillId="0" borderId="0" xfId="1" applyNumberFormat="1" applyFont="1" applyAlignment="1">
      <alignment horizontal="right"/>
    </xf>
    <xf numFmtId="0" fontId="2" fillId="0" borderId="2" xfId="1" applyFont="1" applyBorder="1"/>
    <xf numFmtId="164" fontId="2" fillId="0" borderId="2" xfId="1" applyNumberFormat="1" applyFont="1" applyBorder="1"/>
    <xf numFmtId="164" fontId="2" fillId="3" borderId="2" xfId="1" applyNumberFormat="1" applyFont="1" applyFill="1" applyBorder="1"/>
    <xf numFmtId="164" fontId="2" fillId="4" borderId="2" xfId="1" applyNumberFormat="1" applyFont="1" applyFill="1" applyBorder="1"/>
    <xf numFmtId="2" fontId="2" fillId="0" borderId="2" xfId="1" applyNumberFormat="1" applyFont="1" applyBorder="1" applyAlignment="1">
      <alignment horizontal="right"/>
    </xf>
    <xf numFmtId="0" fontId="2" fillId="0" borderId="0" xfId="1" applyFont="1" applyAlignment="1">
      <alignment horizontal="right"/>
    </xf>
    <xf numFmtId="164" fontId="7" fillId="0" borderId="0" xfId="1" applyNumberFormat="1" applyFont="1" applyAlignment="1">
      <alignment horizontal="right"/>
    </xf>
    <xf numFmtId="164" fontId="7" fillId="11" borderId="0" xfId="1" applyNumberFormat="1" applyFont="1" applyFill="1" applyAlignment="1">
      <alignment horizontal="right"/>
    </xf>
    <xf numFmtId="2" fontId="12" fillId="0" borderId="0" xfId="1" applyNumberFormat="1" applyFont="1" applyAlignment="1">
      <alignment horizontal="right"/>
    </xf>
    <xf numFmtId="2" fontId="12" fillId="0" borderId="2" xfId="1" applyNumberFormat="1" applyFont="1" applyBorder="1" applyAlignment="1">
      <alignment horizontal="right"/>
    </xf>
    <xf numFmtId="0" fontId="12" fillId="0" borderId="0" xfId="1" applyFont="1" applyAlignment="1">
      <alignment horizontal="right"/>
    </xf>
    <xf numFmtId="4" fontId="2" fillId="0" borderId="0" xfId="1" applyNumberFormat="1" applyFont="1" applyAlignment="1">
      <alignment horizontal="right"/>
    </xf>
    <xf numFmtId="4" fontId="2" fillId="0" borderId="2" xfId="1" applyNumberFormat="1" applyFont="1" applyBorder="1" applyAlignment="1">
      <alignment horizontal="right"/>
    </xf>
    <xf numFmtId="2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164" fontId="1" fillId="0" borderId="0" xfId="1" applyNumberFormat="1" applyAlignment="1">
      <alignment horizontal="right"/>
    </xf>
    <xf numFmtId="164" fontId="1" fillId="0" borderId="2" xfId="1" applyNumberFormat="1" applyBorder="1" applyAlignment="1">
      <alignment horizontal="right"/>
    </xf>
    <xf numFmtId="0" fontId="13" fillId="0" borderId="0" xfId="1" applyFont="1"/>
    <xf numFmtId="164" fontId="2" fillId="0" borderId="2" xfId="1" applyNumberFormat="1" applyFont="1" applyBorder="1" applyAlignment="1">
      <alignment horizontal="righ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167" fontId="2" fillId="0" borderId="0" xfId="1" applyNumberFormat="1" applyFont="1"/>
    <xf numFmtId="2" fontId="2" fillId="0" borderId="0" xfId="1" applyNumberFormat="1" applyFont="1"/>
    <xf numFmtId="0" fontId="7" fillId="0" borderId="0" xfId="1" applyFont="1" applyAlignment="1">
      <alignment horizontal="center"/>
    </xf>
    <xf numFmtId="0" fontId="7" fillId="2" borderId="0" xfId="1" applyFont="1" applyFill="1"/>
    <xf numFmtId="0" fontId="2" fillId="8" borderId="0" xfId="1" applyFont="1" applyFill="1"/>
    <xf numFmtId="0" fontId="2" fillId="9" borderId="0" xfId="1" applyFont="1" applyFill="1"/>
    <xf numFmtId="0" fontId="2" fillId="12" borderId="0" xfId="1" applyFont="1" applyFill="1"/>
    <xf numFmtId="0" fontId="2" fillId="13" borderId="0" xfId="1" applyFont="1" applyFill="1"/>
    <xf numFmtId="0" fontId="14" fillId="0" borderId="0" xfId="1" applyFont="1"/>
    <xf numFmtId="164" fontId="2" fillId="0" borderId="3" xfId="1" applyNumberFormat="1" applyFont="1" applyBorder="1"/>
    <xf numFmtId="164" fontId="2" fillId="0" borderId="4" xfId="1" applyNumberFormat="1" applyFont="1" applyBorder="1"/>
    <xf numFmtId="164" fontId="2" fillId="0" borderId="5" xfId="1" applyNumberFormat="1" applyFont="1" applyBorder="1"/>
    <xf numFmtId="164" fontId="2" fillId="0" borderId="6" xfId="1" applyNumberFormat="1" applyFont="1" applyBorder="1"/>
    <xf numFmtId="164" fontId="2" fillId="8" borderId="7" xfId="1" applyNumberFormat="1" applyFont="1" applyFill="1" applyBorder="1"/>
    <xf numFmtId="164" fontId="2" fillId="8" borderId="2" xfId="1" applyNumberFormat="1" applyFont="1" applyFill="1" applyBorder="1"/>
    <xf numFmtId="164" fontId="2" fillId="0" borderId="8" xfId="1" applyNumberFormat="1" applyFont="1" applyBorder="1"/>
    <xf numFmtId="0" fontId="2" fillId="0" borderId="3" xfId="1" applyFont="1" applyBorder="1"/>
    <xf numFmtId="0" fontId="2" fillId="0" borderId="5" xfId="1" applyFont="1" applyBorder="1"/>
    <xf numFmtId="0" fontId="2" fillId="0" borderId="7" xfId="1" applyFont="1" applyBorder="1"/>
    <xf numFmtId="0" fontId="2" fillId="0" borderId="8" xfId="1" applyFont="1" applyBorder="1"/>
    <xf numFmtId="164" fontId="2" fillId="0" borderId="7" xfId="1" applyNumberFormat="1" applyFont="1" applyBorder="1"/>
    <xf numFmtId="0" fontId="3" fillId="8" borderId="0" xfId="1" applyFont="1" applyFill="1"/>
    <xf numFmtId="0" fontId="3" fillId="9" borderId="0" xfId="1" applyFont="1" applyFill="1"/>
    <xf numFmtId="0" fontId="2" fillId="14" borderId="0" xfId="1" applyFont="1" applyFill="1"/>
    <xf numFmtId="166" fontId="9" fillId="0" borderId="0" xfId="1" applyNumberFormat="1" applyFont="1"/>
    <xf numFmtId="0" fontId="15" fillId="0" borderId="0" xfId="1" applyFont="1"/>
    <xf numFmtId="0" fontId="2" fillId="15" borderId="0" xfId="1" applyFont="1" applyFill="1"/>
    <xf numFmtId="0" fontId="2" fillId="16" borderId="0" xfId="1" applyFont="1" applyFill="1"/>
    <xf numFmtId="0" fontId="2" fillId="17" borderId="0" xfId="1" applyFont="1" applyFill="1"/>
    <xf numFmtId="0" fontId="16" fillId="0" borderId="0" xfId="1" applyFont="1"/>
    <xf numFmtId="166" fontId="10" fillId="0" borderId="0" xfId="1" applyNumberFormat="1" applyFont="1"/>
    <xf numFmtId="0" fontId="2" fillId="0" borderId="0" xfId="1" applyFont="1" applyAlignment="1">
      <alignment horizontal="left"/>
    </xf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18" fillId="0" borderId="0" xfId="1" applyFont="1" applyAlignment="1">
      <alignment horizontal="left" vertical="top"/>
    </xf>
    <xf numFmtId="0" fontId="18" fillId="0" borderId="0" xfId="1" applyFont="1" applyAlignment="1">
      <alignment horizontal="center" vertical="top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top"/>
    </xf>
    <xf numFmtId="0" fontId="20" fillId="0" borderId="0" xfId="1" applyFont="1"/>
    <xf numFmtId="0" fontId="21" fillId="0" borderId="0" xfId="1" applyFont="1" applyAlignment="1">
      <alignment horizontal="left" vertical="top"/>
    </xf>
    <xf numFmtId="0" fontId="22" fillId="0" borderId="0" xfId="1" applyFont="1"/>
    <xf numFmtId="164" fontId="22" fillId="0" borderId="0" xfId="1" applyNumberFormat="1" applyFont="1" applyAlignment="1">
      <alignment horizontal="right"/>
    </xf>
    <xf numFmtId="0" fontId="2" fillId="0" borderId="0" xfId="1" applyFont="1"/>
    <xf numFmtId="0" fontId="7" fillId="0" borderId="0" xfId="1" applyFont="1" applyAlignment="1">
      <alignment horizontal="right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1" fillId="0" borderId="0" xfId="1" applyFont="1" applyAlignment="1">
      <alignment horizontal="center" vertical="top"/>
    </xf>
    <xf numFmtId="0" fontId="24" fillId="0" borderId="0" xfId="1" applyFont="1" applyAlignment="1">
      <alignment horizontal="center"/>
    </xf>
    <xf numFmtId="0" fontId="25" fillId="0" borderId="0" xfId="1" applyFont="1"/>
    <xf numFmtId="166" fontId="7" fillId="0" borderId="0" xfId="1" applyNumberFormat="1" applyFont="1" applyAlignment="1">
      <alignment horizontal="right"/>
    </xf>
    <xf numFmtId="0" fontId="2" fillId="18" borderId="0" xfId="1" applyFont="1" applyFill="1"/>
    <xf numFmtId="166" fontId="2" fillId="18" borderId="0" xfId="1" applyNumberFormat="1" applyFont="1" applyFill="1"/>
    <xf numFmtId="0" fontId="26" fillId="2" borderId="0" xfId="1" applyFont="1" applyFill="1"/>
    <xf numFmtId="0" fontId="26" fillId="18" borderId="0" xfId="1" applyFont="1" applyFill="1"/>
    <xf numFmtId="0" fontId="2" fillId="11" borderId="0" xfId="1" applyFont="1" applyFill="1"/>
    <xf numFmtId="0" fontId="27" fillId="0" borderId="9" xfId="2" applyFont="1" applyBorder="1" applyAlignment="1">
      <alignment horizontal="center"/>
    </xf>
    <xf numFmtId="0" fontId="28" fillId="0" borderId="10" xfId="2" applyFont="1" applyBorder="1"/>
    <xf numFmtId="0" fontId="28" fillId="0" borderId="11" xfId="2" applyFont="1" applyBorder="1"/>
    <xf numFmtId="0" fontId="16" fillId="0" borderId="0" xfId="2"/>
    <xf numFmtId="0" fontId="27" fillId="0" borderId="12" xfId="2" applyFont="1" applyBorder="1"/>
    <xf numFmtId="0" fontId="27" fillId="4" borderId="12" xfId="2" applyFont="1" applyFill="1" applyBorder="1"/>
    <xf numFmtId="0" fontId="29" fillId="0" borderId="12" xfId="2" applyFont="1" applyBorder="1"/>
    <xf numFmtId="0" fontId="27" fillId="0" borderId="13" xfId="2" applyFont="1" applyBorder="1"/>
    <xf numFmtId="0" fontId="27" fillId="4" borderId="13" xfId="2" applyFont="1" applyFill="1" applyBorder="1"/>
    <xf numFmtId="0" fontId="29" fillId="0" borderId="0" xfId="2" applyFont="1"/>
    <xf numFmtId="168" fontId="27" fillId="0" borderId="0" xfId="2" applyNumberFormat="1" applyFont="1"/>
    <xf numFmtId="0" fontId="27" fillId="0" borderId="0" xfId="2" applyFont="1" applyAlignment="1">
      <alignment horizontal="center"/>
    </xf>
    <xf numFmtId="0" fontId="16" fillId="0" borderId="0" xfId="2"/>
    <xf numFmtId="169" fontId="27" fillId="0" borderId="0" xfId="2" applyNumberFormat="1" applyFont="1"/>
    <xf numFmtId="0" fontId="27" fillId="0" borderId="0" xfId="2" applyFont="1"/>
    <xf numFmtId="164" fontId="27" fillId="0" borderId="0" xfId="2" applyNumberFormat="1" applyFont="1"/>
    <xf numFmtId="2" fontId="27" fillId="0" borderId="0" xfId="2" applyNumberFormat="1" applyFont="1"/>
    <xf numFmtId="0" fontId="30" fillId="0" borderId="0" xfId="2" applyFont="1" applyAlignment="1">
      <alignment vertical="center"/>
    </xf>
    <xf numFmtId="0" fontId="27" fillId="19" borderId="0" xfId="2" applyFont="1" applyFill="1"/>
    <xf numFmtId="0" fontId="27" fillId="20" borderId="0" xfId="2" applyFont="1" applyFill="1"/>
    <xf numFmtId="0" fontId="27" fillId="21" borderId="0" xfId="2" applyFont="1" applyFill="1"/>
    <xf numFmtId="0" fontId="27" fillId="0" borderId="0" xfId="2" applyFont="1" applyAlignment="1">
      <alignment horizontal="center"/>
    </xf>
    <xf numFmtId="0" fontId="27" fillId="0" borderId="14" xfId="2" applyFont="1" applyBorder="1"/>
    <xf numFmtId="0" fontId="7" fillId="0" borderId="1" xfId="1" applyFont="1" applyBorder="1"/>
    <xf numFmtId="2" fontId="7" fillId="0" borderId="0" xfId="1" applyNumberFormat="1" applyFont="1"/>
    <xf numFmtId="2" fontId="7" fillId="0" borderId="1" xfId="1" applyNumberFormat="1" applyFont="1" applyBorder="1"/>
    <xf numFmtId="2" fontId="7" fillId="0" borderId="2" xfId="1" applyNumberFormat="1" applyFont="1" applyBorder="1"/>
    <xf numFmtId="2" fontId="7" fillId="0" borderId="8" xfId="1" applyNumberFormat="1" applyFont="1" applyBorder="1"/>
    <xf numFmtId="2" fontId="7" fillId="2" borderId="0" xfId="1" applyNumberFormat="1" applyFont="1" applyFill="1"/>
    <xf numFmtId="2" fontId="7" fillId="2" borderId="1" xfId="1" applyNumberFormat="1" applyFont="1" applyFill="1" applyBorder="1"/>
    <xf numFmtId="2" fontId="2" fillId="0" borderId="1" xfId="1" applyNumberFormat="1" applyFont="1" applyBorder="1"/>
    <xf numFmtId="2" fontId="2" fillId="0" borderId="2" xfId="1" applyNumberFormat="1" applyFont="1" applyBorder="1"/>
    <xf numFmtId="2" fontId="2" fillId="0" borderId="8" xfId="1" applyNumberFormat="1" applyFont="1" applyBorder="1"/>
    <xf numFmtId="0" fontId="8" fillId="0" borderId="2" xfId="1" applyFont="1" applyBorder="1"/>
    <xf numFmtId="0" fontId="2" fillId="22" borderId="0" xfId="1" applyFont="1" applyFill="1"/>
  </cellXfs>
  <cellStyles count="3">
    <cellStyle name="Normal" xfId="0" builtinId="0"/>
    <cellStyle name="Normal 2" xfId="1" xr:uid="{DC54B7EA-C2A7-4F14-BC9A-ED13F2319376}"/>
    <cellStyle name="Normal 3" xfId="2" xr:uid="{8746235F-ECE5-409D-8C9E-F90EC9A3C2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ip.org/aip/jcp/article/162/6/064102/33345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209D-6E66-459D-85D6-550F70BD0D64}">
  <sheetPr>
    <outlinePr summaryBelow="0" summaryRight="0"/>
  </sheetPr>
  <dimension ref="A1:T16"/>
  <sheetViews>
    <sheetView zoomScale="85" zoomScaleNormal="85" workbookViewId="0">
      <selection activeCell="D25" sqref="D25"/>
    </sheetView>
  </sheetViews>
  <sheetFormatPr defaultColWidth="12.6640625" defaultRowHeight="15.75" customHeight="1"/>
  <cols>
    <col min="1" max="16384" width="12.6640625" style="2"/>
  </cols>
  <sheetData>
    <row r="1" spans="1:20" ht="15.75" customHeight="1">
      <c r="A1" s="1" t="s">
        <v>0</v>
      </c>
      <c r="E1" s="3"/>
      <c r="J1" s="3"/>
      <c r="O1" s="3"/>
      <c r="T1" s="3"/>
    </row>
    <row r="2" spans="1:20" ht="15.75" customHeight="1">
      <c r="A2" s="4" t="s">
        <v>1</v>
      </c>
      <c r="B2" s="5"/>
      <c r="C2" s="5"/>
      <c r="D2" s="5"/>
      <c r="E2" s="6"/>
      <c r="F2" s="4" t="s">
        <v>2</v>
      </c>
      <c r="G2" s="5"/>
      <c r="H2" s="5"/>
      <c r="I2" s="5"/>
      <c r="J2" s="6"/>
      <c r="K2" s="4" t="s">
        <v>3</v>
      </c>
      <c r="L2" s="5"/>
      <c r="M2" s="5"/>
      <c r="N2" s="5"/>
      <c r="O2" s="6"/>
      <c r="P2" s="4" t="s">
        <v>4</v>
      </c>
      <c r="Q2" s="5"/>
      <c r="R2" s="5"/>
      <c r="S2" s="5"/>
      <c r="T2" s="6"/>
    </row>
    <row r="3" spans="1:20" ht="15.75" customHeight="1">
      <c r="A3" s="1" t="s">
        <v>5</v>
      </c>
      <c r="B3" s="7">
        <v>0.81505837896461153</v>
      </c>
      <c r="C3" s="7">
        <v>-0.40033347454174156</v>
      </c>
      <c r="D3" s="7">
        <v>0.20197292288405963</v>
      </c>
      <c r="E3" s="8">
        <v>9.3619103399889339E-2</v>
      </c>
      <c r="F3" s="1" t="s">
        <v>5</v>
      </c>
      <c r="G3" s="7">
        <v>0.65645265555344079</v>
      </c>
      <c r="H3" s="7">
        <v>-0.52969630572430304</v>
      </c>
      <c r="I3" s="7">
        <v>0.18587999188675644</v>
      </c>
      <c r="J3" s="8">
        <v>4.819084736187218E-2</v>
      </c>
      <c r="K3" s="1" t="s">
        <v>5</v>
      </c>
      <c r="L3" s="7">
        <v>0.67636002690656316</v>
      </c>
      <c r="M3" s="7">
        <v>-0.37134438768605216</v>
      </c>
      <c r="N3" s="7">
        <v>0.30550568763722641</v>
      </c>
      <c r="O3" s="8">
        <v>0.18344779418950052</v>
      </c>
      <c r="P3" s="1" t="s">
        <v>5</v>
      </c>
      <c r="Q3" s="7">
        <v>0.56743985204252845</v>
      </c>
      <c r="R3" s="7">
        <v>-0.41384045699003047</v>
      </c>
      <c r="S3" s="7">
        <v>0.20795255914201397</v>
      </c>
      <c r="T3" s="8">
        <v>0.10132278307435449</v>
      </c>
    </row>
    <row r="4" spans="1:20" ht="15.75" customHeight="1">
      <c r="A4" s="9" t="s">
        <v>6</v>
      </c>
      <c r="B4" s="10">
        <v>0.97055894352965699</v>
      </c>
      <c r="C4" s="10">
        <v>0.65086510565179656</v>
      </c>
      <c r="D4" s="10">
        <v>0.40966704912254348</v>
      </c>
      <c r="E4" s="11">
        <v>0.37898003269771241</v>
      </c>
      <c r="F4" s="9" t="s">
        <v>6</v>
      </c>
      <c r="G4" s="10">
        <v>0.93382819497598313</v>
      </c>
      <c r="H4" s="10">
        <v>0.7107690202227398</v>
      </c>
      <c r="I4" s="10">
        <v>0.43231221194747055</v>
      </c>
      <c r="J4" s="11">
        <v>0.39869202661777797</v>
      </c>
      <c r="K4" s="9" t="s">
        <v>6</v>
      </c>
      <c r="L4" s="10">
        <v>0.95972676438134974</v>
      </c>
      <c r="M4" s="10">
        <v>0.63962217217729522</v>
      </c>
      <c r="N4" s="10">
        <v>0.5024238271151974</v>
      </c>
      <c r="O4" s="11">
        <v>0.4456575933902101</v>
      </c>
      <c r="P4" s="9" t="s">
        <v>6</v>
      </c>
      <c r="Q4" s="10">
        <v>0.87394813030895613</v>
      </c>
      <c r="R4" s="10">
        <v>0.6279782857153442</v>
      </c>
      <c r="S4" s="10">
        <v>0.4654047952726233</v>
      </c>
      <c r="T4" s="11">
        <v>0.45006374760290635</v>
      </c>
    </row>
    <row r="5" spans="1:20" ht="15.75" customHeight="1">
      <c r="A5" s="9" t="s">
        <v>7</v>
      </c>
      <c r="B5" s="10">
        <v>1.143670536624666</v>
      </c>
      <c r="C5" s="10">
        <v>0.85700097476733894</v>
      </c>
      <c r="D5" s="10">
        <v>0.51260719986535341</v>
      </c>
      <c r="E5" s="11">
        <v>0.4737776502385182</v>
      </c>
      <c r="F5" s="9" t="s">
        <v>7</v>
      </c>
      <c r="G5" s="10">
        <v>1.0835575382227824</v>
      </c>
      <c r="H5" s="10">
        <v>0.91084471422512647</v>
      </c>
      <c r="I5" s="10">
        <v>0.59007012657825553</v>
      </c>
      <c r="J5" s="11">
        <v>0.50150492365252031</v>
      </c>
      <c r="K5" s="9" t="s">
        <v>7</v>
      </c>
      <c r="L5" s="10">
        <v>1.1354607696218924</v>
      </c>
      <c r="M5" s="10">
        <v>0.81056307777095316</v>
      </c>
      <c r="N5" s="10">
        <v>0.69059439737778516</v>
      </c>
      <c r="O5" s="11">
        <v>0.61013778086334802</v>
      </c>
      <c r="P5" s="9" t="s">
        <v>7</v>
      </c>
      <c r="Q5" s="10">
        <v>1.0520357070088189</v>
      </c>
      <c r="R5" s="10">
        <v>0.81899512555802112</v>
      </c>
      <c r="S5" s="10">
        <v>0.63240792309473581</v>
      </c>
      <c r="T5" s="11">
        <v>0.57611100333679177</v>
      </c>
    </row>
    <row r="6" spans="1:20" ht="15.75" customHeight="1">
      <c r="B6" s="12" t="s">
        <v>8</v>
      </c>
      <c r="C6" s="12" t="s">
        <v>9</v>
      </c>
      <c r="D6" s="12" t="s">
        <v>10</v>
      </c>
      <c r="E6" s="13" t="s">
        <v>11</v>
      </c>
      <c r="G6" s="12" t="s">
        <v>12</v>
      </c>
      <c r="H6" s="12" t="s">
        <v>13</v>
      </c>
      <c r="I6" s="12" t="s">
        <v>14</v>
      </c>
      <c r="J6" s="13" t="s">
        <v>15</v>
      </c>
      <c r="L6" s="12" t="s">
        <v>12</v>
      </c>
      <c r="M6" s="12" t="s">
        <v>13</v>
      </c>
      <c r="N6" s="12" t="s">
        <v>14</v>
      </c>
      <c r="O6" s="13" t="s">
        <v>15</v>
      </c>
      <c r="Q6" s="12" t="s">
        <v>12</v>
      </c>
      <c r="R6" s="12" t="s">
        <v>13</v>
      </c>
      <c r="S6" s="12" t="s">
        <v>14</v>
      </c>
      <c r="T6" s="13" t="s">
        <v>15</v>
      </c>
    </row>
    <row r="7" spans="1:20" ht="15.75" customHeight="1">
      <c r="E7" s="3"/>
      <c r="J7" s="3"/>
      <c r="O7" s="3"/>
      <c r="T7" s="3"/>
    </row>
    <row r="8" spans="1:20" ht="15.75" customHeight="1">
      <c r="B8" s="1" t="s">
        <v>16</v>
      </c>
      <c r="C8" s="14">
        <v>0.89972090134589422</v>
      </c>
      <c r="D8" s="14">
        <v>0.91888318570121719</v>
      </c>
      <c r="E8" s="15">
        <v>0.91377859998680078</v>
      </c>
      <c r="G8" s="1" t="s">
        <v>16</v>
      </c>
      <c r="H8" s="14">
        <v>0.89309643776255243</v>
      </c>
      <c r="I8" s="14">
        <v>0.91873639868893631</v>
      </c>
      <c r="J8" s="15">
        <v>0.91280255373675889</v>
      </c>
      <c r="L8" s="1" t="s">
        <v>16</v>
      </c>
      <c r="M8" s="14">
        <v>0.89381804614348925</v>
      </c>
      <c r="N8" s="14">
        <v>0.91567276772280515</v>
      </c>
      <c r="O8" s="15">
        <v>0.91083498497503312</v>
      </c>
      <c r="Q8" s="1" t="s">
        <v>16</v>
      </c>
      <c r="R8" s="14">
        <v>0.89518201958235621</v>
      </c>
      <c r="S8" s="14">
        <v>0.91477521655712146</v>
      </c>
      <c r="T8" s="15">
        <v>0.91079606603872276</v>
      </c>
    </row>
    <row r="9" spans="1:20" ht="15.75" customHeight="1">
      <c r="E9" s="3"/>
      <c r="J9" s="3"/>
      <c r="O9" s="3"/>
      <c r="T9" s="3"/>
    </row>
    <row r="10" spans="1:20" ht="15.75" customHeight="1">
      <c r="A10" s="4" t="s">
        <v>17</v>
      </c>
      <c r="B10" s="5"/>
      <c r="C10" s="5"/>
      <c r="D10" s="5"/>
      <c r="E10" s="6"/>
      <c r="F10" s="4" t="s">
        <v>18</v>
      </c>
      <c r="G10" s="5"/>
      <c r="H10" s="5"/>
      <c r="I10" s="5"/>
      <c r="J10" s="6"/>
      <c r="K10" s="4" t="s">
        <v>19</v>
      </c>
      <c r="L10" s="5"/>
      <c r="M10" s="5"/>
      <c r="N10" s="5"/>
      <c r="O10" s="6"/>
      <c r="P10" s="4" t="s">
        <v>20</v>
      </c>
      <c r="Q10" s="5"/>
      <c r="R10" s="5"/>
      <c r="S10" s="5"/>
      <c r="T10" s="6"/>
    </row>
    <row r="11" spans="1:20" ht="15.75" customHeight="1">
      <c r="A11" s="1" t="s">
        <v>5</v>
      </c>
      <c r="B11" s="7">
        <v>0.77948262138885405</v>
      </c>
      <c r="C11" s="7">
        <v>-0.43590923211749921</v>
      </c>
      <c r="D11" s="7">
        <v>0.16639716530830195</v>
      </c>
      <c r="E11" s="8">
        <v>5.8043345824131676E-2</v>
      </c>
      <c r="F11" s="1" t="s">
        <v>5</v>
      </c>
      <c r="G11" s="7">
        <v>0.62087689797768275</v>
      </c>
      <c r="H11" s="7">
        <v>-0.56527206330006086</v>
      </c>
      <c r="I11" s="7">
        <v>0.15030423431099879</v>
      </c>
      <c r="J11" s="8">
        <v>1.2615089786114511E-2</v>
      </c>
      <c r="K11" s="1" t="s">
        <v>5</v>
      </c>
      <c r="L11" s="7">
        <v>0.64078426933080579</v>
      </c>
      <c r="M11" s="7">
        <v>-0.40692014526180986</v>
      </c>
      <c r="N11" s="7">
        <v>0.26992993006146865</v>
      </c>
      <c r="O11" s="8">
        <v>0.14787203661374287</v>
      </c>
      <c r="P11" s="1" t="s">
        <v>5</v>
      </c>
      <c r="Q11" s="7">
        <v>0.53186409446677096</v>
      </c>
      <c r="R11" s="7">
        <v>-0.44941621456578812</v>
      </c>
      <c r="S11" s="7">
        <v>0.17237680156625632</v>
      </c>
      <c r="T11" s="8">
        <v>6.5747025498596817E-2</v>
      </c>
    </row>
    <row r="12" spans="1:20" ht="15.75" customHeight="1">
      <c r="A12" s="9" t="s">
        <v>6</v>
      </c>
      <c r="B12" s="10">
        <v>0.91489329446311896</v>
      </c>
      <c r="C12" s="10">
        <v>0.45382402901228935</v>
      </c>
      <c r="D12" s="10">
        <v>0.27458613218443728</v>
      </c>
      <c r="E12" s="11">
        <v>0.21016025333852081</v>
      </c>
      <c r="F12" s="9" t="s">
        <v>6</v>
      </c>
      <c r="G12" s="10">
        <v>0.86157139117211645</v>
      </c>
      <c r="H12" s="10">
        <v>0.57001611799979413</v>
      </c>
      <c r="I12" s="10">
        <v>0.3541795572932811</v>
      </c>
      <c r="J12" s="11">
        <v>0.26621928913167364</v>
      </c>
      <c r="K12" s="9" t="s">
        <v>6</v>
      </c>
      <c r="L12" s="10">
        <v>0.87719703007774064</v>
      </c>
      <c r="M12" s="10">
        <v>0.51447615896707166</v>
      </c>
      <c r="N12" s="10">
        <v>0.44519012716155165</v>
      </c>
      <c r="O12" s="11">
        <v>0.34793107107306032</v>
      </c>
      <c r="P12" s="9" t="s">
        <v>6</v>
      </c>
      <c r="Q12" s="10">
        <v>0.79372602995256192</v>
      </c>
      <c r="R12" s="10">
        <v>0.52329248461722067</v>
      </c>
      <c r="S12" s="10">
        <v>0.40207783333654751</v>
      </c>
      <c r="T12" s="11">
        <v>0.33504550298331315</v>
      </c>
    </row>
    <row r="13" spans="1:20" ht="15.75" customHeight="1">
      <c r="A13" s="9" t="s">
        <v>7</v>
      </c>
      <c r="B13" s="10">
        <v>1.1428342990638432</v>
      </c>
      <c r="C13" s="10">
        <v>0.652782565057342</v>
      </c>
      <c r="D13" s="10">
        <v>0.4009744927244635</v>
      </c>
      <c r="E13" s="11">
        <v>0.29220560093138842</v>
      </c>
      <c r="F13" s="9" t="s">
        <v>7</v>
      </c>
      <c r="G13" s="10">
        <v>1.0718078337289429</v>
      </c>
      <c r="H13" s="10">
        <v>0.71764687132199201</v>
      </c>
      <c r="I13" s="10">
        <v>0.51952247404555763</v>
      </c>
      <c r="J13" s="11">
        <v>0.35608227164929851</v>
      </c>
      <c r="K13" s="9" t="s">
        <v>7</v>
      </c>
      <c r="L13" s="10">
        <v>1.1188030072072879</v>
      </c>
      <c r="M13" s="10">
        <v>0.62354712989410721</v>
      </c>
      <c r="N13" s="10">
        <v>0.64827197912309176</v>
      </c>
      <c r="O13" s="11">
        <v>0.52679086168248945</v>
      </c>
      <c r="P13" s="9" t="s">
        <v>7</v>
      </c>
      <c r="Q13" s="10">
        <v>1.0237374136575257</v>
      </c>
      <c r="R13" s="10">
        <v>0.64320447515999601</v>
      </c>
      <c r="S13" s="10">
        <v>0.57764116764796603</v>
      </c>
      <c r="T13" s="11">
        <v>0.48383253352962619</v>
      </c>
    </row>
    <row r="14" spans="1:20" ht="15.75" customHeight="1">
      <c r="B14" s="12" t="s">
        <v>8</v>
      </c>
      <c r="C14" s="12" t="s">
        <v>9</v>
      </c>
      <c r="D14" s="12" t="s">
        <v>10</v>
      </c>
      <c r="E14" s="13" t="s">
        <v>11</v>
      </c>
      <c r="G14" s="16" t="s">
        <v>12</v>
      </c>
      <c r="H14" s="16" t="s">
        <v>13</v>
      </c>
      <c r="I14" s="16" t="s">
        <v>14</v>
      </c>
      <c r="J14" s="17" t="s">
        <v>15</v>
      </c>
      <c r="L14" s="12" t="s">
        <v>12</v>
      </c>
      <c r="M14" s="12" t="s">
        <v>13</v>
      </c>
      <c r="N14" s="12" t="s">
        <v>14</v>
      </c>
      <c r="O14" s="13" t="s">
        <v>15</v>
      </c>
      <c r="Q14" s="16" t="s">
        <v>12</v>
      </c>
      <c r="R14" s="16" t="s">
        <v>13</v>
      </c>
      <c r="S14" s="16" t="s">
        <v>14</v>
      </c>
      <c r="T14" s="17" t="s">
        <v>15</v>
      </c>
    </row>
    <row r="15" spans="1:20" ht="15.75" customHeight="1">
      <c r="E15" s="3"/>
      <c r="F15" s="1" t="s">
        <v>21</v>
      </c>
      <c r="G15" s="14">
        <f t="shared" ref="G15:J15" si="0">G12-B12</f>
        <v>-5.3321903291002504E-2</v>
      </c>
      <c r="H15" s="14">
        <f t="shared" si="0"/>
        <v>0.11619208898750477</v>
      </c>
      <c r="I15" s="14">
        <f t="shared" si="0"/>
        <v>7.9593425108843818E-2</v>
      </c>
      <c r="J15" s="14">
        <f t="shared" si="0"/>
        <v>5.6059035793152828E-2</v>
      </c>
      <c r="K15" s="1" t="s">
        <v>21</v>
      </c>
      <c r="L15" s="14">
        <f t="shared" ref="L15:O15" si="1">B12-L12</f>
        <v>3.769626438537832E-2</v>
      </c>
      <c r="M15" s="14">
        <f t="shared" si="1"/>
        <v>-6.0652129954782308E-2</v>
      </c>
      <c r="N15" s="14">
        <f t="shared" si="1"/>
        <v>-0.17060399497711437</v>
      </c>
      <c r="O15" s="14">
        <f t="shared" si="1"/>
        <v>-0.1377708177345395</v>
      </c>
      <c r="P15" s="1" t="s">
        <v>21</v>
      </c>
      <c r="Q15" s="14">
        <f t="shared" ref="Q15:T15" si="2">B12-Q12</f>
        <v>0.12116726451055704</v>
      </c>
      <c r="R15" s="14">
        <f t="shared" si="2"/>
        <v>-6.9468455604931312E-2</v>
      </c>
      <c r="S15" s="14">
        <f t="shared" si="2"/>
        <v>-0.12749170115211023</v>
      </c>
      <c r="T15" s="14">
        <f t="shared" si="2"/>
        <v>-0.12488524964479233</v>
      </c>
    </row>
    <row r="16" spans="1:20" ht="15.75" customHeight="1">
      <c r="B16" s="1" t="s">
        <v>16</v>
      </c>
      <c r="C16" s="14">
        <v>0.89972090134589422</v>
      </c>
      <c r="D16" s="14">
        <v>0.91888318570121719</v>
      </c>
      <c r="E16" s="15">
        <v>0.91377859998680078</v>
      </c>
      <c r="G16" s="1" t="s">
        <v>16</v>
      </c>
      <c r="H16" s="14">
        <v>0.89309643776255243</v>
      </c>
      <c r="I16" s="14">
        <v>0.91873639868893631</v>
      </c>
      <c r="J16" s="15">
        <v>0.91280255373675889</v>
      </c>
      <c r="L16" s="1" t="s">
        <v>16</v>
      </c>
      <c r="M16" s="14">
        <v>0.89381804614348925</v>
      </c>
      <c r="N16" s="14">
        <v>0.91567276772280515</v>
      </c>
      <c r="O16" s="15">
        <v>0.91083498497503312</v>
      </c>
      <c r="Q16" s="1" t="s">
        <v>16</v>
      </c>
      <c r="R16" s="14">
        <v>0.89518201958235621</v>
      </c>
      <c r="S16" s="14">
        <v>0.91477521655712146</v>
      </c>
      <c r="T16" s="15">
        <v>0.91079606603872276</v>
      </c>
    </row>
  </sheetData>
  <mergeCells count="8">
    <mergeCell ref="A2:E2"/>
    <mergeCell ref="F2:J2"/>
    <mergeCell ref="K2:O2"/>
    <mergeCell ref="P2:T2"/>
    <mergeCell ref="A10:E10"/>
    <mergeCell ref="F10:J10"/>
    <mergeCell ref="K10:O10"/>
    <mergeCell ref="P10:T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50C4-E897-434D-BB2E-CB8C6D43A9F5}">
  <sheetPr>
    <outlinePr summaryBelow="0" summaryRight="0"/>
  </sheetPr>
  <dimension ref="A2:U49"/>
  <sheetViews>
    <sheetView workbookViewId="0">
      <selection activeCell="D25" sqref="D25"/>
    </sheetView>
  </sheetViews>
  <sheetFormatPr defaultColWidth="12.6640625" defaultRowHeight="15.75" customHeight="1"/>
  <cols>
    <col min="1" max="1" width="6.77734375" style="2" customWidth="1"/>
    <col min="2" max="2" width="7.21875" style="2" customWidth="1"/>
    <col min="3" max="3" width="5.6640625" style="2" customWidth="1"/>
    <col min="4" max="4" width="6.88671875" style="2" customWidth="1"/>
    <col min="5" max="5" width="5.6640625" style="2" customWidth="1"/>
    <col min="6" max="6" width="6.109375" style="2" customWidth="1"/>
    <col min="7" max="7" width="5.21875" style="2" customWidth="1"/>
    <col min="8" max="9" width="5.77734375" style="2" customWidth="1"/>
    <col min="10" max="10" width="7.109375" style="2" customWidth="1"/>
    <col min="11" max="11" width="8.6640625" style="2" customWidth="1"/>
    <col min="12" max="13" width="8.77734375" style="2" customWidth="1"/>
    <col min="14" max="14" width="12.6640625" style="2"/>
    <col min="15" max="15" width="8.77734375" style="2" customWidth="1"/>
    <col min="16" max="16" width="8.6640625" style="2" customWidth="1"/>
    <col min="17" max="17" width="8.109375" style="2" customWidth="1"/>
    <col min="18" max="16384" width="12.6640625" style="2"/>
  </cols>
  <sheetData>
    <row r="2" spans="1:21" ht="13.8">
      <c r="B2" s="1" t="s">
        <v>22</v>
      </c>
      <c r="N2" s="14"/>
      <c r="O2" s="14"/>
    </row>
    <row r="3" spans="1:21" ht="13.8">
      <c r="B3" s="1" t="s">
        <v>23</v>
      </c>
      <c r="C3" s="1" t="s">
        <v>24</v>
      </c>
      <c r="D3" s="1" t="s">
        <v>25</v>
      </c>
      <c r="E3" s="18" t="s">
        <v>24</v>
      </c>
      <c r="F3" s="18" t="s">
        <v>25</v>
      </c>
      <c r="G3" s="1" t="s">
        <v>26</v>
      </c>
      <c r="H3" s="19" t="s">
        <v>27</v>
      </c>
      <c r="I3" s="18" t="s">
        <v>27</v>
      </c>
      <c r="J3" s="19" t="s">
        <v>26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29</v>
      </c>
      <c r="Q3" s="1" t="s">
        <v>30</v>
      </c>
      <c r="R3" s="1" t="s">
        <v>31</v>
      </c>
      <c r="S3" s="1" t="s">
        <v>33</v>
      </c>
      <c r="T3" s="1" t="s">
        <v>34</v>
      </c>
      <c r="U3" s="1" t="s">
        <v>35</v>
      </c>
    </row>
    <row r="4" spans="1:21" ht="13.8">
      <c r="A4" s="1" t="s">
        <v>36</v>
      </c>
      <c r="B4" s="1" t="s">
        <v>37</v>
      </c>
      <c r="C4" s="20">
        <v>-6.5776979321646695E-2</v>
      </c>
      <c r="D4" s="20">
        <v>-8.4902728812756595E-2</v>
      </c>
      <c r="E4" s="21">
        <f t="shared" ref="E4:F7" si="0">C4*27.2114</f>
        <v>-1.789883695113057</v>
      </c>
      <c r="F4" s="21">
        <f t="shared" si="0"/>
        <v>-2.3103221148154449</v>
      </c>
      <c r="G4" s="20">
        <v>0.97199516746853998</v>
      </c>
      <c r="H4" s="22">
        <v>-7.9668238654623802E-2</v>
      </c>
      <c r="I4" s="21">
        <f t="shared" ref="I4:I7" si="1">H4*27.2114</f>
        <v>-2.1678843093264302</v>
      </c>
      <c r="J4" s="20">
        <v>0.97433953659405703</v>
      </c>
      <c r="K4" s="20">
        <v>2.3370000000000002</v>
      </c>
      <c r="L4" s="20">
        <f t="shared" ref="L4:L7" si="2">-E4-K4</f>
        <v>-0.54711630488694318</v>
      </c>
      <c r="M4" s="20">
        <f t="shared" ref="M4:M7" si="3">-F4-K4</f>
        <v>-2.6677885184555272E-2</v>
      </c>
      <c r="N4" s="20">
        <f t="shared" ref="N4:N7" si="4">-I4-K4</f>
        <v>-0.16911569067357002</v>
      </c>
      <c r="O4" s="23">
        <v>2.036</v>
      </c>
      <c r="P4" s="20">
        <f t="shared" ref="P4:P7" si="5">-E4-O4</f>
        <v>-0.24611630488694303</v>
      </c>
      <c r="Q4" s="20">
        <f t="shared" ref="Q4:Q7" si="6">-F4-O4</f>
        <v>0.27432211481544488</v>
      </c>
      <c r="R4" s="20">
        <f t="shared" ref="R4:R7" si="7">-I4-O4</f>
        <v>0.13188430932643014</v>
      </c>
      <c r="S4" s="20">
        <f t="shared" ref="S4:U7" si="8">ABS(P4)</f>
        <v>0.24611630488694303</v>
      </c>
      <c r="T4" s="20">
        <f t="shared" si="8"/>
        <v>0.27432211481544488</v>
      </c>
      <c r="U4" s="20">
        <f t="shared" si="8"/>
        <v>0.13188430932643014</v>
      </c>
    </row>
    <row r="5" spans="1:21" ht="13.8">
      <c r="A5" s="1" t="s">
        <v>38</v>
      </c>
      <c r="B5" s="1" t="s">
        <v>37</v>
      </c>
      <c r="C5" s="20">
        <v>-5.6240886387369703E-2</v>
      </c>
      <c r="D5" s="20">
        <v>-7.2400041990501804E-2</v>
      </c>
      <c r="E5" s="21">
        <f t="shared" si="0"/>
        <v>-1.5303932558412721</v>
      </c>
      <c r="F5" s="21">
        <f t="shared" si="0"/>
        <v>-1.9701065026203408</v>
      </c>
      <c r="G5" s="20">
        <v>0.964427980627234</v>
      </c>
      <c r="H5" s="20">
        <v>-6.8499079543022506E-2</v>
      </c>
      <c r="I5" s="21">
        <f t="shared" si="1"/>
        <v>-1.8639558530770026</v>
      </c>
      <c r="J5" s="20">
        <v>0.97069882729561296</v>
      </c>
      <c r="K5" s="20">
        <v>2.3370000000000002</v>
      </c>
      <c r="L5" s="20">
        <f t="shared" si="2"/>
        <v>-0.80660674415872813</v>
      </c>
      <c r="M5" s="20">
        <f t="shared" si="3"/>
        <v>-0.36689349737965937</v>
      </c>
      <c r="N5" s="20">
        <f t="shared" si="4"/>
        <v>-0.47304414692299757</v>
      </c>
      <c r="O5" s="23">
        <v>2.036</v>
      </c>
      <c r="P5" s="20">
        <f t="shared" si="5"/>
        <v>-0.50560674415872797</v>
      </c>
      <c r="Q5" s="20">
        <f t="shared" si="6"/>
        <v>-6.5893497379659216E-2</v>
      </c>
      <c r="R5" s="20">
        <f t="shared" si="7"/>
        <v>-0.17204414692299741</v>
      </c>
      <c r="S5" s="20">
        <f t="shared" si="8"/>
        <v>0.50560674415872797</v>
      </c>
      <c r="T5" s="20">
        <f t="shared" si="8"/>
        <v>6.5893497379659216E-2</v>
      </c>
      <c r="U5" s="20">
        <f t="shared" si="8"/>
        <v>0.17204414692299741</v>
      </c>
    </row>
    <row r="6" spans="1:21" ht="13.8">
      <c r="A6" s="1" t="s">
        <v>39</v>
      </c>
      <c r="B6" s="1" t="s">
        <v>37</v>
      </c>
      <c r="C6" s="20">
        <v>-5.5268372973858698E-2</v>
      </c>
      <c r="D6" s="20">
        <v>-7.0329409344593002E-2</v>
      </c>
      <c r="E6" s="21">
        <f t="shared" si="0"/>
        <v>-1.5039298043408587</v>
      </c>
      <c r="F6" s="21">
        <f t="shared" si="0"/>
        <v>-1.913761689439458</v>
      </c>
      <c r="G6" s="20">
        <v>0.96260489821218798</v>
      </c>
      <c r="H6" s="20">
        <v>-6.7333247560610099E-2</v>
      </c>
      <c r="I6" s="21">
        <f t="shared" si="1"/>
        <v>-1.8322319326707857</v>
      </c>
      <c r="J6" s="20">
        <v>0.969950816169042</v>
      </c>
      <c r="K6" s="20">
        <v>2.3370000000000002</v>
      </c>
      <c r="L6" s="20">
        <f t="shared" si="2"/>
        <v>-0.83307019565914153</v>
      </c>
      <c r="M6" s="20">
        <f t="shared" si="3"/>
        <v>-0.42323831056054217</v>
      </c>
      <c r="N6" s="20">
        <f t="shared" si="4"/>
        <v>-0.50476806732921453</v>
      </c>
      <c r="O6" s="23">
        <v>2.036</v>
      </c>
      <c r="P6" s="20">
        <f t="shared" si="5"/>
        <v>-0.53207019565914138</v>
      </c>
      <c r="Q6" s="20">
        <f t="shared" si="6"/>
        <v>-0.12223831056054202</v>
      </c>
      <c r="R6" s="20">
        <f t="shared" si="7"/>
        <v>-0.20376806732921438</v>
      </c>
      <c r="S6" s="20">
        <f t="shared" si="8"/>
        <v>0.53207019565914138</v>
      </c>
      <c r="T6" s="20">
        <f t="shared" si="8"/>
        <v>0.12223831056054202</v>
      </c>
      <c r="U6" s="20">
        <f t="shared" si="8"/>
        <v>0.20376806732921438</v>
      </c>
    </row>
    <row r="7" spans="1:21" ht="13.8">
      <c r="A7" s="1" t="s">
        <v>40</v>
      </c>
      <c r="B7" s="1" t="s">
        <v>37</v>
      </c>
      <c r="C7" s="20">
        <v>-5.4622519302175702E-2</v>
      </c>
      <c r="D7" s="20">
        <v>-6.8535057016474193E-2</v>
      </c>
      <c r="E7" s="21">
        <f t="shared" si="0"/>
        <v>-1.486355221739224</v>
      </c>
      <c r="F7" s="21">
        <f t="shared" si="0"/>
        <v>-1.864934850498086</v>
      </c>
      <c r="G7" s="20">
        <v>0.96103782314545605</v>
      </c>
      <c r="H7" s="20">
        <v>-6.6371916335402403E-2</v>
      </c>
      <c r="I7" s="21">
        <f t="shared" si="1"/>
        <v>-1.806072764169169</v>
      </c>
      <c r="J7" s="20">
        <v>0.96894060147607997</v>
      </c>
      <c r="K7" s="20">
        <v>2.3370000000000002</v>
      </c>
      <c r="L7" s="20">
        <f t="shared" si="2"/>
        <v>-0.85064477826077622</v>
      </c>
      <c r="M7" s="20">
        <f t="shared" si="3"/>
        <v>-0.47206514950191414</v>
      </c>
      <c r="N7" s="20">
        <f t="shared" si="4"/>
        <v>-0.53092723583083123</v>
      </c>
      <c r="O7" s="23">
        <v>2.036</v>
      </c>
      <c r="P7" s="20">
        <f t="shared" si="5"/>
        <v>-0.54964477826077607</v>
      </c>
      <c r="Q7" s="20">
        <f t="shared" si="6"/>
        <v>-0.17106514950191398</v>
      </c>
      <c r="R7" s="20">
        <f t="shared" si="7"/>
        <v>-0.22992723583083108</v>
      </c>
      <c r="S7" s="20">
        <f t="shared" si="8"/>
        <v>0.54964477826077607</v>
      </c>
      <c r="T7" s="20">
        <f t="shared" si="8"/>
        <v>0.17106514950191398</v>
      </c>
      <c r="U7" s="20">
        <f t="shared" si="8"/>
        <v>0.22992723583083108</v>
      </c>
    </row>
    <row r="9" spans="1:21" ht="13.8">
      <c r="B9" s="1" t="s">
        <v>41</v>
      </c>
      <c r="N9" s="14"/>
      <c r="O9" s="14"/>
    </row>
    <row r="10" spans="1:21" ht="13.8">
      <c r="B10" s="1" t="s">
        <v>23</v>
      </c>
      <c r="C10" s="1" t="s">
        <v>24</v>
      </c>
      <c r="D10" s="1" t="s">
        <v>25</v>
      </c>
      <c r="E10" s="18" t="s">
        <v>24</v>
      </c>
      <c r="F10" s="18" t="s">
        <v>25</v>
      </c>
      <c r="G10" s="1" t="s">
        <v>26</v>
      </c>
      <c r="H10" s="19" t="s">
        <v>27</v>
      </c>
      <c r="I10" s="18" t="s">
        <v>27</v>
      </c>
      <c r="J10" s="19" t="s">
        <v>26</v>
      </c>
      <c r="K10" s="1" t="s">
        <v>28</v>
      </c>
      <c r="L10" s="1" t="s">
        <v>29</v>
      </c>
      <c r="M10" s="1" t="s">
        <v>30</v>
      </c>
      <c r="N10" s="1" t="s">
        <v>31</v>
      </c>
      <c r="O10" s="1" t="s">
        <v>32</v>
      </c>
      <c r="P10" s="1" t="s">
        <v>29</v>
      </c>
      <c r="Q10" s="1" t="s">
        <v>30</v>
      </c>
      <c r="R10" s="1" t="s">
        <v>31</v>
      </c>
      <c r="S10" s="1" t="s">
        <v>33</v>
      </c>
      <c r="T10" s="1" t="s">
        <v>34</v>
      </c>
      <c r="U10" s="1" t="s">
        <v>35</v>
      </c>
    </row>
    <row r="11" spans="1:21" ht="13.8">
      <c r="A11" s="1" t="s">
        <v>36</v>
      </c>
      <c r="B11" s="1" t="s">
        <v>37</v>
      </c>
      <c r="C11" s="20">
        <v>-0.108742008264347</v>
      </c>
      <c r="D11" s="20">
        <v>-0.13813492352040899</v>
      </c>
      <c r="E11" s="21">
        <f t="shared" ref="E11:F12" si="9">C11*27.2114</f>
        <v>-2.959022283684452</v>
      </c>
      <c r="F11" s="21">
        <f t="shared" si="9"/>
        <v>-3.7588446578832571</v>
      </c>
      <c r="G11" s="20">
        <v>0.893554605104382</v>
      </c>
      <c r="H11" s="22">
        <v>-0.128215716595868</v>
      </c>
      <c r="I11" s="21">
        <f t="shared" ref="I11:I12" si="10">H11*27.2114</f>
        <v>-3.4889291505768028</v>
      </c>
      <c r="J11" s="20">
        <v>0.90473082160780904</v>
      </c>
      <c r="K11" s="20">
        <v>3.16</v>
      </c>
      <c r="L11" s="20">
        <f t="shared" ref="L11:L12" si="11">-E11-K11</f>
        <v>-0.20097771631554817</v>
      </c>
      <c r="M11" s="20">
        <f t="shared" ref="M11:M12" si="12">-F11-K11</f>
        <v>0.59884465788325691</v>
      </c>
      <c r="N11" s="20">
        <f t="shared" ref="N11:N12" si="13">-I11-K11</f>
        <v>0.32892915057680261</v>
      </c>
      <c r="O11" s="23">
        <v>2.657</v>
      </c>
      <c r="P11" s="20">
        <f t="shared" ref="P11:P12" si="14">-E11-O11</f>
        <v>0.30202228368445194</v>
      </c>
      <c r="Q11" s="20">
        <f t="shared" ref="Q11:Q12" si="15">-F11-O11</f>
        <v>1.101844657883257</v>
      </c>
      <c r="R11" s="20">
        <f t="shared" ref="R11:R12" si="16">-I11-O11</f>
        <v>0.83192915057680272</v>
      </c>
      <c r="S11" s="20">
        <f t="shared" ref="S11:U12" si="17">ABS(P11)</f>
        <v>0.30202228368445194</v>
      </c>
      <c r="T11" s="20">
        <f t="shared" si="17"/>
        <v>1.101844657883257</v>
      </c>
      <c r="U11" s="20">
        <f t="shared" si="17"/>
        <v>0.83192915057680272</v>
      </c>
    </row>
    <row r="12" spans="1:21" ht="13.8">
      <c r="A12" s="1" t="s">
        <v>38</v>
      </c>
      <c r="B12" s="1" t="s">
        <v>37</v>
      </c>
      <c r="C12" s="20">
        <v>-9.5776909607588903E-2</v>
      </c>
      <c r="D12" s="20">
        <v>-0.110222860186155</v>
      </c>
      <c r="E12" s="21">
        <f t="shared" si="9"/>
        <v>-2.6062237980959448</v>
      </c>
      <c r="F12" s="21">
        <f t="shared" si="9"/>
        <v>-2.9993183376695383</v>
      </c>
      <c r="G12" s="20">
        <v>0.88381162442820405</v>
      </c>
      <c r="H12" s="20">
        <v>-0.10793031006421699</v>
      </c>
      <c r="I12" s="21">
        <f t="shared" si="10"/>
        <v>-2.9369348392814345</v>
      </c>
      <c r="J12" s="20">
        <v>0.89958273440802194</v>
      </c>
      <c r="K12" s="20">
        <v>3.16</v>
      </c>
      <c r="L12" s="20">
        <f t="shared" si="11"/>
        <v>-0.5537762019040553</v>
      </c>
      <c r="M12" s="20">
        <f t="shared" si="12"/>
        <v>-0.16068166233046188</v>
      </c>
      <c r="N12" s="20">
        <f t="shared" si="13"/>
        <v>-0.22306516071856564</v>
      </c>
      <c r="O12" s="23">
        <v>2.657</v>
      </c>
      <c r="P12" s="20">
        <f t="shared" si="14"/>
        <v>-5.0776201904055185E-2</v>
      </c>
      <c r="Q12" s="20">
        <f t="shared" si="15"/>
        <v>0.34231833766953823</v>
      </c>
      <c r="R12" s="20">
        <f t="shared" si="16"/>
        <v>0.27993483928143448</v>
      </c>
      <c r="S12" s="20">
        <f t="shared" si="17"/>
        <v>5.0776201904055185E-2</v>
      </c>
      <c r="T12" s="20">
        <f t="shared" si="17"/>
        <v>0.34231833766953823</v>
      </c>
      <c r="U12" s="20">
        <f t="shared" si="17"/>
        <v>0.27993483928143448</v>
      </c>
    </row>
    <row r="13" spans="1:21" ht="13.8">
      <c r="A13" s="1" t="s">
        <v>39</v>
      </c>
      <c r="B13" s="1" t="s">
        <v>37</v>
      </c>
      <c r="C13" s="1" t="s">
        <v>42</v>
      </c>
      <c r="D13" s="1" t="s">
        <v>42</v>
      </c>
      <c r="E13" s="24" t="s">
        <v>42</v>
      </c>
      <c r="F13" s="24" t="s">
        <v>42</v>
      </c>
      <c r="G13" s="1" t="s">
        <v>42</v>
      </c>
      <c r="H13" s="1" t="s">
        <v>42</v>
      </c>
      <c r="I13" s="24" t="s">
        <v>42</v>
      </c>
      <c r="J13" s="1" t="s">
        <v>42</v>
      </c>
      <c r="K13" s="20">
        <v>3.16</v>
      </c>
      <c r="L13" s="1" t="s">
        <v>42</v>
      </c>
      <c r="M13" s="1" t="s">
        <v>42</v>
      </c>
      <c r="N13" s="1" t="s">
        <v>42</v>
      </c>
      <c r="O13" s="23">
        <v>2.657</v>
      </c>
      <c r="P13" s="1" t="s">
        <v>42</v>
      </c>
      <c r="Q13" s="1" t="s">
        <v>42</v>
      </c>
      <c r="R13" s="1" t="s">
        <v>42</v>
      </c>
      <c r="S13" s="1" t="s">
        <v>42</v>
      </c>
      <c r="T13" s="1" t="s">
        <v>42</v>
      </c>
      <c r="U13" s="1" t="s">
        <v>42</v>
      </c>
    </row>
    <row r="14" spans="1:21" ht="13.8">
      <c r="A14" s="1" t="s">
        <v>40</v>
      </c>
      <c r="B14" s="1" t="s">
        <v>37</v>
      </c>
      <c r="C14" s="1" t="s">
        <v>42</v>
      </c>
      <c r="D14" s="1" t="s">
        <v>42</v>
      </c>
      <c r="E14" s="24" t="s">
        <v>42</v>
      </c>
      <c r="F14" s="24" t="s">
        <v>42</v>
      </c>
      <c r="G14" s="1" t="s">
        <v>42</v>
      </c>
      <c r="H14" s="1" t="s">
        <v>42</v>
      </c>
      <c r="I14" s="24" t="s">
        <v>42</v>
      </c>
      <c r="J14" s="1" t="s">
        <v>42</v>
      </c>
      <c r="K14" s="20">
        <v>3.16</v>
      </c>
      <c r="L14" s="1" t="s">
        <v>42</v>
      </c>
      <c r="M14" s="1" t="s">
        <v>42</v>
      </c>
      <c r="N14" s="1" t="s">
        <v>42</v>
      </c>
      <c r="O14" s="23">
        <v>2.657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</row>
    <row r="16" spans="1:21" ht="13.8">
      <c r="B16" s="1" t="s">
        <v>43</v>
      </c>
      <c r="N16" s="14"/>
      <c r="O16" s="14"/>
    </row>
    <row r="17" spans="1:21" ht="13.8">
      <c r="B17" s="1" t="s">
        <v>23</v>
      </c>
      <c r="C17" s="1" t="s">
        <v>24</v>
      </c>
      <c r="D17" s="1" t="s">
        <v>25</v>
      </c>
      <c r="E17" s="18" t="s">
        <v>24</v>
      </c>
      <c r="F17" s="18" t="s">
        <v>25</v>
      </c>
      <c r="G17" s="1" t="s">
        <v>26</v>
      </c>
      <c r="H17" s="19" t="s">
        <v>27</v>
      </c>
      <c r="I17" s="18" t="s">
        <v>27</v>
      </c>
      <c r="J17" s="19" t="s">
        <v>26</v>
      </c>
      <c r="K17" s="1" t="s">
        <v>28</v>
      </c>
      <c r="L17" s="1" t="s">
        <v>29</v>
      </c>
      <c r="M17" s="1" t="s">
        <v>30</v>
      </c>
      <c r="N17" s="1" t="s">
        <v>31</v>
      </c>
      <c r="O17" s="1" t="s">
        <v>32</v>
      </c>
      <c r="P17" s="1" t="s">
        <v>29</v>
      </c>
      <c r="Q17" s="1" t="s">
        <v>30</v>
      </c>
      <c r="R17" s="1" t="s">
        <v>31</v>
      </c>
      <c r="S17" s="1" t="s">
        <v>33</v>
      </c>
      <c r="T17" s="1" t="s">
        <v>34</v>
      </c>
      <c r="U17" s="1" t="s">
        <v>35</v>
      </c>
    </row>
    <row r="18" spans="1:21" ht="15.75" customHeight="1">
      <c r="A18" s="1" t="s">
        <v>36</v>
      </c>
      <c r="B18" s="25" t="s">
        <v>44</v>
      </c>
      <c r="C18" s="20">
        <v>-0.11581494291302701</v>
      </c>
      <c r="D18" s="20">
        <v>-0.147641177483397</v>
      </c>
      <c r="E18" s="21">
        <f t="shared" ref="E18:F19" si="18">C18*27.2114</f>
        <v>-3.1514867375835434</v>
      </c>
      <c r="F18" s="21">
        <f t="shared" si="18"/>
        <v>-4.0175231369717093</v>
      </c>
      <c r="G18" s="20">
        <v>0.87253986933003502</v>
      </c>
      <c r="H18" s="22">
        <v>-0.134427139131439</v>
      </c>
      <c r="I18" s="21">
        <f t="shared" ref="I18:I19" si="19">H18*27.2114</f>
        <v>-3.6579506537612394</v>
      </c>
      <c r="J18" s="20">
        <v>0.86943862845895303</v>
      </c>
      <c r="K18" s="20">
        <v>3.2730000000000001</v>
      </c>
      <c r="L18" s="20">
        <f t="shared" ref="L18:L19" si="20">-E18-K18</f>
        <v>-0.12151326241645677</v>
      </c>
      <c r="M18" s="20">
        <f t="shared" ref="M18:M19" si="21">-F18-K18</f>
        <v>0.74452313697170913</v>
      </c>
      <c r="N18" s="20">
        <f t="shared" ref="N18:N19" si="22">-I18-K18</f>
        <v>0.38495065376123927</v>
      </c>
      <c r="O18" s="26">
        <v>2.516</v>
      </c>
      <c r="P18" s="20">
        <f t="shared" ref="P18:P19" si="23">-E18-O18</f>
        <v>0.63548673758354335</v>
      </c>
      <c r="Q18" s="20">
        <f t="shared" ref="Q18:Q19" si="24">-F18-O18</f>
        <v>1.5015231369717092</v>
      </c>
      <c r="R18" s="20">
        <f t="shared" ref="R18:R19" si="25">-I18-O18</f>
        <v>1.1419506537612394</v>
      </c>
      <c r="S18" s="20">
        <f t="shared" ref="S18:U19" si="26">ABS(P18)</f>
        <v>0.63548673758354335</v>
      </c>
      <c r="T18" s="20">
        <f t="shared" si="26"/>
        <v>1.5015231369717092</v>
      </c>
      <c r="U18" s="20">
        <f t="shared" si="26"/>
        <v>1.1419506537612394</v>
      </c>
    </row>
    <row r="19" spans="1:21" ht="15.75" customHeight="1">
      <c r="A19" s="1" t="s">
        <v>38</v>
      </c>
      <c r="B19" s="25" t="s">
        <v>44</v>
      </c>
      <c r="C19" s="20">
        <v>-0.104836856100944</v>
      </c>
      <c r="D19" s="20">
        <v>-0.119522873617829</v>
      </c>
      <c r="E19" s="21">
        <f t="shared" si="18"/>
        <v>-2.8527576261052277</v>
      </c>
      <c r="F19" s="21">
        <f t="shared" si="18"/>
        <v>-3.2523847231641922</v>
      </c>
      <c r="G19" s="20">
        <v>0.865462030164175</v>
      </c>
      <c r="H19" s="20">
        <v>-0.112238865371313</v>
      </c>
      <c r="I19" s="21">
        <f t="shared" si="19"/>
        <v>-3.0541766611649468</v>
      </c>
      <c r="J19" s="20">
        <v>0.86646442298055004</v>
      </c>
      <c r="K19" s="20">
        <v>3.2730000000000001</v>
      </c>
      <c r="L19" s="20">
        <f t="shared" si="20"/>
        <v>-0.42024237389477248</v>
      </c>
      <c r="M19" s="20">
        <f t="shared" si="21"/>
        <v>-2.0615276835807883E-2</v>
      </c>
      <c r="N19" s="20">
        <f t="shared" si="22"/>
        <v>-0.21882333883505334</v>
      </c>
      <c r="O19" s="26">
        <v>2.516</v>
      </c>
      <c r="P19" s="20">
        <f t="shared" si="23"/>
        <v>0.33675762610522764</v>
      </c>
      <c r="Q19" s="20">
        <f t="shared" si="24"/>
        <v>0.73638472316419223</v>
      </c>
      <c r="R19" s="20">
        <f t="shared" si="25"/>
        <v>0.53817666116494678</v>
      </c>
      <c r="S19" s="20">
        <f t="shared" si="26"/>
        <v>0.33675762610522764</v>
      </c>
      <c r="T19" s="20">
        <f t="shared" si="26"/>
        <v>0.73638472316419223</v>
      </c>
      <c r="U19" s="20">
        <f t="shared" si="26"/>
        <v>0.53817666116494678</v>
      </c>
    </row>
    <row r="20" spans="1:21" ht="15.75" customHeight="1">
      <c r="A20" s="1" t="s">
        <v>39</v>
      </c>
      <c r="B20" s="25" t="s">
        <v>44</v>
      </c>
      <c r="C20" s="1" t="s">
        <v>42</v>
      </c>
      <c r="D20" s="1" t="s">
        <v>42</v>
      </c>
      <c r="E20" s="24" t="s">
        <v>42</v>
      </c>
      <c r="F20" s="24" t="s">
        <v>42</v>
      </c>
      <c r="G20" s="1" t="s">
        <v>42</v>
      </c>
      <c r="H20" s="1" t="s">
        <v>42</v>
      </c>
      <c r="I20" s="24" t="s">
        <v>42</v>
      </c>
      <c r="J20" s="1" t="s">
        <v>42</v>
      </c>
      <c r="K20" s="20">
        <v>3.2730000000000001</v>
      </c>
      <c r="L20" s="1" t="s">
        <v>42</v>
      </c>
      <c r="M20" s="1" t="s">
        <v>42</v>
      </c>
      <c r="N20" s="1" t="s">
        <v>42</v>
      </c>
      <c r="O20" s="26">
        <v>2.516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</row>
    <row r="21" spans="1:21" ht="15.75" customHeight="1">
      <c r="A21" s="1" t="s">
        <v>40</v>
      </c>
      <c r="B21" s="25" t="s">
        <v>44</v>
      </c>
      <c r="C21" s="1" t="s">
        <v>42</v>
      </c>
      <c r="D21" s="1" t="s">
        <v>42</v>
      </c>
      <c r="E21" s="24" t="s">
        <v>42</v>
      </c>
      <c r="F21" s="24" t="s">
        <v>42</v>
      </c>
      <c r="G21" s="1" t="s">
        <v>42</v>
      </c>
      <c r="H21" s="1" t="s">
        <v>42</v>
      </c>
      <c r="I21" s="24" t="s">
        <v>42</v>
      </c>
      <c r="J21" s="1" t="s">
        <v>42</v>
      </c>
      <c r="K21" s="20">
        <v>3.2730000000000001</v>
      </c>
      <c r="L21" s="1" t="s">
        <v>42</v>
      </c>
      <c r="M21" s="1" t="s">
        <v>42</v>
      </c>
      <c r="N21" s="1" t="s">
        <v>42</v>
      </c>
      <c r="O21" s="26">
        <v>2.516</v>
      </c>
      <c r="P21" s="1" t="s">
        <v>42</v>
      </c>
      <c r="Q21" s="1" t="s">
        <v>42</v>
      </c>
      <c r="R21" s="1" t="s">
        <v>42</v>
      </c>
      <c r="S21" s="1" t="s">
        <v>42</v>
      </c>
      <c r="T21" s="1" t="s">
        <v>42</v>
      </c>
      <c r="U21" s="1" t="s">
        <v>42</v>
      </c>
    </row>
    <row r="23" spans="1:21" ht="13.8">
      <c r="B23" s="1" t="s">
        <v>45</v>
      </c>
      <c r="N23" s="14"/>
      <c r="O23" s="14"/>
    </row>
    <row r="24" spans="1:21" ht="13.8">
      <c r="B24" s="1" t="s">
        <v>23</v>
      </c>
      <c r="C24" s="1" t="s">
        <v>24</v>
      </c>
      <c r="D24" s="1" t="s">
        <v>25</v>
      </c>
      <c r="E24" s="18" t="s">
        <v>24</v>
      </c>
      <c r="F24" s="18" t="s">
        <v>25</v>
      </c>
      <c r="G24" s="1" t="s">
        <v>26</v>
      </c>
      <c r="H24" s="19" t="s">
        <v>27</v>
      </c>
      <c r="I24" s="18" t="s">
        <v>27</v>
      </c>
      <c r="J24" s="19" t="s">
        <v>26</v>
      </c>
      <c r="K24" s="1" t="s">
        <v>28</v>
      </c>
      <c r="L24" s="1" t="s">
        <v>29</v>
      </c>
      <c r="M24" s="1" t="s">
        <v>30</v>
      </c>
      <c r="N24" s="1" t="s">
        <v>31</v>
      </c>
      <c r="O24" s="1" t="s">
        <v>32</v>
      </c>
      <c r="P24" s="1" t="s">
        <v>29</v>
      </c>
      <c r="Q24" s="1" t="s">
        <v>30</v>
      </c>
      <c r="R24" s="1" t="s">
        <v>31</v>
      </c>
      <c r="S24" s="1" t="s">
        <v>33</v>
      </c>
      <c r="T24" s="1" t="s">
        <v>34</v>
      </c>
      <c r="U24" s="1" t="s">
        <v>35</v>
      </c>
    </row>
    <row r="25" spans="1:21" ht="13.8">
      <c r="A25" s="1" t="s">
        <v>36</v>
      </c>
      <c r="B25" s="1" t="s">
        <v>46</v>
      </c>
      <c r="C25" s="20">
        <v>2.39417052886881E-3</v>
      </c>
      <c r="D25" s="20">
        <v>-8.6865357176103102E-3</v>
      </c>
      <c r="E25" s="21">
        <f t="shared" ref="E25:F28" si="27">C25*27.2114</f>
        <v>6.5148731929260739E-2</v>
      </c>
      <c r="F25" s="21">
        <f t="shared" si="27"/>
        <v>-0.23637279802618119</v>
      </c>
      <c r="G25" s="20">
        <v>0.96101832829621303</v>
      </c>
      <c r="H25" s="22">
        <v>-9.4315061773022207E-3</v>
      </c>
      <c r="I25" s="21">
        <f t="shared" ref="I25:I28" si="28">H25*27.2114</f>
        <v>-0.25664448719304167</v>
      </c>
      <c r="J25" s="20">
        <v>0.94387510624431004</v>
      </c>
      <c r="K25" s="20">
        <v>0.54</v>
      </c>
      <c r="L25" s="20">
        <f t="shared" ref="L25:L28" si="29">-E25-K25</f>
        <v>-0.60514873192926077</v>
      </c>
      <c r="M25" s="20">
        <f t="shared" ref="M25:M28" si="30">-F25-K25</f>
        <v>-0.30362720197381887</v>
      </c>
      <c r="N25" s="20">
        <f t="shared" ref="N25:N28" si="31">-I25-K25</f>
        <v>-0.28335551280695837</v>
      </c>
      <c r="O25" s="23">
        <v>0.27900000000000003</v>
      </c>
      <c r="P25" s="20">
        <f t="shared" ref="P25:P28" si="32">-E25-O25</f>
        <v>-0.34414873192926076</v>
      </c>
      <c r="Q25" s="20">
        <f t="shared" ref="Q25:Q28" si="33">-F25-O25</f>
        <v>-4.2627201973818835E-2</v>
      </c>
      <c r="R25" s="20">
        <f t="shared" ref="R25:R28" si="34">-I25-O25</f>
        <v>-2.2355512806958355E-2</v>
      </c>
      <c r="S25" s="20">
        <f t="shared" ref="S25:U28" si="35">ABS(P25)</f>
        <v>0.34414873192926076</v>
      </c>
      <c r="T25" s="20">
        <f t="shared" si="35"/>
        <v>4.2627201973818835E-2</v>
      </c>
      <c r="U25" s="20">
        <f t="shared" si="35"/>
        <v>2.2355512806958355E-2</v>
      </c>
    </row>
    <row r="26" spans="1:21" ht="13.8">
      <c r="A26" s="1" t="s">
        <v>38</v>
      </c>
      <c r="B26" s="1" t="s">
        <v>46</v>
      </c>
      <c r="C26" s="20">
        <v>3.4161680117790801E-3</v>
      </c>
      <c r="D26" s="20">
        <v>-7.0949523178993803E-3</v>
      </c>
      <c r="E26" s="21">
        <f t="shared" si="27"/>
        <v>9.295871423572527E-2</v>
      </c>
      <c r="F26" s="21">
        <f t="shared" si="27"/>
        <v>-0.1930635855032872</v>
      </c>
      <c r="G26" s="20">
        <v>0.96224915409688605</v>
      </c>
      <c r="H26" s="20">
        <v>-7.8309487827788304E-3</v>
      </c>
      <c r="I26" s="21">
        <f t="shared" si="28"/>
        <v>-0.21309107970770788</v>
      </c>
      <c r="J26" s="20">
        <v>0.94529401316231598</v>
      </c>
      <c r="K26" s="20">
        <v>0.54</v>
      </c>
      <c r="L26" s="20">
        <f t="shared" si="29"/>
        <v>-0.63295871423572536</v>
      </c>
      <c r="M26" s="20">
        <f t="shared" si="30"/>
        <v>-0.34693641449671286</v>
      </c>
      <c r="N26" s="20">
        <f t="shared" si="31"/>
        <v>-0.32690892029229213</v>
      </c>
      <c r="O26" s="23">
        <v>0.27900000000000003</v>
      </c>
      <c r="P26" s="20">
        <f t="shared" si="32"/>
        <v>-0.3719587142357253</v>
      </c>
      <c r="Q26" s="20">
        <f t="shared" si="33"/>
        <v>-8.5936414496712826E-2</v>
      </c>
      <c r="R26" s="20">
        <f t="shared" si="34"/>
        <v>-6.5908920292292145E-2</v>
      </c>
      <c r="S26" s="20">
        <f t="shared" si="35"/>
        <v>0.3719587142357253</v>
      </c>
      <c r="T26" s="20">
        <f t="shared" si="35"/>
        <v>8.5936414496712826E-2</v>
      </c>
      <c r="U26" s="20">
        <f t="shared" si="35"/>
        <v>6.5908920292292145E-2</v>
      </c>
    </row>
    <row r="27" spans="1:21" ht="13.8">
      <c r="A27" s="1" t="s">
        <v>39</v>
      </c>
      <c r="B27" s="1" t="s">
        <v>46</v>
      </c>
      <c r="C27" s="20">
        <v>3.0147246668623998E-3</v>
      </c>
      <c r="D27" s="20">
        <v>-7.8605828923906402E-3</v>
      </c>
      <c r="E27" s="21">
        <f t="shared" si="27"/>
        <v>8.2034878799859504E-2</v>
      </c>
      <c r="F27" s="21">
        <f t="shared" si="27"/>
        <v>-0.21389746531799866</v>
      </c>
      <c r="G27" s="20">
        <v>0.96112630112822905</v>
      </c>
      <c r="H27" s="20">
        <v>-8.5653746887061708E-3</v>
      </c>
      <c r="I27" s="21">
        <f t="shared" si="28"/>
        <v>-0.23307583680425911</v>
      </c>
      <c r="J27" s="20">
        <v>0.943953901839923</v>
      </c>
      <c r="K27" s="20">
        <v>0.54</v>
      </c>
      <c r="L27" s="20">
        <f t="shared" si="29"/>
        <v>-0.62203487879985953</v>
      </c>
      <c r="M27" s="20">
        <f t="shared" si="30"/>
        <v>-0.32610253468200134</v>
      </c>
      <c r="N27" s="20">
        <f t="shared" si="31"/>
        <v>-0.3069241631957409</v>
      </c>
      <c r="O27" s="23">
        <v>0.27900000000000003</v>
      </c>
      <c r="P27" s="20">
        <f t="shared" si="32"/>
        <v>-0.36103487879985952</v>
      </c>
      <c r="Q27" s="20">
        <f t="shared" si="33"/>
        <v>-6.5102534682001362E-2</v>
      </c>
      <c r="R27" s="20">
        <f t="shared" si="34"/>
        <v>-4.5924163195740914E-2</v>
      </c>
      <c r="S27" s="20">
        <f t="shared" si="35"/>
        <v>0.36103487879985952</v>
      </c>
      <c r="T27" s="20">
        <f t="shared" si="35"/>
        <v>6.5102534682001362E-2</v>
      </c>
      <c r="U27" s="20">
        <f t="shared" si="35"/>
        <v>4.5924163195740914E-2</v>
      </c>
    </row>
    <row r="28" spans="1:21" ht="13.8">
      <c r="A28" s="1" t="s">
        <v>40</v>
      </c>
      <c r="B28" s="1" t="s">
        <v>46</v>
      </c>
      <c r="C28" s="20">
        <v>3.2011624509044202E-3</v>
      </c>
      <c r="D28" s="20">
        <v>-7.5137693563006201E-3</v>
      </c>
      <c r="E28" s="21">
        <f t="shared" si="27"/>
        <v>8.710811191654054E-2</v>
      </c>
      <c r="F28" s="21">
        <f t="shared" si="27"/>
        <v>-0.2044601834620387</v>
      </c>
      <c r="G28" s="20">
        <v>0.96153894851302402</v>
      </c>
      <c r="H28" s="20">
        <v>-8.2154246276514801E-3</v>
      </c>
      <c r="I28" s="21">
        <f t="shared" si="28"/>
        <v>-0.22355320571287549</v>
      </c>
      <c r="J28" s="20">
        <v>0.94450244597135002</v>
      </c>
      <c r="K28" s="20">
        <v>0.54</v>
      </c>
      <c r="L28" s="20">
        <f t="shared" si="29"/>
        <v>-0.62710811191654059</v>
      </c>
      <c r="M28" s="20">
        <f t="shared" si="30"/>
        <v>-0.33553981653796133</v>
      </c>
      <c r="N28" s="20">
        <f t="shared" si="31"/>
        <v>-0.31644679428712452</v>
      </c>
      <c r="O28" s="23">
        <v>0.27900000000000003</v>
      </c>
      <c r="P28" s="20">
        <f t="shared" si="32"/>
        <v>-0.36610811191654058</v>
      </c>
      <c r="Q28" s="20">
        <f t="shared" si="33"/>
        <v>-7.4539816537961323E-2</v>
      </c>
      <c r="R28" s="20">
        <f t="shared" si="34"/>
        <v>-5.544679428712454E-2</v>
      </c>
      <c r="S28" s="20">
        <f t="shared" si="35"/>
        <v>0.36610811191654058</v>
      </c>
      <c r="T28" s="20">
        <f t="shared" si="35"/>
        <v>7.4539816537961323E-2</v>
      </c>
      <c r="U28" s="20">
        <f t="shared" si="35"/>
        <v>5.544679428712454E-2</v>
      </c>
    </row>
    <row r="29" spans="1:21" ht="13.8">
      <c r="B29" s="25"/>
    </row>
    <row r="30" spans="1:21" ht="13.8">
      <c r="B30" s="1" t="s">
        <v>47</v>
      </c>
      <c r="N30" s="14"/>
      <c r="O30" s="14"/>
    </row>
    <row r="31" spans="1:21" ht="13.8">
      <c r="B31" s="1" t="s">
        <v>23</v>
      </c>
      <c r="C31" s="1" t="s">
        <v>24</v>
      </c>
      <c r="D31" s="1" t="s">
        <v>25</v>
      </c>
      <c r="E31" s="18" t="s">
        <v>24</v>
      </c>
      <c r="F31" s="18" t="s">
        <v>25</v>
      </c>
      <c r="G31" s="1" t="s">
        <v>26</v>
      </c>
      <c r="H31" s="19" t="s">
        <v>27</v>
      </c>
      <c r="I31" s="18" t="s">
        <v>27</v>
      </c>
      <c r="J31" s="19" t="s">
        <v>26</v>
      </c>
      <c r="K31" s="1" t="s">
        <v>28</v>
      </c>
      <c r="L31" s="1" t="s">
        <v>29</v>
      </c>
      <c r="M31" s="1" t="s">
        <v>30</v>
      </c>
      <c r="N31" s="1" t="s">
        <v>31</v>
      </c>
      <c r="O31" s="1" t="s">
        <v>32</v>
      </c>
      <c r="P31" s="1" t="s">
        <v>29</v>
      </c>
      <c r="Q31" s="1" t="s">
        <v>30</v>
      </c>
      <c r="R31" s="1" t="s">
        <v>31</v>
      </c>
      <c r="S31" s="1" t="s">
        <v>33</v>
      </c>
      <c r="T31" s="1" t="s">
        <v>34</v>
      </c>
      <c r="U31" s="1" t="s">
        <v>35</v>
      </c>
    </row>
    <row r="32" spans="1:21" ht="13.8">
      <c r="A32" s="1" t="s">
        <v>36</v>
      </c>
      <c r="B32" s="1" t="s">
        <v>37</v>
      </c>
      <c r="C32" s="20">
        <v>-9.3593996300468801E-3</v>
      </c>
      <c r="D32" s="20">
        <v>-1.21444509543286E-2</v>
      </c>
      <c r="E32" s="21">
        <f t="shared" ref="E32:F35" si="36">C32*27.2114</f>
        <v>-0.25468236709305769</v>
      </c>
      <c r="F32" s="21">
        <f t="shared" si="36"/>
        <v>-0.33046751269861729</v>
      </c>
      <c r="G32" s="20">
        <v>0.99289681822613995</v>
      </c>
      <c r="H32" s="22">
        <v>-1.23326986357338E-2</v>
      </c>
      <c r="I32" s="21">
        <f t="shared" ref="I32:I35" si="37">H32*27.2114</f>
        <v>-0.33558999565640674</v>
      </c>
      <c r="J32" s="20">
        <v>0.99027737229239998</v>
      </c>
      <c r="K32" s="20">
        <v>0.36599999999999999</v>
      </c>
      <c r="L32" s="20">
        <f t="shared" ref="L32:L35" si="38">-E32-K32</f>
        <v>-0.1113176329069423</v>
      </c>
      <c r="M32" s="20">
        <f t="shared" ref="M32:M35" si="39">-F32-K32</f>
        <v>-3.5532487301382698E-2</v>
      </c>
      <c r="N32" s="20">
        <f t="shared" ref="N32:N35" si="40">-I32-K32</f>
        <v>-3.0410004343593255E-2</v>
      </c>
      <c r="O32" s="23">
        <v>0.316</v>
      </c>
      <c r="P32" s="20">
        <f t="shared" ref="P32:P35" si="41">-E32-O32</f>
        <v>-6.131763290694231E-2</v>
      </c>
      <c r="Q32" s="20">
        <f t="shared" ref="Q32:Q35" si="42">-F32-O32</f>
        <v>1.4467512698617291E-2</v>
      </c>
      <c r="R32" s="20">
        <f t="shared" ref="R32:R35" si="43">-I32-O32</f>
        <v>1.9589995656406733E-2</v>
      </c>
      <c r="S32" s="20">
        <f t="shared" ref="S32:U35" si="44">ABS(P32)</f>
        <v>6.131763290694231E-2</v>
      </c>
      <c r="T32" s="20">
        <f t="shared" si="44"/>
        <v>1.4467512698617291E-2</v>
      </c>
      <c r="U32" s="20">
        <f t="shared" si="44"/>
        <v>1.9589995656406733E-2</v>
      </c>
    </row>
    <row r="33" spans="1:21" ht="13.8">
      <c r="A33" s="1" t="s">
        <v>38</v>
      </c>
      <c r="B33" s="1" t="s">
        <v>37</v>
      </c>
      <c r="C33" s="20">
        <v>-6.4405599258292303E-3</v>
      </c>
      <c r="D33" s="20">
        <v>-9.5535423670975797E-3</v>
      </c>
      <c r="E33" s="21">
        <f t="shared" si="36"/>
        <v>-0.17525665236570953</v>
      </c>
      <c r="F33" s="21">
        <f t="shared" si="36"/>
        <v>-0.25996526276803911</v>
      </c>
      <c r="G33" s="20">
        <v>0.98999930477765297</v>
      </c>
      <c r="H33" s="20">
        <v>-9.4573278748656293E-3</v>
      </c>
      <c r="I33" s="21">
        <f t="shared" si="37"/>
        <v>-0.25734713173411861</v>
      </c>
      <c r="J33" s="20">
        <v>0.98668600915354798</v>
      </c>
      <c r="K33" s="20">
        <v>0.36599999999999999</v>
      </c>
      <c r="L33" s="20">
        <f t="shared" si="38"/>
        <v>-0.19074334763429046</v>
      </c>
      <c r="M33" s="20">
        <f t="shared" si="39"/>
        <v>-0.10603473723196088</v>
      </c>
      <c r="N33" s="20">
        <f t="shared" si="40"/>
        <v>-0.10865286826588139</v>
      </c>
      <c r="O33" s="23">
        <v>0.316</v>
      </c>
      <c r="P33" s="20">
        <f t="shared" si="41"/>
        <v>-0.14074334763429047</v>
      </c>
      <c r="Q33" s="20">
        <f t="shared" si="42"/>
        <v>-5.6034737231960896E-2</v>
      </c>
      <c r="R33" s="20">
        <f t="shared" si="43"/>
        <v>-5.8652868265881397E-2</v>
      </c>
      <c r="S33" s="20">
        <f t="shared" si="44"/>
        <v>0.14074334763429047</v>
      </c>
      <c r="T33" s="20">
        <f t="shared" si="44"/>
        <v>5.6034737231960896E-2</v>
      </c>
      <c r="U33" s="20">
        <f t="shared" si="44"/>
        <v>5.8652868265881397E-2</v>
      </c>
    </row>
    <row r="34" spans="1:21" ht="13.8">
      <c r="A34" s="1" t="s">
        <v>39</v>
      </c>
      <c r="B34" s="1" t="s">
        <v>37</v>
      </c>
      <c r="C34" s="20">
        <v>-6.1039379041932596E-3</v>
      </c>
      <c r="D34" s="20">
        <v>-9.48524851133924E-3</v>
      </c>
      <c r="E34" s="21">
        <f t="shared" si="36"/>
        <v>-0.16609669588616446</v>
      </c>
      <c r="F34" s="21">
        <f t="shared" si="36"/>
        <v>-0.25810689134145659</v>
      </c>
      <c r="G34" s="20">
        <v>0.988947978191414</v>
      </c>
      <c r="H34" s="20">
        <v>-9.3514520832817995E-3</v>
      </c>
      <c r="I34" s="21">
        <f t="shared" si="37"/>
        <v>-0.25446610321901436</v>
      </c>
      <c r="J34" s="20">
        <v>-9.3514520832817995E-3</v>
      </c>
      <c r="K34" s="20">
        <v>0.36599999999999999</v>
      </c>
      <c r="L34" s="20">
        <f t="shared" si="38"/>
        <v>-0.19990330411383553</v>
      </c>
      <c r="M34" s="20">
        <f t="shared" si="39"/>
        <v>-0.1078931086585434</v>
      </c>
      <c r="N34" s="20">
        <f t="shared" si="40"/>
        <v>-0.11153389678098563</v>
      </c>
      <c r="O34" s="23">
        <v>0.316</v>
      </c>
      <c r="P34" s="20">
        <f t="shared" si="41"/>
        <v>-0.14990330411383554</v>
      </c>
      <c r="Q34" s="20">
        <f t="shared" si="42"/>
        <v>-5.7893108658543413E-2</v>
      </c>
      <c r="R34" s="20">
        <f t="shared" si="43"/>
        <v>-6.1533896780985642E-2</v>
      </c>
      <c r="S34" s="20">
        <f t="shared" si="44"/>
        <v>0.14990330411383554</v>
      </c>
      <c r="T34" s="20">
        <f t="shared" si="44"/>
        <v>5.7893108658543413E-2</v>
      </c>
      <c r="U34" s="20">
        <f t="shared" si="44"/>
        <v>6.1533896780985642E-2</v>
      </c>
    </row>
    <row r="35" spans="1:21" ht="13.8">
      <c r="A35" s="1" t="s">
        <v>40</v>
      </c>
      <c r="B35" s="1" t="s">
        <v>37</v>
      </c>
      <c r="C35" s="20">
        <v>-6.3925682369428598E-3</v>
      </c>
      <c r="D35" s="20">
        <v>-9.59055157082459E-3</v>
      </c>
      <c r="E35" s="21">
        <f t="shared" si="36"/>
        <v>-0.17395073132274694</v>
      </c>
      <c r="F35" s="21">
        <f t="shared" si="36"/>
        <v>-0.26097233501433625</v>
      </c>
      <c r="G35" s="20">
        <v>0.98896420517422501</v>
      </c>
      <c r="H35" s="20">
        <v>-9.4393571875624801E-3</v>
      </c>
      <c r="I35" s="21">
        <f t="shared" si="37"/>
        <v>-0.25685812417363768</v>
      </c>
      <c r="J35" s="20">
        <v>0.98531981624902099</v>
      </c>
      <c r="K35" s="20">
        <v>0.36599999999999999</v>
      </c>
      <c r="L35" s="20">
        <f t="shared" si="38"/>
        <v>-0.19204926867725305</v>
      </c>
      <c r="M35" s="20">
        <f t="shared" si="39"/>
        <v>-0.10502766498566374</v>
      </c>
      <c r="N35" s="20">
        <f t="shared" si="40"/>
        <v>-0.10914187582636231</v>
      </c>
      <c r="O35" s="23">
        <v>0.316</v>
      </c>
      <c r="P35" s="20">
        <f t="shared" si="41"/>
        <v>-0.14204926867725307</v>
      </c>
      <c r="Q35" s="20">
        <f t="shared" si="42"/>
        <v>-5.5027664985663749E-2</v>
      </c>
      <c r="R35" s="20">
        <f t="shared" si="43"/>
        <v>-5.9141875826362322E-2</v>
      </c>
      <c r="S35" s="20">
        <f t="shared" si="44"/>
        <v>0.14204926867725307</v>
      </c>
      <c r="T35" s="20">
        <f t="shared" si="44"/>
        <v>5.5027664985663749E-2</v>
      </c>
      <c r="U35" s="20">
        <f t="shared" si="44"/>
        <v>5.9141875826362322E-2</v>
      </c>
    </row>
    <row r="37" spans="1:21" ht="13.8">
      <c r="B37" s="1" t="s">
        <v>48</v>
      </c>
      <c r="N37" s="14"/>
      <c r="O37" s="14"/>
    </row>
    <row r="38" spans="1:21" ht="13.8">
      <c r="B38" s="1" t="s">
        <v>23</v>
      </c>
      <c r="C38" s="1" t="s">
        <v>24</v>
      </c>
      <c r="D38" s="1" t="s">
        <v>25</v>
      </c>
      <c r="E38" s="18" t="s">
        <v>24</v>
      </c>
      <c r="F38" s="18" t="s">
        <v>25</v>
      </c>
      <c r="G38" s="1" t="s">
        <v>26</v>
      </c>
      <c r="H38" s="19" t="s">
        <v>27</v>
      </c>
      <c r="I38" s="18" t="s">
        <v>27</v>
      </c>
      <c r="J38" s="19" t="s">
        <v>26</v>
      </c>
      <c r="K38" s="1" t="s">
        <v>28</v>
      </c>
      <c r="L38" s="1" t="s">
        <v>29</v>
      </c>
      <c r="M38" s="1" t="s">
        <v>30</v>
      </c>
      <c r="N38" s="1" t="s">
        <v>31</v>
      </c>
      <c r="O38" s="1" t="s">
        <v>32</v>
      </c>
      <c r="P38" s="1" t="s">
        <v>29</v>
      </c>
      <c r="Q38" s="1" t="s">
        <v>30</v>
      </c>
      <c r="R38" s="1" t="s">
        <v>31</v>
      </c>
      <c r="S38" s="1" t="s">
        <v>33</v>
      </c>
      <c r="T38" s="1" t="s">
        <v>34</v>
      </c>
      <c r="U38" s="1" t="s">
        <v>35</v>
      </c>
    </row>
    <row r="39" spans="1:21" ht="13.8">
      <c r="A39" s="1" t="s">
        <v>36</v>
      </c>
      <c r="B39" s="1" t="s">
        <v>37</v>
      </c>
      <c r="C39" s="20">
        <v>-7.3961358997833302E-3</v>
      </c>
      <c r="D39" s="20">
        <v>-1.01846703711851E-2</v>
      </c>
      <c r="E39" s="21">
        <f t="shared" ref="E39:F42" si="45">C39*27.2114</f>
        <v>-0.20125921242336411</v>
      </c>
      <c r="F39" s="21">
        <f t="shared" si="45"/>
        <v>-0.27713913933846623</v>
      </c>
      <c r="G39" s="20">
        <v>0.99496341893426998</v>
      </c>
      <c r="H39" s="22">
        <v>-1.0592038849705601E-2</v>
      </c>
      <c r="I39" s="21">
        <f t="shared" ref="I39:I42" si="46">H39*27.2114</f>
        <v>-0.28822420595487902</v>
      </c>
      <c r="J39" s="20">
        <v>0.992461827949779</v>
      </c>
      <c r="K39" s="20">
        <v>0.34</v>
      </c>
      <c r="L39" s="20">
        <f t="shared" ref="L39:L42" si="47">-E39-K39</f>
        <v>-0.13874078757663591</v>
      </c>
      <c r="M39" s="20">
        <f t="shared" ref="M39:M42" si="48">-F39-K39</f>
        <v>-6.2860860661533791E-2</v>
      </c>
      <c r="N39" s="20">
        <f t="shared" ref="N39:N42" si="49">-I39-K39</f>
        <v>-5.1775794045121004E-2</v>
      </c>
      <c r="O39" s="23">
        <v>0.28399999999999997</v>
      </c>
      <c r="P39" s="20">
        <f t="shared" ref="P39:P42" si="50">-E39-O39</f>
        <v>-8.274078757663586E-2</v>
      </c>
      <c r="Q39" s="20">
        <f t="shared" ref="Q39:Q42" si="51">-F39-O39</f>
        <v>-6.8608606615337409E-3</v>
      </c>
      <c r="R39" s="20">
        <f t="shared" ref="R39:R42" si="52">-I39-O39</f>
        <v>4.2242059548790456E-3</v>
      </c>
      <c r="S39" s="20">
        <f t="shared" ref="S39:U42" si="53">ABS(P39)</f>
        <v>8.274078757663586E-2</v>
      </c>
      <c r="T39" s="20">
        <f t="shared" si="53"/>
        <v>6.8608606615337409E-3</v>
      </c>
      <c r="U39" s="20">
        <f t="shared" si="53"/>
        <v>4.2242059548790456E-3</v>
      </c>
    </row>
    <row r="40" spans="1:21" ht="13.8">
      <c r="A40" s="1" t="s">
        <v>38</v>
      </c>
      <c r="B40" s="1" t="s">
        <v>37</v>
      </c>
      <c r="C40" s="20">
        <v>-6.2329858126093504E-3</v>
      </c>
      <c r="D40" s="20">
        <v>-9.1701845755871696E-3</v>
      </c>
      <c r="E40" s="21">
        <f t="shared" si="45"/>
        <v>-0.16960827014123808</v>
      </c>
      <c r="F40" s="21">
        <f t="shared" si="45"/>
        <v>-0.24953356056013271</v>
      </c>
      <c r="G40" s="20">
        <v>0.994182158738668</v>
      </c>
      <c r="H40" s="20">
        <v>-9.5153851989308105E-3</v>
      </c>
      <c r="I40" s="21">
        <f t="shared" si="46"/>
        <v>-0.25892695280218586</v>
      </c>
      <c r="J40" s="20">
        <v>0.99148971528679597</v>
      </c>
      <c r="K40" s="20">
        <v>0.34</v>
      </c>
      <c r="L40" s="20">
        <f t="shared" si="47"/>
        <v>-0.17039172985876194</v>
      </c>
      <c r="M40" s="20">
        <f t="shared" si="48"/>
        <v>-9.0466439439867319E-2</v>
      </c>
      <c r="N40" s="20">
        <f t="shared" si="49"/>
        <v>-8.1073047197814163E-2</v>
      </c>
      <c r="O40" s="23">
        <v>0.28399999999999997</v>
      </c>
      <c r="P40" s="20">
        <f t="shared" si="50"/>
        <v>-0.11439172985876189</v>
      </c>
      <c r="Q40" s="20">
        <f t="shared" si="51"/>
        <v>-3.4466439439867269E-2</v>
      </c>
      <c r="R40" s="20">
        <f t="shared" si="52"/>
        <v>-2.5073047197814113E-2</v>
      </c>
      <c r="S40" s="20">
        <f t="shared" si="53"/>
        <v>0.11439172985876189</v>
      </c>
      <c r="T40" s="20">
        <f t="shared" si="53"/>
        <v>3.4466439439867269E-2</v>
      </c>
      <c r="U40" s="20">
        <f t="shared" si="53"/>
        <v>2.5073047197814113E-2</v>
      </c>
    </row>
    <row r="41" spans="1:21" ht="13.8">
      <c r="A41" s="1" t="s">
        <v>39</v>
      </c>
      <c r="B41" s="1" t="s">
        <v>37</v>
      </c>
      <c r="C41" s="20">
        <v>-6.1901803374094502E-3</v>
      </c>
      <c r="D41" s="20">
        <v>-9.3121523556995694E-3</v>
      </c>
      <c r="E41" s="21">
        <f t="shared" si="45"/>
        <v>-0.16844347323338352</v>
      </c>
      <c r="F41" s="21">
        <f t="shared" si="45"/>
        <v>-0.2533967026118833</v>
      </c>
      <c r="G41" s="20">
        <v>0.99381515766601802</v>
      </c>
      <c r="H41" s="20">
        <v>-9.6627004890527998E-3</v>
      </c>
      <c r="I41" s="21">
        <f t="shared" si="46"/>
        <v>-0.26293560808781136</v>
      </c>
      <c r="J41" s="20">
        <v>0.99096269378443302</v>
      </c>
      <c r="K41" s="20">
        <v>0.34</v>
      </c>
      <c r="L41" s="20">
        <f t="shared" si="47"/>
        <v>-0.17155652676661651</v>
      </c>
      <c r="M41" s="20">
        <f t="shared" si="48"/>
        <v>-8.6603297388116729E-2</v>
      </c>
      <c r="N41" s="20">
        <f t="shared" si="49"/>
        <v>-7.7064391912188668E-2</v>
      </c>
      <c r="O41" s="23">
        <v>0.28399999999999997</v>
      </c>
      <c r="P41" s="20">
        <f t="shared" si="50"/>
        <v>-0.11555652676661646</v>
      </c>
      <c r="Q41" s="20">
        <f t="shared" si="51"/>
        <v>-3.0603297388116679E-2</v>
      </c>
      <c r="R41" s="20">
        <f t="shared" si="52"/>
        <v>-2.1064391912188618E-2</v>
      </c>
      <c r="S41" s="20">
        <f t="shared" si="53"/>
        <v>0.11555652676661646</v>
      </c>
      <c r="T41" s="20">
        <f t="shared" si="53"/>
        <v>3.0603297388116679E-2</v>
      </c>
      <c r="U41" s="20">
        <f t="shared" si="53"/>
        <v>2.1064391912188618E-2</v>
      </c>
    </row>
    <row r="42" spans="1:21" ht="13.8">
      <c r="A42" s="1" t="s">
        <v>40</v>
      </c>
      <c r="B42" s="1" t="s">
        <v>37</v>
      </c>
      <c r="C42" s="20">
        <v>-6.08147027183642E-3</v>
      </c>
      <c r="D42" s="20">
        <v>-9.0969799388821403E-3</v>
      </c>
      <c r="E42" s="21">
        <f t="shared" si="45"/>
        <v>-0.16548532015504958</v>
      </c>
      <c r="F42" s="21">
        <f t="shared" si="45"/>
        <v>-0.24754155990889748</v>
      </c>
      <c r="G42" s="20">
        <v>0.99379910304027697</v>
      </c>
      <c r="H42" s="20">
        <v>-9.4239187576011102E-3</v>
      </c>
      <c r="I42" s="21">
        <f t="shared" si="46"/>
        <v>-0.25643802288058687</v>
      </c>
      <c r="J42" s="20">
        <v>0.99099132003926904</v>
      </c>
      <c r="K42" s="20">
        <v>0.34</v>
      </c>
      <c r="L42" s="20">
        <f t="shared" si="47"/>
        <v>-0.17451467984495045</v>
      </c>
      <c r="M42" s="20">
        <f t="shared" si="48"/>
        <v>-9.2458440091102545E-2</v>
      </c>
      <c r="N42" s="20">
        <f t="shared" si="49"/>
        <v>-8.3561977119413156E-2</v>
      </c>
      <c r="O42" s="23">
        <v>0.28399999999999997</v>
      </c>
      <c r="P42" s="20">
        <f t="shared" si="50"/>
        <v>-0.1185146798449504</v>
      </c>
      <c r="Q42" s="20">
        <f t="shared" si="51"/>
        <v>-3.6458440091102495E-2</v>
      </c>
      <c r="R42" s="20">
        <f t="shared" si="52"/>
        <v>-2.7561977119413106E-2</v>
      </c>
      <c r="S42" s="20">
        <f t="shared" si="53"/>
        <v>0.1185146798449504</v>
      </c>
      <c r="T42" s="20">
        <f t="shared" si="53"/>
        <v>3.6458440091102495E-2</v>
      </c>
      <c r="U42" s="20">
        <f t="shared" si="53"/>
        <v>2.7561977119413106E-2</v>
      </c>
    </row>
    <row r="44" spans="1:21" ht="13.8">
      <c r="A44" s="1" t="s">
        <v>49</v>
      </c>
      <c r="N44" s="14"/>
      <c r="O44" s="14"/>
    </row>
    <row r="45" spans="1:21" ht="13.8">
      <c r="B45" s="1" t="s">
        <v>23</v>
      </c>
      <c r="C45" s="1" t="s">
        <v>24</v>
      </c>
      <c r="D45" s="1" t="s">
        <v>25</v>
      </c>
      <c r="E45" s="18" t="s">
        <v>24</v>
      </c>
      <c r="F45" s="18" t="s">
        <v>25</v>
      </c>
      <c r="G45" s="1" t="s">
        <v>26</v>
      </c>
      <c r="H45" s="19" t="s">
        <v>27</v>
      </c>
      <c r="I45" s="18" t="s">
        <v>27</v>
      </c>
      <c r="J45" s="19" t="s">
        <v>26</v>
      </c>
      <c r="K45" s="1" t="s">
        <v>28</v>
      </c>
      <c r="L45" s="1" t="s">
        <v>29</v>
      </c>
      <c r="M45" s="1" t="s">
        <v>30</v>
      </c>
      <c r="N45" s="1" t="s">
        <v>31</v>
      </c>
      <c r="O45" s="1" t="s">
        <v>32</v>
      </c>
      <c r="P45" s="1" t="s">
        <v>29</v>
      </c>
      <c r="Q45" s="1" t="s">
        <v>30</v>
      </c>
      <c r="R45" s="1" t="s">
        <v>31</v>
      </c>
      <c r="S45" s="1" t="s">
        <v>33</v>
      </c>
      <c r="T45" s="1" t="s">
        <v>34</v>
      </c>
      <c r="U45" s="1" t="s">
        <v>35</v>
      </c>
    </row>
    <row r="46" spans="1:21" ht="13.8">
      <c r="A46" s="1" t="s">
        <v>36</v>
      </c>
      <c r="B46" s="1" t="s">
        <v>37</v>
      </c>
      <c r="C46" s="20">
        <v>1.4062256695112499E-3</v>
      </c>
      <c r="D46" s="20">
        <v>-9.6662664227583905E-3</v>
      </c>
      <c r="E46" s="21">
        <f t="shared" ref="E46:F49" si="54">C46*27.2114</f>
        <v>3.8265369183338428E-2</v>
      </c>
      <c r="F46" s="21">
        <f t="shared" si="54"/>
        <v>-0.26303264213624766</v>
      </c>
      <c r="G46" s="20">
        <v>0.95928509534917905</v>
      </c>
      <c r="H46" s="22">
        <v>-1.01244995868823E-2</v>
      </c>
      <c r="I46" s="21">
        <f t="shared" ref="I46:I49" si="55">H46*27.2114</f>
        <v>-0.27550180805848901</v>
      </c>
      <c r="J46" s="20">
        <v>0.94289902999283304</v>
      </c>
      <c r="K46" s="20">
        <v>0.45200000000000001</v>
      </c>
      <c r="L46" s="20">
        <f t="shared" ref="L46:L49" si="56">-E46-K46</f>
        <v>-0.49026536918333846</v>
      </c>
      <c r="M46" s="20">
        <f t="shared" ref="M46:M49" si="57">-F46-K46</f>
        <v>-0.18896735786375235</v>
      </c>
      <c r="N46" s="20">
        <f t="shared" ref="N46:N49" si="58">-I46-K46</f>
        <v>-0.17649819194151101</v>
      </c>
      <c r="O46" s="23">
        <v>0.27500000000000002</v>
      </c>
      <c r="P46" s="20">
        <f t="shared" ref="P46:P49" si="59">-E46-O46</f>
        <v>-0.31326536918333847</v>
      </c>
      <c r="Q46" s="20">
        <f t="shared" ref="Q46:Q49" si="60">-F46-O46</f>
        <v>-1.1967357863752359E-2</v>
      </c>
      <c r="R46" s="20">
        <f t="shared" ref="R46:R49" si="61">-I46-O46</f>
        <v>5.0180805848898391E-4</v>
      </c>
      <c r="S46" s="20">
        <f t="shared" ref="S46:U49" si="62">ABS(P46)</f>
        <v>0.31326536918333847</v>
      </c>
      <c r="T46" s="20">
        <f t="shared" si="62"/>
        <v>1.1967357863752359E-2</v>
      </c>
      <c r="U46" s="20">
        <f t="shared" si="62"/>
        <v>5.0180805848898391E-4</v>
      </c>
    </row>
    <row r="47" spans="1:21" ht="13.8">
      <c r="A47" s="1" t="s">
        <v>38</v>
      </c>
      <c r="B47" s="1" t="s">
        <v>37</v>
      </c>
      <c r="C47" s="20">
        <v>2.8834217653865902E-3</v>
      </c>
      <c r="D47" s="20">
        <v>-7.8816570478946902E-3</v>
      </c>
      <c r="E47" s="21">
        <f t="shared" si="54"/>
        <v>7.8461943026640668E-2</v>
      </c>
      <c r="F47" s="21">
        <f t="shared" si="54"/>
        <v>-0.21447092259308159</v>
      </c>
      <c r="G47" s="20">
        <v>0.95933884194640895</v>
      </c>
      <c r="H47" s="20">
        <v>-8.2899896846081698E-3</v>
      </c>
      <c r="I47" s="21">
        <f t="shared" si="55"/>
        <v>-0.22558222530374678</v>
      </c>
      <c r="J47" s="20">
        <v>0.94256180065036299</v>
      </c>
      <c r="K47" s="20">
        <v>0.45200000000000001</v>
      </c>
      <c r="L47" s="20">
        <f t="shared" si="56"/>
        <v>-0.53046194302664063</v>
      </c>
      <c r="M47" s="20">
        <f t="shared" si="57"/>
        <v>-0.23752907740691842</v>
      </c>
      <c r="N47" s="20">
        <f t="shared" si="58"/>
        <v>-0.22641777469625324</v>
      </c>
      <c r="O47" s="23">
        <v>0.27500000000000002</v>
      </c>
      <c r="P47" s="20">
        <f t="shared" si="59"/>
        <v>-0.35346194302664069</v>
      </c>
      <c r="Q47" s="20">
        <f t="shared" si="60"/>
        <v>-6.052907740691843E-2</v>
      </c>
      <c r="R47" s="20">
        <f t="shared" si="61"/>
        <v>-4.9417774696253247E-2</v>
      </c>
      <c r="S47" s="20">
        <f t="shared" si="62"/>
        <v>0.35346194302664069</v>
      </c>
      <c r="T47" s="20">
        <f t="shared" si="62"/>
        <v>6.052907740691843E-2</v>
      </c>
      <c r="U47" s="20">
        <f t="shared" si="62"/>
        <v>4.9417774696253247E-2</v>
      </c>
    </row>
    <row r="48" spans="1:21" ht="13.8">
      <c r="A48" s="1" t="s">
        <v>39</v>
      </c>
      <c r="B48" s="1" t="s">
        <v>37</v>
      </c>
      <c r="C48" s="20">
        <v>2.70882321643008E-3</v>
      </c>
      <c r="D48" s="20">
        <v>-8.3072117711700394E-3</v>
      </c>
      <c r="E48" s="21">
        <f t="shared" si="54"/>
        <v>7.3710872071565486E-2</v>
      </c>
      <c r="F48" s="21">
        <f t="shared" si="54"/>
        <v>-0.22605086239001643</v>
      </c>
      <c r="G48" s="20">
        <v>0.95861169287093995</v>
      </c>
      <c r="H48" s="20">
        <v>-8.6959020389245703E-3</v>
      </c>
      <c r="I48" s="21">
        <f t="shared" si="55"/>
        <v>-0.23662766874199206</v>
      </c>
      <c r="J48" s="20">
        <v>0.94168672378824902</v>
      </c>
      <c r="K48" s="20">
        <v>0.45200000000000001</v>
      </c>
      <c r="L48" s="20">
        <f t="shared" si="56"/>
        <v>-0.52571087207156553</v>
      </c>
      <c r="M48" s="20">
        <f t="shared" si="57"/>
        <v>-0.22594913760998359</v>
      </c>
      <c r="N48" s="20">
        <f t="shared" si="58"/>
        <v>-0.21537233125800795</v>
      </c>
      <c r="O48" s="23">
        <v>0.27500000000000002</v>
      </c>
      <c r="P48" s="20">
        <f t="shared" si="59"/>
        <v>-0.34871087207156548</v>
      </c>
      <c r="Q48" s="20">
        <f t="shared" si="60"/>
        <v>-4.8949137609983595E-2</v>
      </c>
      <c r="R48" s="20">
        <f t="shared" si="61"/>
        <v>-3.8372331258007958E-2</v>
      </c>
      <c r="S48" s="20">
        <f t="shared" si="62"/>
        <v>0.34871087207156548</v>
      </c>
      <c r="T48" s="20">
        <f t="shared" si="62"/>
        <v>4.8949137609983595E-2</v>
      </c>
      <c r="U48" s="20">
        <f t="shared" si="62"/>
        <v>3.8372331258007958E-2</v>
      </c>
    </row>
    <row r="49" spans="1:21" ht="13.8">
      <c r="A49" s="1" t="s">
        <v>40</v>
      </c>
      <c r="B49" s="1" t="s">
        <v>37</v>
      </c>
      <c r="C49" s="20">
        <v>2.5401150848713E-3</v>
      </c>
      <c r="D49" s="20">
        <v>-8.1773242365392792E-3</v>
      </c>
      <c r="E49" s="21">
        <f t="shared" si="54"/>
        <v>6.9120087620466897E-2</v>
      </c>
      <c r="F49" s="21">
        <f t="shared" si="54"/>
        <v>-0.22251644073016494</v>
      </c>
      <c r="G49" s="20">
        <v>0.95965831551835201</v>
      </c>
      <c r="H49" s="20">
        <v>-8.5889163038881805E-3</v>
      </c>
      <c r="I49" s="21">
        <f t="shared" si="55"/>
        <v>-0.23371643711162285</v>
      </c>
      <c r="J49" s="20">
        <v>0.94313707214557396</v>
      </c>
      <c r="K49" s="20">
        <v>0.45200000000000001</v>
      </c>
      <c r="L49" s="20">
        <f t="shared" si="56"/>
        <v>-0.52112008762046691</v>
      </c>
      <c r="M49" s="20">
        <f t="shared" si="57"/>
        <v>-0.22948355926983507</v>
      </c>
      <c r="N49" s="20">
        <f t="shared" si="58"/>
        <v>-0.21828356288837716</v>
      </c>
      <c r="O49" s="23">
        <v>0.27500000000000002</v>
      </c>
      <c r="P49" s="20">
        <f t="shared" si="59"/>
        <v>-0.34412008762046692</v>
      </c>
      <c r="Q49" s="20">
        <f t="shared" si="60"/>
        <v>-5.2483559269835084E-2</v>
      </c>
      <c r="R49" s="20">
        <f t="shared" si="61"/>
        <v>-4.1283562888377173E-2</v>
      </c>
      <c r="S49" s="20">
        <f t="shared" si="62"/>
        <v>0.34412008762046692</v>
      </c>
      <c r="T49" s="20">
        <f t="shared" si="62"/>
        <v>5.2483559269835084E-2</v>
      </c>
      <c r="U49" s="20">
        <f t="shared" si="62"/>
        <v>4.1283562888377173E-2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B137-08E8-43F9-B5BB-36E4FE611A66}">
  <sheetPr>
    <outlinePr summaryBelow="0" summaryRight="0"/>
  </sheetPr>
  <dimension ref="A1:I210"/>
  <sheetViews>
    <sheetView workbookViewId="0">
      <selection activeCell="D25" sqref="D25"/>
    </sheetView>
  </sheetViews>
  <sheetFormatPr defaultColWidth="12.6640625" defaultRowHeight="15.75" customHeight="1"/>
  <cols>
    <col min="1" max="1" width="15.6640625" style="2" customWidth="1"/>
    <col min="2" max="4" width="12.6640625" style="2"/>
    <col min="5" max="5" width="16" style="2" customWidth="1"/>
    <col min="6" max="16384" width="12.6640625" style="2"/>
  </cols>
  <sheetData>
    <row r="1" spans="1:8" ht="15.75" customHeight="1">
      <c r="A1" s="16" t="s">
        <v>41</v>
      </c>
      <c r="B1" s="1" t="s">
        <v>50</v>
      </c>
      <c r="C1" s="1" t="s">
        <v>50</v>
      </c>
      <c r="D1" s="1" t="s">
        <v>51</v>
      </c>
      <c r="E1" s="1" t="s">
        <v>52</v>
      </c>
      <c r="G1" s="1" t="s">
        <v>53</v>
      </c>
    </row>
    <row r="2" spans="1:8" ht="15.75" customHeight="1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28</v>
      </c>
      <c r="H2" s="1" t="s">
        <v>59</v>
      </c>
    </row>
    <row r="3" spans="1:8" ht="15.75" customHeight="1">
      <c r="A3" s="1" t="s">
        <v>60</v>
      </c>
      <c r="B3" s="27">
        <v>-79.267834129999997</v>
      </c>
      <c r="C3" s="27">
        <v>-79.266907849999996</v>
      </c>
      <c r="D3" s="28">
        <f t="shared" ref="D3:D8" si="0">(B3-C3)*27.2114</f>
        <v>-2.520537559204385E-2</v>
      </c>
      <c r="E3" s="27">
        <v>5.2319999999999998E-2</v>
      </c>
      <c r="F3" s="14">
        <f t="shared" ref="F3:F8" si="1">D3-E3</f>
        <v>-7.7525375592043852E-2</v>
      </c>
      <c r="G3" s="27">
        <v>1.8970000000000001E-2</v>
      </c>
      <c r="H3" s="14">
        <f t="shared" ref="H3:H8" si="2">D3-G3</f>
        <v>-4.4175375592043847E-2</v>
      </c>
    </row>
    <row r="4" spans="1:8" ht="15.75" customHeight="1">
      <c r="A4" s="1" t="s">
        <v>61</v>
      </c>
      <c r="B4" s="27">
        <v>-79.264650130000007</v>
      </c>
      <c r="C4" s="27">
        <v>-79.265499000000005</v>
      </c>
      <c r="D4" s="28">
        <f t="shared" si="0"/>
        <v>2.3098941117963789E-2</v>
      </c>
      <c r="E4" s="27">
        <v>5.2319999999999998E-2</v>
      </c>
      <c r="F4" s="14">
        <f t="shared" si="1"/>
        <v>-2.9221058882036209E-2</v>
      </c>
      <c r="G4" s="27">
        <v>1.8970000000000001E-2</v>
      </c>
      <c r="H4" s="14">
        <f t="shared" si="2"/>
        <v>4.1289411179637886E-3</v>
      </c>
    </row>
    <row r="5" spans="1:8" ht="15.75" customHeight="1">
      <c r="A5" s="1" t="s">
        <v>62</v>
      </c>
      <c r="B5" s="27">
        <v>-79.258533259999993</v>
      </c>
      <c r="C5" s="27">
        <v>-79.259320459999998</v>
      </c>
      <c r="D5" s="28">
        <f t="shared" si="0"/>
        <v>2.1420814080132598E-2</v>
      </c>
      <c r="E5" s="27">
        <v>5.2319999999999998E-2</v>
      </c>
      <c r="F5" s="14">
        <f t="shared" si="1"/>
        <v>-3.08991859198674E-2</v>
      </c>
      <c r="G5" s="27">
        <v>1.8970000000000001E-2</v>
      </c>
      <c r="H5" s="14">
        <f t="shared" si="2"/>
        <v>2.4508140801325975E-3</v>
      </c>
    </row>
    <row r="6" spans="1:8" ht="15.75" customHeight="1">
      <c r="A6" s="1" t="s">
        <v>40</v>
      </c>
      <c r="B6" s="27">
        <v>-79.264372080000001</v>
      </c>
      <c r="C6" s="27">
        <v>-79.265344569999996</v>
      </c>
      <c r="D6" s="28">
        <f t="shared" si="0"/>
        <v>2.6462814385869893E-2</v>
      </c>
      <c r="E6" s="27">
        <v>5.2319999999999998E-2</v>
      </c>
      <c r="F6" s="14">
        <f t="shared" si="1"/>
        <v>-2.5857185614130106E-2</v>
      </c>
      <c r="G6" s="27">
        <v>1.8970000000000001E-2</v>
      </c>
      <c r="H6" s="14">
        <f t="shared" si="2"/>
        <v>7.492814385869892E-3</v>
      </c>
    </row>
    <row r="7" spans="1:8" ht="15.75" customHeight="1">
      <c r="A7" s="1" t="s">
        <v>63</v>
      </c>
      <c r="B7" s="27">
        <v>-79.265021379999993</v>
      </c>
      <c r="C7" s="27">
        <v>-79.265946779999993</v>
      </c>
      <c r="D7" s="28">
        <f t="shared" si="0"/>
        <v>2.518142955999603E-2</v>
      </c>
      <c r="E7" s="27">
        <v>5.2319999999999998E-2</v>
      </c>
      <c r="F7" s="14">
        <f t="shared" si="1"/>
        <v>-2.7138570440003968E-2</v>
      </c>
      <c r="G7" s="27">
        <v>1.8970000000000001E-2</v>
      </c>
      <c r="H7" s="14">
        <f t="shared" si="2"/>
        <v>6.2114295599960297E-3</v>
      </c>
    </row>
    <row r="8" spans="1:8" ht="15.75" customHeight="1">
      <c r="A8" s="1" t="s">
        <v>64</v>
      </c>
      <c r="B8" s="27">
        <v>-79.265592560000002</v>
      </c>
      <c r="C8" s="27">
        <v>-79.266411919999996</v>
      </c>
      <c r="D8" s="28">
        <f t="shared" si="0"/>
        <v>2.2295932703841156E-2</v>
      </c>
      <c r="E8" s="27">
        <v>5.2319999999999998E-2</v>
      </c>
      <c r="F8" s="14">
        <f t="shared" si="1"/>
        <v>-3.0024067296158842E-2</v>
      </c>
      <c r="G8" s="27">
        <v>1.8970000000000001E-2</v>
      </c>
      <c r="H8" s="14">
        <f t="shared" si="2"/>
        <v>3.3259327038411557E-3</v>
      </c>
    </row>
    <row r="10" spans="1:8" ht="15.75" customHeight="1">
      <c r="A10" s="16" t="s">
        <v>65</v>
      </c>
      <c r="B10" s="1" t="s">
        <v>50</v>
      </c>
      <c r="C10" s="1" t="s">
        <v>50</v>
      </c>
      <c r="D10" s="1" t="s">
        <v>51</v>
      </c>
      <c r="E10" s="1" t="s">
        <v>52</v>
      </c>
      <c r="G10" s="1" t="s">
        <v>53</v>
      </c>
    </row>
    <row r="11" spans="1:8" ht="15.75" customHeight="1">
      <c r="A11" s="1" t="s">
        <v>54</v>
      </c>
      <c r="B11" s="1" t="s">
        <v>66</v>
      </c>
      <c r="C11" s="1" t="s">
        <v>67</v>
      </c>
      <c r="D11" s="1" t="s">
        <v>57</v>
      </c>
      <c r="E11" s="1" t="s">
        <v>58</v>
      </c>
      <c r="F11" s="1" t="s">
        <v>59</v>
      </c>
      <c r="G11" s="1" t="s">
        <v>28</v>
      </c>
      <c r="H11" s="1" t="s">
        <v>59</v>
      </c>
    </row>
    <row r="12" spans="1:8" ht="15.75" customHeight="1">
      <c r="A12" s="1" t="s">
        <v>60</v>
      </c>
      <c r="B12" s="27">
        <v>-75.782463079999999</v>
      </c>
      <c r="C12" s="27">
        <v>-75.779630560000001</v>
      </c>
      <c r="D12" s="28">
        <f t="shared" ref="D12:D17" si="3">(C12-B12)*27.2114</f>
        <v>7.7076834727954818E-2</v>
      </c>
      <c r="E12" s="27">
        <v>0.1215</v>
      </c>
      <c r="F12" s="14">
        <f t="shared" ref="F12:F17" si="4">D12-E12</f>
        <v>-4.4423165272045179E-2</v>
      </c>
      <c r="G12" s="27">
        <v>8.8770000000000002E-2</v>
      </c>
      <c r="H12" s="14">
        <f t="shared" ref="H12:H17" si="5">D12-G12</f>
        <v>-1.1693165272045183E-2</v>
      </c>
    </row>
    <row r="13" spans="1:8" ht="15.75" customHeight="1">
      <c r="A13" s="1" t="s">
        <v>61</v>
      </c>
      <c r="B13" s="27">
        <v>-75.781092830000006</v>
      </c>
      <c r="C13" s="27">
        <v>-75.777852890000005</v>
      </c>
      <c r="D13" s="28">
        <f t="shared" si="3"/>
        <v>8.8163303316007469E-2</v>
      </c>
      <c r="E13" s="27">
        <v>0.1215</v>
      </c>
      <c r="F13" s="14">
        <f t="shared" si="4"/>
        <v>-3.3336696683992528E-2</v>
      </c>
      <c r="G13" s="27">
        <v>8.8770000000000002E-2</v>
      </c>
      <c r="H13" s="14">
        <f t="shared" si="5"/>
        <v>-6.0669668399253307E-4</v>
      </c>
    </row>
    <row r="14" spans="1:8" ht="15.75" customHeight="1">
      <c r="A14" s="1" t="s">
        <v>62</v>
      </c>
      <c r="B14" s="27">
        <v>-75.700487210000006</v>
      </c>
      <c r="C14" s="27">
        <v>-75.77156162</v>
      </c>
      <c r="D14" s="28">
        <f t="shared" si="3"/>
        <v>-1.9340342002738438</v>
      </c>
      <c r="E14" s="27">
        <v>0.1215</v>
      </c>
      <c r="F14" s="14">
        <f t="shared" si="4"/>
        <v>-2.0555342002738439</v>
      </c>
      <c r="G14" s="27">
        <v>8.8770000000000002E-2</v>
      </c>
      <c r="H14" s="14">
        <f t="shared" si="5"/>
        <v>-2.0228042002738436</v>
      </c>
    </row>
    <row r="15" spans="1:8" ht="15.75" customHeight="1">
      <c r="A15" s="1" t="s">
        <v>40</v>
      </c>
      <c r="B15" s="27">
        <v>-75.706471910000005</v>
      </c>
      <c r="C15" s="27">
        <v>-75.778401470000006</v>
      </c>
      <c r="D15" s="28">
        <f t="shared" si="3"/>
        <v>-1.9573040289840258</v>
      </c>
      <c r="E15" s="27">
        <v>0.1215</v>
      </c>
      <c r="F15" s="14">
        <f t="shared" si="4"/>
        <v>-2.0788040289840257</v>
      </c>
      <c r="G15" s="27">
        <v>8.8770000000000002E-2</v>
      </c>
      <c r="H15" s="14">
        <f t="shared" si="5"/>
        <v>-2.0460740289840258</v>
      </c>
    </row>
    <row r="16" spans="1:8" ht="15.75" customHeight="1">
      <c r="A16" s="1" t="s">
        <v>63</v>
      </c>
      <c r="B16" s="27">
        <v>-75.781582659999998</v>
      </c>
      <c r="C16" s="27">
        <v>-75.778345610000002</v>
      </c>
      <c r="D16" s="28">
        <f t="shared" si="3"/>
        <v>8.8084662369881189E-2</v>
      </c>
      <c r="E16" s="27">
        <v>0.1215</v>
      </c>
      <c r="F16" s="14">
        <f t="shared" si="4"/>
        <v>-3.3415337630118808E-2</v>
      </c>
      <c r="G16" s="27">
        <v>8.8770000000000002E-2</v>
      </c>
      <c r="H16" s="14">
        <f t="shared" si="5"/>
        <v>-6.8533763011881244E-4</v>
      </c>
    </row>
    <row r="17" spans="1:8" ht="15.75" customHeight="1">
      <c r="A17" s="1" t="s">
        <v>64</v>
      </c>
      <c r="B17" s="27">
        <v>-75.782001609999995</v>
      </c>
      <c r="C17" s="27">
        <v>-75.778865019999998</v>
      </c>
      <c r="D17" s="28">
        <f t="shared" si="3"/>
        <v>8.5351005125915272E-2</v>
      </c>
      <c r="E17" s="27">
        <v>0.1215</v>
      </c>
      <c r="F17" s="14">
        <f t="shared" si="4"/>
        <v>-3.6148994874084725E-2</v>
      </c>
      <c r="G17" s="27">
        <v>8.8770000000000002E-2</v>
      </c>
      <c r="H17" s="14">
        <f t="shared" si="5"/>
        <v>-3.4189948740847298E-3</v>
      </c>
    </row>
    <row r="19" spans="1:8" ht="15.75" customHeight="1">
      <c r="A19" s="16" t="s">
        <v>68</v>
      </c>
      <c r="B19" s="1" t="s">
        <v>50</v>
      </c>
      <c r="C19" s="1" t="s">
        <v>50</v>
      </c>
      <c r="D19" s="1" t="s">
        <v>51</v>
      </c>
      <c r="E19" s="1" t="s">
        <v>52</v>
      </c>
      <c r="G19" s="1" t="s">
        <v>53</v>
      </c>
    </row>
    <row r="20" spans="1:8" ht="15.75" customHeight="1">
      <c r="A20" s="1" t="s">
        <v>54</v>
      </c>
      <c r="B20" s="1" t="s">
        <v>55</v>
      </c>
      <c r="C20" s="1" t="s">
        <v>56</v>
      </c>
      <c r="D20" s="1" t="s">
        <v>57</v>
      </c>
      <c r="E20" s="1" t="s">
        <v>69</v>
      </c>
      <c r="F20" s="1" t="s">
        <v>59</v>
      </c>
      <c r="G20" s="1" t="s">
        <v>28</v>
      </c>
      <c r="H20" s="1" t="s">
        <v>59</v>
      </c>
    </row>
    <row r="21" spans="1:8" ht="15.75" customHeight="1">
      <c r="A21" s="1" t="s">
        <v>60</v>
      </c>
      <c r="B21" s="27">
        <v>-39.06029839</v>
      </c>
      <c r="C21" s="27">
        <v>-39.077096930000003</v>
      </c>
      <c r="D21" s="28">
        <f t="shared" ref="D21:D26" si="6">(B21-C21)*27.2114</f>
        <v>0.45711179135609442</v>
      </c>
      <c r="E21" s="27">
        <f t="shared" ref="E21:E26" si="7">(10.18/627.5)*27.2114</f>
        <v>0.44145346932270918</v>
      </c>
      <c r="F21" s="14">
        <f t="shared" ref="F21:F26" si="8">D21-E21</f>
        <v>1.5658322033385241E-2</v>
      </c>
      <c r="G21" s="27">
        <f t="shared" ref="G21:G26" si="9">(8.99/627.5)*27.2114</f>
        <v>0.38984938007968128</v>
      </c>
      <c r="H21" s="14">
        <f t="shared" ref="H21:H26" si="10">D21-G21</f>
        <v>6.7262411276413137E-2</v>
      </c>
    </row>
    <row r="22" spans="1:8" ht="15.75" customHeight="1">
      <c r="A22" s="1" t="s">
        <v>61</v>
      </c>
      <c r="B22" s="27">
        <v>-39.05944993</v>
      </c>
      <c r="C22" s="27">
        <v>-39.07626192</v>
      </c>
      <c r="D22" s="28">
        <f t="shared" si="6"/>
        <v>0.45747778468602113</v>
      </c>
      <c r="E22" s="27">
        <f t="shared" si="7"/>
        <v>0.44145346932270918</v>
      </c>
      <c r="F22" s="14">
        <f t="shared" si="8"/>
        <v>1.6024315363311947E-2</v>
      </c>
      <c r="G22" s="27">
        <f t="shared" si="9"/>
        <v>0.38984938007968128</v>
      </c>
      <c r="H22" s="14">
        <f t="shared" si="10"/>
        <v>6.7628404606339843E-2</v>
      </c>
    </row>
    <row r="23" spans="1:8" ht="15.75" customHeight="1">
      <c r="A23" s="1" t="s">
        <v>62</v>
      </c>
      <c r="B23" s="27">
        <v>-39.056284429999998</v>
      </c>
      <c r="C23" s="27">
        <v>-39.073186550000003</v>
      </c>
      <c r="D23" s="28">
        <f t="shared" si="6"/>
        <v>0.45993034816812445</v>
      </c>
      <c r="E23" s="27">
        <f t="shared" si="7"/>
        <v>0.44145346932270918</v>
      </c>
      <c r="F23" s="14">
        <f t="shared" si="8"/>
        <v>1.8476878845415268E-2</v>
      </c>
      <c r="G23" s="27">
        <f t="shared" si="9"/>
        <v>0.38984938007968128</v>
      </c>
      <c r="H23" s="14">
        <f t="shared" si="10"/>
        <v>7.0080968088443163E-2</v>
      </c>
    </row>
    <row r="24" spans="1:8" ht="15.75" customHeight="1">
      <c r="A24" s="1" t="s">
        <v>40</v>
      </c>
      <c r="B24" s="27">
        <v>-39.05935479</v>
      </c>
      <c r="C24" s="27">
        <v>-39.076171629999997</v>
      </c>
      <c r="D24" s="28">
        <f t="shared" si="6"/>
        <v>0.45760975997591996</v>
      </c>
      <c r="E24" s="27">
        <f t="shared" si="7"/>
        <v>0.44145346932270918</v>
      </c>
      <c r="F24" s="14">
        <f t="shared" si="8"/>
        <v>1.6156290653210781E-2</v>
      </c>
      <c r="G24" s="27">
        <f t="shared" si="9"/>
        <v>0.38984938007968128</v>
      </c>
      <c r="H24" s="14">
        <f t="shared" si="10"/>
        <v>6.7760379896238676E-2</v>
      </c>
    </row>
    <row r="25" spans="1:8" ht="15.75" customHeight="1">
      <c r="A25" s="1" t="s">
        <v>63</v>
      </c>
      <c r="B25" s="27">
        <v>-39.059677700000002</v>
      </c>
      <c r="C25" s="27">
        <v>-39.076497910000001</v>
      </c>
      <c r="D25" s="28">
        <f t="shared" si="6"/>
        <v>0.45770146239396686</v>
      </c>
      <c r="E25" s="27">
        <f t="shared" si="7"/>
        <v>0.44145346932270918</v>
      </c>
      <c r="F25" s="14">
        <f t="shared" si="8"/>
        <v>1.6247993071257683E-2</v>
      </c>
      <c r="G25" s="27">
        <f t="shared" si="9"/>
        <v>0.38984938007968128</v>
      </c>
      <c r="H25" s="14">
        <f t="shared" si="10"/>
        <v>6.7852082314285578E-2</v>
      </c>
    </row>
    <row r="26" spans="1:8" ht="15.75" customHeight="1">
      <c r="A26" s="1" t="s">
        <v>64</v>
      </c>
      <c r="B26" s="27">
        <v>-39.059942399999997</v>
      </c>
      <c r="C26" s="27">
        <v>-39.076753189999998</v>
      </c>
      <c r="D26" s="28">
        <f t="shared" si="6"/>
        <v>0.45744513100602624</v>
      </c>
      <c r="E26" s="27">
        <f t="shared" si="7"/>
        <v>0.44145346932270918</v>
      </c>
      <c r="F26" s="14">
        <f t="shared" si="8"/>
        <v>1.599166168331706E-2</v>
      </c>
      <c r="G26" s="27">
        <f t="shared" si="9"/>
        <v>0.38984938007968128</v>
      </c>
      <c r="H26" s="14">
        <f t="shared" si="10"/>
        <v>6.7595750926344955E-2</v>
      </c>
    </row>
    <row r="28" spans="1:8" ht="15.75" customHeight="1">
      <c r="A28" s="16" t="s">
        <v>70</v>
      </c>
      <c r="B28" s="1" t="s">
        <v>50</v>
      </c>
      <c r="C28" s="1" t="s">
        <v>50</v>
      </c>
      <c r="D28" s="1" t="s">
        <v>51</v>
      </c>
      <c r="E28" s="1" t="s">
        <v>52</v>
      </c>
      <c r="G28" s="1" t="s">
        <v>53</v>
      </c>
    </row>
    <row r="29" spans="1:8" ht="15.75" customHeight="1">
      <c r="A29" s="1" t="s">
        <v>54</v>
      </c>
      <c r="B29" s="1" t="s">
        <v>55</v>
      </c>
      <c r="C29" s="1" t="s">
        <v>56</v>
      </c>
      <c r="D29" s="1" t="s">
        <v>57</v>
      </c>
      <c r="E29" s="1" t="s">
        <v>71</v>
      </c>
      <c r="F29" s="1" t="s">
        <v>59</v>
      </c>
      <c r="G29" s="1" t="s">
        <v>28</v>
      </c>
      <c r="H29" s="1" t="s">
        <v>59</v>
      </c>
    </row>
    <row r="30" spans="1:8" ht="15.75" customHeight="1">
      <c r="A30" s="1" t="s">
        <v>60</v>
      </c>
      <c r="B30" s="27">
        <v>-154.18236927000001</v>
      </c>
      <c r="C30" s="27">
        <v>-154.24906666000001</v>
      </c>
      <c r="D30" s="28">
        <f t="shared" ref="D30:D35" si="11">(B30-C30)*27.2114</f>
        <v>1.8149293582460444</v>
      </c>
      <c r="E30" s="27">
        <v>1.53121</v>
      </c>
      <c r="F30" s="14">
        <f t="shared" ref="F30:F35" si="12">D30-E30</f>
        <v>0.28371935824604444</v>
      </c>
      <c r="G30" s="27">
        <v>1.4177599999999999</v>
      </c>
      <c r="H30" s="14">
        <f t="shared" ref="H30:H35" si="13">D30-G30</f>
        <v>0.39716935824604449</v>
      </c>
    </row>
    <row r="31" spans="1:8" ht="15.75" customHeight="1">
      <c r="A31" s="1" t="s">
        <v>61</v>
      </c>
      <c r="B31" s="27">
        <v>-154.18137565999999</v>
      </c>
      <c r="C31" s="27">
        <v>-154.24801237</v>
      </c>
      <c r="D31" s="28">
        <f t="shared" si="11"/>
        <v>1.8132781704943155</v>
      </c>
      <c r="E31" s="27">
        <v>1.53121</v>
      </c>
      <c r="F31" s="14">
        <f t="shared" si="12"/>
        <v>0.28206817049431554</v>
      </c>
      <c r="G31" s="27">
        <v>1.4177599999999999</v>
      </c>
      <c r="H31" s="14">
        <f t="shared" si="13"/>
        <v>0.39551817049431559</v>
      </c>
    </row>
    <row r="32" spans="1:8" ht="15.75" customHeight="1">
      <c r="A32" s="1" t="s">
        <v>62</v>
      </c>
      <c r="B32" s="27">
        <v>-154.17544050000001</v>
      </c>
      <c r="C32" s="27">
        <v>-154.2419745</v>
      </c>
      <c r="D32" s="28">
        <f t="shared" si="11"/>
        <v>1.8104832875997308</v>
      </c>
      <c r="E32" s="27">
        <v>1.53121</v>
      </c>
      <c r="F32" s="14">
        <f t="shared" si="12"/>
        <v>0.2792732875997308</v>
      </c>
      <c r="G32" s="27">
        <v>1.4177599999999999</v>
      </c>
      <c r="H32" s="14">
        <f t="shared" si="13"/>
        <v>0.39272328759973085</v>
      </c>
    </row>
    <row r="33" spans="1:8" ht="15.75" customHeight="1">
      <c r="A33" s="1" t="s">
        <v>40</v>
      </c>
      <c r="B33" s="27">
        <v>-154.18164959999999</v>
      </c>
      <c r="C33" s="27">
        <v>-154.24815219999999</v>
      </c>
      <c r="D33" s="28">
        <f t="shared" si="11"/>
        <v>1.8096288496401864</v>
      </c>
      <c r="E33" s="27">
        <v>1.53121</v>
      </c>
      <c r="F33" s="14">
        <f t="shared" si="12"/>
        <v>0.27841884964018648</v>
      </c>
      <c r="G33" s="27">
        <v>1.4177599999999999</v>
      </c>
      <c r="H33" s="14">
        <f t="shared" si="13"/>
        <v>0.39186884964018653</v>
      </c>
    </row>
    <row r="34" spans="1:8" ht="15.75" customHeight="1">
      <c r="A34" s="1" t="s">
        <v>63</v>
      </c>
      <c r="B34" s="27">
        <v>-154.18177840000001</v>
      </c>
      <c r="C34" s="27">
        <v>-154.24830309999999</v>
      </c>
      <c r="D34" s="28">
        <f t="shared" si="11"/>
        <v>1.8102302215792869</v>
      </c>
      <c r="E34" s="27">
        <v>1.53121</v>
      </c>
      <c r="F34" s="14">
        <f t="shared" si="12"/>
        <v>0.27902022157928696</v>
      </c>
      <c r="G34" s="27">
        <v>1.4177599999999999</v>
      </c>
      <c r="H34" s="14">
        <f t="shared" si="13"/>
        <v>0.39247022157928702</v>
      </c>
    </row>
    <row r="35" spans="1:8" ht="15.75" customHeight="1">
      <c r="A35" s="1" t="s">
        <v>64</v>
      </c>
      <c r="B35" s="27">
        <v>-154.18206169999999</v>
      </c>
      <c r="C35" s="27">
        <v>-154.2486553</v>
      </c>
      <c r="D35" s="28">
        <f t="shared" si="11"/>
        <v>1.8121050870401219</v>
      </c>
      <c r="E35" s="27">
        <v>1.53121</v>
      </c>
      <c r="F35" s="14">
        <f t="shared" si="12"/>
        <v>0.28089508704012189</v>
      </c>
      <c r="G35" s="27">
        <v>1.4177599999999999</v>
      </c>
      <c r="H35" s="14">
        <f t="shared" si="13"/>
        <v>0.39434508704012194</v>
      </c>
    </row>
    <row r="37" spans="1:8" ht="15.75" customHeight="1">
      <c r="A37" s="16" t="s">
        <v>72</v>
      </c>
      <c r="B37" s="1" t="s">
        <v>50</v>
      </c>
      <c r="C37" s="1" t="s">
        <v>50</v>
      </c>
      <c r="D37" s="1" t="s">
        <v>51</v>
      </c>
      <c r="E37" s="1" t="s">
        <v>52</v>
      </c>
      <c r="G37" s="1" t="s">
        <v>53</v>
      </c>
    </row>
    <row r="38" spans="1:8" ht="15.75" customHeight="1">
      <c r="A38" s="1" t="s">
        <v>54</v>
      </c>
      <c r="B38" s="1" t="s">
        <v>66</v>
      </c>
      <c r="C38" s="1" t="s">
        <v>73</v>
      </c>
      <c r="D38" s="1" t="s">
        <v>57</v>
      </c>
      <c r="E38" s="1" t="s">
        <v>74</v>
      </c>
      <c r="F38" s="1" t="s">
        <v>59</v>
      </c>
      <c r="G38" s="1" t="s">
        <v>75</v>
      </c>
      <c r="H38" s="1" t="s">
        <v>59</v>
      </c>
    </row>
    <row r="39" spans="1:8" ht="15.75" customHeight="1">
      <c r="A39" s="1" t="s">
        <v>60</v>
      </c>
      <c r="B39" s="27">
        <v>-99.394874360000003</v>
      </c>
      <c r="C39" s="27">
        <v>-99.375656840000005</v>
      </c>
      <c r="D39" s="28">
        <f t="shared" ref="D39:D44" si="14">(C39-B39)*27.2114</f>
        <v>0.52293562372794533</v>
      </c>
      <c r="E39" s="27">
        <v>0.54447690000000004</v>
      </c>
      <c r="F39" s="14">
        <f t="shared" ref="F39:F44" si="15">D39-E39</f>
        <v>-2.154127627205471E-2</v>
      </c>
      <c r="G39" s="27"/>
      <c r="H39" s="14">
        <f t="shared" ref="H39:H44" si="16">D39-G39</f>
        <v>0.52293562372794533</v>
      </c>
    </row>
    <row r="40" spans="1:8" ht="15.75" customHeight="1">
      <c r="A40" s="1" t="s">
        <v>61</v>
      </c>
      <c r="B40" s="27">
        <v>-99.393882739999995</v>
      </c>
      <c r="C40" s="27">
        <v>-99.374143250000003</v>
      </c>
      <c r="D40" s="28">
        <f t="shared" si="14"/>
        <v>0.53713915818578473</v>
      </c>
      <c r="E40" s="27">
        <v>0.54447690000000004</v>
      </c>
      <c r="F40" s="14">
        <f t="shared" si="15"/>
        <v>-7.337741814215315E-3</v>
      </c>
      <c r="G40" s="27"/>
      <c r="H40" s="14">
        <f t="shared" si="16"/>
        <v>0.53713915818578473</v>
      </c>
    </row>
    <row r="41" spans="1:8" ht="15.75" customHeight="1">
      <c r="A41" s="1" t="s">
        <v>62</v>
      </c>
      <c r="B41" s="27">
        <v>-99.388125729999999</v>
      </c>
      <c r="C41" s="27">
        <v>-99.368074820000004</v>
      </c>
      <c r="D41" s="28">
        <f t="shared" si="14"/>
        <v>0.54561333237385889</v>
      </c>
      <c r="E41" s="27">
        <v>0.54447690000000004</v>
      </c>
      <c r="F41" s="14">
        <f t="shared" si="15"/>
        <v>1.1364323738588533E-3</v>
      </c>
      <c r="G41" s="27"/>
      <c r="H41" s="14">
        <f t="shared" si="16"/>
        <v>0.54561333237385889</v>
      </c>
    </row>
    <row r="42" spans="1:8" ht="15.75" customHeight="1">
      <c r="A42" s="1" t="s">
        <v>40</v>
      </c>
      <c r="B42" s="27">
        <v>-99.394016260000001</v>
      </c>
      <c r="C42" s="27">
        <v>-99.374023960000002</v>
      </c>
      <c r="D42" s="28">
        <f t="shared" si="14"/>
        <v>0.54401847221995669</v>
      </c>
      <c r="E42" s="27">
        <v>0.54447690000000004</v>
      </c>
      <c r="F42" s="14">
        <f t="shared" si="15"/>
        <v>-4.5842778004334672E-4</v>
      </c>
      <c r="G42" s="27"/>
      <c r="H42" s="14">
        <f t="shared" si="16"/>
        <v>0.54401847221995669</v>
      </c>
    </row>
    <row r="43" spans="1:8" ht="15.75" customHeight="1">
      <c r="A43" s="1" t="s">
        <v>63</v>
      </c>
      <c r="B43" s="27">
        <v>-99.394377399999996</v>
      </c>
      <c r="C43" s="27">
        <v>-99.374556819999995</v>
      </c>
      <c r="D43" s="28">
        <f t="shared" si="14"/>
        <v>0.53934573061202962</v>
      </c>
      <c r="E43" s="27">
        <v>0.54447690000000004</v>
      </c>
      <c r="F43" s="14">
        <f t="shared" si="15"/>
        <v>-5.1311693879704245E-3</v>
      </c>
      <c r="G43" s="27"/>
      <c r="H43" s="14">
        <f t="shared" si="16"/>
        <v>0.53934573061202962</v>
      </c>
    </row>
    <row r="44" spans="1:8" ht="15.75" customHeight="1">
      <c r="A44" s="1" t="s">
        <v>64</v>
      </c>
      <c r="B44" s="27">
        <v>-99.394502849999995</v>
      </c>
      <c r="C44" s="27">
        <v>-99.374995620000007</v>
      </c>
      <c r="D44" s="28">
        <f t="shared" si="14"/>
        <v>0.53081903842167033</v>
      </c>
      <c r="E44" s="27">
        <v>0.54447690000000004</v>
      </c>
      <c r="F44" s="14">
        <f t="shared" si="15"/>
        <v>-1.3657861578329711E-2</v>
      </c>
      <c r="G44" s="27"/>
      <c r="H44" s="14">
        <f t="shared" si="16"/>
        <v>0.53081903842167033</v>
      </c>
    </row>
    <row r="46" spans="1:8" ht="15.75" customHeight="1">
      <c r="A46" s="16" t="s">
        <v>76</v>
      </c>
      <c r="B46" s="1" t="s">
        <v>50</v>
      </c>
      <c r="C46" s="1" t="s">
        <v>50</v>
      </c>
      <c r="D46" s="1" t="s">
        <v>51</v>
      </c>
      <c r="E46" s="1" t="s">
        <v>52</v>
      </c>
      <c r="G46" s="1" t="s">
        <v>53</v>
      </c>
    </row>
    <row r="47" spans="1:8" ht="15.75" customHeight="1">
      <c r="A47" s="1" t="s">
        <v>54</v>
      </c>
      <c r="B47" s="1" t="s">
        <v>66</v>
      </c>
      <c r="C47" s="1" t="s">
        <v>73</v>
      </c>
      <c r="D47" s="1" t="s">
        <v>57</v>
      </c>
      <c r="E47" s="1" t="s">
        <v>74</v>
      </c>
      <c r="F47" s="1" t="s">
        <v>59</v>
      </c>
      <c r="G47" s="1" t="s">
        <v>75</v>
      </c>
      <c r="H47" s="1" t="s">
        <v>59</v>
      </c>
    </row>
    <row r="48" spans="1:8" ht="15.75" customHeight="1">
      <c r="A48" s="1" t="s">
        <v>60</v>
      </c>
      <c r="B48" s="27">
        <v>-92.063543589999995</v>
      </c>
      <c r="C48" s="27">
        <v>-92.055277450000006</v>
      </c>
      <c r="D48" s="28">
        <f t="shared" ref="D48:D53" si="17">(C48-B48)*27.2114</f>
        <v>0.22493324199570786</v>
      </c>
      <c r="E48" s="27">
        <v>9.9026199999999995E-2</v>
      </c>
      <c r="F48" s="14">
        <f t="shared" ref="F48:F53" si="18">D48-E48</f>
        <v>0.12590704199570785</v>
      </c>
      <c r="G48" s="27"/>
      <c r="H48" s="14">
        <f t="shared" ref="H48:H53" si="19">D48-G48</f>
        <v>0.22493324199570786</v>
      </c>
    </row>
    <row r="49" spans="1:8" ht="15.75" customHeight="1">
      <c r="A49" s="1" t="s">
        <v>61</v>
      </c>
      <c r="B49" s="27">
        <v>-92.060705490000004</v>
      </c>
      <c r="C49" s="27">
        <v>-92.055502259999997</v>
      </c>
      <c r="D49" s="28">
        <f t="shared" si="17"/>
        <v>0.14158717282217531</v>
      </c>
      <c r="E49" s="27">
        <v>9.9026199999999995E-2</v>
      </c>
      <c r="F49" s="14">
        <f t="shared" si="18"/>
        <v>4.2560972822175316E-2</v>
      </c>
      <c r="G49" s="27"/>
      <c r="H49" s="14">
        <f t="shared" si="19"/>
        <v>0.14158717282217531</v>
      </c>
    </row>
    <row r="50" spans="1:8" ht="15.75" customHeight="1">
      <c r="A50" s="1" t="s">
        <v>62</v>
      </c>
      <c r="B50" s="27">
        <v>-92.054468249999999</v>
      </c>
      <c r="C50" s="27">
        <v>-92.049194709999995</v>
      </c>
      <c r="D50" s="28">
        <f t="shared" si="17"/>
        <v>0.14350040635612443</v>
      </c>
      <c r="E50" s="27">
        <v>9.9026199999999995E-2</v>
      </c>
      <c r="F50" s="14">
        <f t="shared" si="18"/>
        <v>4.4474206356124438E-2</v>
      </c>
      <c r="G50" s="27"/>
      <c r="H50" s="14">
        <f t="shared" si="19"/>
        <v>0.14350040635612443</v>
      </c>
    </row>
    <row r="51" spans="1:8" ht="15.75" customHeight="1">
      <c r="A51" s="1" t="s">
        <v>40</v>
      </c>
      <c r="B51" s="27">
        <v>-92.060514389999994</v>
      </c>
      <c r="C51" s="27">
        <v>-92.055385869999995</v>
      </c>
      <c r="D51" s="28">
        <f t="shared" si="17"/>
        <v>0.13955420912798711</v>
      </c>
      <c r="E51" s="27">
        <v>9.9026199999999995E-2</v>
      </c>
      <c r="F51" s="14">
        <f t="shared" si="18"/>
        <v>4.0528009127987111E-2</v>
      </c>
      <c r="G51" s="27"/>
      <c r="H51" s="14">
        <f t="shared" si="19"/>
        <v>0.13955420912798711</v>
      </c>
    </row>
    <row r="52" spans="1:8" ht="15.75" customHeight="1">
      <c r="A52" s="1" t="s">
        <v>63</v>
      </c>
      <c r="B52" s="27">
        <v>-92.061112499999993</v>
      </c>
      <c r="C52" s="27">
        <v>-92.055828059999996</v>
      </c>
      <c r="D52" s="28">
        <f t="shared" si="17"/>
        <v>0.14379701061591696</v>
      </c>
      <c r="E52" s="27">
        <v>9.9026199999999995E-2</v>
      </c>
      <c r="F52" s="14">
        <f t="shared" si="18"/>
        <v>4.4770810615916964E-2</v>
      </c>
      <c r="G52" s="27"/>
      <c r="H52" s="14">
        <f t="shared" si="19"/>
        <v>0.14379701061591696</v>
      </c>
    </row>
    <row r="53" spans="1:8" ht="15.75" customHeight="1">
      <c r="A53" s="1" t="s">
        <v>64</v>
      </c>
      <c r="B53" s="27">
        <v>-92.061616619999995</v>
      </c>
      <c r="C53" s="27">
        <v>-92.056170140000006</v>
      </c>
      <c r="D53" s="28">
        <f t="shared" si="17"/>
        <v>0.14820634587170478</v>
      </c>
      <c r="E53" s="27">
        <v>9.9026199999999995E-2</v>
      </c>
      <c r="F53" s="14">
        <f t="shared" si="18"/>
        <v>4.9180145871704786E-2</v>
      </c>
      <c r="G53" s="27"/>
      <c r="H53" s="14">
        <f t="shared" si="19"/>
        <v>0.14820634587170478</v>
      </c>
    </row>
    <row r="54" spans="1:8" ht="15.75" customHeight="1">
      <c r="A54" s="29"/>
    </row>
    <row r="55" spans="1:8" ht="15.75" customHeight="1">
      <c r="A55" s="16" t="s">
        <v>77</v>
      </c>
      <c r="B55" s="1" t="s">
        <v>50</v>
      </c>
      <c r="C55" s="1" t="s">
        <v>50</v>
      </c>
      <c r="D55" s="1" t="s">
        <v>51</v>
      </c>
      <c r="E55" s="1" t="s">
        <v>52</v>
      </c>
      <c r="G55" s="1" t="s">
        <v>53</v>
      </c>
    </row>
    <row r="56" spans="1:8" ht="15.75" customHeight="1">
      <c r="A56" s="1" t="s">
        <v>54</v>
      </c>
      <c r="B56" s="1" t="s">
        <v>78</v>
      </c>
      <c r="C56" s="1" t="s">
        <v>56</v>
      </c>
      <c r="D56" s="1" t="s">
        <v>57</v>
      </c>
      <c r="E56" s="1" t="s">
        <v>79</v>
      </c>
      <c r="F56" s="1" t="s">
        <v>59</v>
      </c>
      <c r="H56" s="1" t="s">
        <v>59</v>
      </c>
    </row>
    <row r="57" spans="1:8" ht="15.75" customHeight="1">
      <c r="A57" s="1" t="s">
        <v>60</v>
      </c>
      <c r="B57" s="27">
        <v>-150.08006589999999</v>
      </c>
      <c r="C57" s="27">
        <v>-150.12779601</v>
      </c>
      <c r="D57" s="28">
        <f t="shared" ref="D57:D62" si="20">(B57-C57)*27.2114</f>
        <v>1.298803115254092</v>
      </c>
      <c r="E57" s="14">
        <v>1.089</v>
      </c>
      <c r="F57" s="14">
        <f t="shared" ref="F57:F62" si="21">D57-E57</f>
        <v>0.20980311525409201</v>
      </c>
      <c r="G57" s="27">
        <v>0.98199999999999998</v>
      </c>
      <c r="H57" s="14">
        <f t="shared" ref="H57:H62" si="22">D57-G57</f>
        <v>0.31680311525409199</v>
      </c>
    </row>
    <row r="58" spans="1:8" ht="15.75" customHeight="1">
      <c r="A58" s="1" t="s">
        <v>61</v>
      </c>
      <c r="B58" s="27">
        <v>-150.07869352</v>
      </c>
      <c r="C58" s="27">
        <v>-150.12644950000001</v>
      </c>
      <c r="D58" s="28">
        <f t="shared" si="20"/>
        <v>1.29950707417214</v>
      </c>
      <c r="E58" s="14">
        <v>1.089</v>
      </c>
      <c r="F58" s="14">
        <f t="shared" si="21"/>
        <v>0.21050707417213999</v>
      </c>
      <c r="G58" s="27">
        <v>0.98399999999999999</v>
      </c>
      <c r="H58" s="14">
        <f t="shared" si="22"/>
        <v>0.31550707417213997</v>
      </c>
    </row>
    <row r="59" spans="1:8" ht="15.75" customHeight="1">
      <c r="A59" s="1" t="s">
        <v>62</v>
      </c>
      <c r="B59" s="27">
        <v>-150.07244489999999</v>
      </c>
      <c r="C59" s="27">
        <v>-150.12014318000001</v>
      </c>
      <c r="D59" s="28">
        <f t="shared" si="20"/>
        <v>1.2979369763925463</v>
      </c>
      <c r="E59" s="14">
        <v>1.089</v>
      </c>
      <c r="F59" s="14">
        <f t="shared" si="21"/>
        <v>0.20893697639254638</v>
      </c>
      <c r="G59" s="27">
        <v>0.98399999999999999</v>
      </c>
      <c r="H59" s="14">
        <f t="shared" si="22"/>
        <v>0.31393697639254636</v>
      </c>
    </row>
    <row r="60" spans="1:8" ht="15.75" customHeight="1">
      <c r="A60" s="1" t="s">
        <v>40</v>
      </c>
      <c r="B60" s="27">
        <v>-150.07876877000001</v>
      </c>
      <c r="C60" s="27">
        <v>-150.12648884999999</v>
      </c>
      <c r="D60" s="28">
        <f t="shared" si="20"/>
        <v>1.298530184911358</v>
      </c>
      <c r="E60" s="14">
        <v>1.089</v>
      </c>
      <c r="F60" s="14">
        <f t="shared" si="21"/>
        <v>0.209530184911358</v>
      </c>
      <c r="G60" s="27">
        <v>0.98399999999999999</v>
      </c>
      <c r="H60" s="14">
        <f t="shared" si="22"/>
        <v>0.31453018491135798</v>
      </c>
    </row>
    <row r="61" spans="1:8" ht="15.75" customHeight="1">
      <c r="A61" s="1" t="s">
        <v>63</v>
      </c>
      <c r="B61" s="27">
        <v>-150.07895859000001</v>
      </c>
      <c r="C61" s="27">
        <v>-150.12677597000001</v>
      </c>
      <c r="D61" s="28">
        <f t="shared" si="20"/>
        <v>1.3011778541319432</v>
      </c>
      <c r="E61" s="14">
        <v>1.089</v>
      </c>
      <c r="F61" s="14">
        <f t="shared" si="21"/>
        <v>0.21217785413194323</v>
      </c>
      <c r="G61" s="27">
        <v>0.98399999999999999</v>
      </c>
      <c r="H61" s="14">
        <f t="shared" si="22"/>
        <v>0.31717785413194322</v>
      </c>
    </row>
    <row r="62" spans="1:8" ht="15.75" customHeight="1">
      <c r="A62" s="1" t="s">
        <v>64</v>
      </c>
      <c r="B62" s="27">
        <v>-150.07945265000001</v>
      </c>
      <c r="C62" s="27">
        <v>-150.12723854999999</v>
      </c>
      <c r="D62" s="28">
        <f t="shared" si="20"/>
        <v>1.3003212392594454</v>
      </c>
      <c r="E62" s="14">
        <v>1.089</v>
      </c>
      <c r="F62" s="14">
        <f t="shared" si="21"/>
        <v>0.21132123925944546</v>
      </c>
      <c r="G62" s="27">
        <v>0.98399999999999999</v>
      </c>
      <c r="H62" s="14">
        <f t="shared" si="22"/>
        <v>0.31632123925944544</v>
      </c>
    </row>
    <row r="64" spans="1:8" ht="15.75" customHeight="1">
      <c r="A64" s="16" t="s">
        <v>80</v>
      </c>
      <c r="B64" s="1" t="s">
        <v>50</v>
      </c>
      <c r="C64" s="1" t="s">
        <v>50</v>
      </c>
      <c r="D64" s="1" t="s">
        <v>51</v>
      </c>
      <c r="E64" s="1" t="s">
        <v>52</v>
      </c>
      <c r="G64" s="1" t="s">
        <v>53</v>
      </c>
    </row>
    <row r="65" spans="1:9" ht="15.75" customHeight="1">
      <c r="A65" s="1" t="s">
        <v>54</v>
      </c>
      <c r="B65" s="1" t="s">
        <v>78</v>
      </c>
      <c r="C65" s="1" t="s">
        <v>56</v>
      </c>
      <c r="D65" s="1" t="s">
        <v>57</v>
      </c>
      <c r="E65" s="1" t="s">
        <v>81</v>
      </c>
      <c r="F65" s="1" t="s">
        <v>59</v>
      </c>
      <c r="G65" s="1" t="s">
        <v>28</v>
      </c>
      <c r="H65" s="1" t="s">
        <v>59</v>
      </c>
    </row>
    <row r="66" spans="1:9" ht="15.75" customHeight="1">
      <c r="A66" s="1" t="s">
        <v>60</v>
      </c>
      <c r="B66" s="27">
        <v>-55.069785930000002</v>
      </c>
      <c r="C66" s="27">
        <v>-55.140919959999998</v>
      </c>
      <c r="D66" s="28">
        <f t="shared" ref="D66:D71" si="23">(B66-C66)*27.2114</f>
        <v>1.9356565439418931</v>
      </c>
      <c r="E66" s="14">
        <f t="shared" ref="E66:E71" si="24">(41/627.5)*27.2114</f>
        <v>1.7779560159362551</v>
      </c>
      <c r="F66" s="14">
        <f t="shared" ref="F66:F71" si="25">D66-E66</f>
        <v>0.15770052800563805</v>
      </c>
      <c r="G66" s="14">
        <f t="shared" ref="G66:G71" si="26">(36/627.5)*27.2114</f>
        <v>1.5611321115537848</v>
      </c>
      <c r="H66" s="14">
        <f t="shared" ref="H66:H71" si="27">D66-G66</f>
        <v>0.37452443238810829</v>
      </c>
    </row>
    <row r="67" spans="1:9" ht="15.75" customHeight="1">
      <c r="A67" s="1" t="s">
        <v>61</v>
      </c>
      <c r="B67" s="27">
        <v>-55.068985159999997</v>
      </c>
      <c r="C67" s="27">
        <v>-55.140099929999998</v>
      </c>
      <c r="D67" s="28">
        <f t="shared" si="23"/>
        <v>1.9351324523780331</v>
      </c>
      <c r="E67" s="14">
        <f t="shared" si="24"/>
        <v>1.7779560159362551</v>
      </c>
      <c r="F67" s="14">
        <f t="shared" si="25"/>
        <v>0.15717643644177803</v>
      </c>
      <c r="G67" s="14">
        <f t="shared" si="26"/>
        <v>1.5611321115537848</v>
      </c>
      <c r="H67" s="14">
        <f t="shared" si="27"/>
        <v>0.37400034082424827</v>
      </c>
    </row>
    <row r="68" spans="1:9" ht="15.75" customHeight="1">
      <c r="A68" s="1" t="s">
        <v>62</v>
      </c>
      <c r="B68" s="27">
        <v>-55.066004059999997</v>
      </c>
      <c r="C68" s="27">
        <v>-55.136962799999999</v>
      </c>
      <c r="D68" s="28">
        <f t="shared" si="23"/>
        <v>1.9308866576360491</v>
      </c>
      <c r="E68" s="14">
        <f t="shared" si="24"/>
        <v>1.7779560159362551</v>
      </c>
      <c r="F68" s="14">
        <f t="shared" si="25"/>
        <v>0.15293064169979398</v>
      </c>
      <c r="G68" s="14">
        <f t="shared" si="26"/>
        <v>1.5611321115537848</v>
      </c>
      <c r="H68" s="14">
        <f t="shared" si="27"/>
        <v>0.36975454608226421</v>
      </c>
    </row>
    <row r="69" spans="1:9" ht="15.75" customHeight="1">
      <c r="A69" s="1" t="s">
        <v>40</v>
      </c>
      <c r="B69" s="27">
        <v>-55.069120460000001</v>
      </c>
      <c r="C69" s="27">
        <v>-55.14009051</v>
      </c>
      <c r="D69" s="28">
        <f t="shared" si="23"/>
        <v>1.9311944185699912</v>
      </c>
      <c r="E69" s="14">
        <f t="shared" si="24"/>
        <v>1.7779560159362551</v>
      </c>
      <c r="F69" s="14">
        <f t="shared" si="25"/>
        <v>0.15323840263373611</v>
      </c>
      <c r="G69" s="14">
        <f t="shared" si="26"/>
        <v>1.5611321115537848</v>
      </c>
      <c r="H69" s="14">
        <f t="shared" si="27"/>
        <v>0.37006230701620635</v>
      </c>
    </row>
    <row r="70" spans="1:9" ht="15.75" customHeight="1">
      <c r="A70" s="1" t="s">
        <v>63</v>
      </c>
      <c r="B70" s="27">
        <v>-55.06927554</v>
      </c>
      <c r="C70" s="27">
        <v>-55.140316939999998</v>
      </c>
      <c r="D70" s="28">
        <f t="shared" si="23"/>
        <v>1.9331359519599618</v>
      </c>
      <c r="E70" s="14">
        <f t="shared" si="24"/>
        <v>1.7779560159362551</v>
      </c>
      <c r="F70" s="14">
        <f t="shared" si="25"/>
        <v>0.15517993602370672</v>
      </c>
      <c r="G70" s="14">
        <f t="shared" si="26"/>
        <v>1.5611321115537848</v>
      </c>
      <c r="H70" s="14">
        <f t="shared" si="27"/>
        <v>0.37200384040617696</v>
      </c>
    </row>
    <row r="71" spans="1:9" ht="15.75" customHeight="1">
      <c r="A71" s="1" t="s">
        <v>64</v>
      </c>
      <c r="B71" s="27">
        <v>-55.069416019999998</v>
      </c>
      <c r="C71" s="27">
        <v>-55.140567769999997</v>
      </c>
      <c r="D71" s="28">
        <f t="shared" si="23"/>
        <v>1.9361387299499597</v>
      </c>
      <c r="E71" s="14">
        <f t="shared" si="24"/>
        <v>1.7779560159362551</v>
      </c>
      <c r="F71" s="14">
        <f t="shared" si="25"/>
        <v>0.15818271401370465</v>
      </c>
      <c r="G71" s="14">
        <f t="shared" si="26"/>
        <v>1.5611321115537848</v>
      </c>
      <c r="H71" s="14">
        <f t="shared" si="27"/>
        <v>0.37500661839617488</v>
      </c>
    </row>
    <row r="73" spans="1:9" ht="15.75" customHeight="1">
      <c r="A73" s="30"/>
      <c r="B73" s="30"/>
      <c r="C73" s="30"/>
      <c r="D73" s="30"/>
      <c r="E73" s="30"/>
      <c r="F73" s="30"/>
      <c r="G73" s="30"/>
      <c r="H73" s="30"/>
      <c r="I73" s="30"/>
    </row>
    <row r="75" spans="1:9" ht="15.75" customHeight="1">
      <c r="A75" s="16" t="s">
        <v>41</v>
      </c>
      <c r="B75" s="1" t="s">
        <v>55</v>
      </c>
      <c r="C75" s="1" t="s">
        <v>55</v>
      </c>
      <c r="D75" s="1" t="s">
        <v>55</v>
      </c>
      <c r="E75" s="1" t="s">
        <v>56</v>
      </c>
      <c r="F75" s="1" t="s">
        <v>56</v>
      </c>
      <c r="G75" s="1" t="s">
        <v>55</v>
      </c>
      <c r="H75" s="1" t="s">
        <v>82</v>
      </c>
      <c r="I75" s="1" t="s">
        <v>83</v>
      </c>
    </row>
    <row r="76" spans="1:9" ht="15.75" customHeight="1">
      <c r="A76" s="1" t="s">
        <v>54</v>
      </c>
      <c r="B76" s="1" t="s">
        <v>84</v>
      </c>
      <c r="C76" s="1" t="s">
        <v>85</v>
      </c>
      <c r="D76" s="1" t="s">
        <v>86</v>
      </c>
      <c r="E76" s="1" t="s">
        <v>85</v>
      </c>
      <c r="F76" s="1" t="s">
        <v>86</v>
      </c>
      <c r="G76" s="1" t="s">
        <v>87</v>
      </c>
      <c r="H76" s="1" t="s">
        <v>87</v>
      </c>
      <c r="I76" s="1" t="s">
        <v>87</v>
      </c>
    </row>
    <row r="77" spans="1:9" ht="15.75" customHeight="1">
      <c r="A77" s="1" t="s">
        <v>60</v>
      </c>
      <c r="B77" s="14">
        <f t="shared" ref="B77:B82" si="28">SQRT(8)</f>
        <v>2.8284271247461903</v>
      </c>
      <c r="C77" s="14">
        <f>SQRT(0.0931)</f>
        <v>0.30512292604784713</v>
      </c>
      <c r="D77" s="31">
        <f t="shared" ref="D77:D82" si="29">C77/B77</f>
        <v>0.10787724505195707</v>
      </c>
      <c r="E77" s="14">
        <f>SQRT(0.0324)</f>
        <v>0.18</v>
      </c>
      <c r="F77" s="31">
        <f t="shared" ref="F77:F82" si="30">E77/B77</f>
        <v>6.3639610306789274E-2</v>
      </c>
      <c r="G77" s="20">
        <v>0</v>
      </c>
      <c r="H77" s="20">
        <v>0</v>
      </c>
      <c r="I77" s="20">
        <v>0</v>
      </c>
    </row>
    <row r="78" spans="1:9" ht="15.75" customHeight="1">
      <c r="A78" s="1" t="s">
        <v>61</v>
      </c>
      <c r="B78" s="14">
        <f t="shared" si="28"/>
        <v>2.8284271247461903</v>
      </c>
      <c r="C78" s="14">
        <f>SQRT(0.0125)</f>
        <v>0.11180339887498948</v>
      </c>
      <c r="D78" s="31">
        <f t="shared" si="29"/>
        <v>3.9528470752104736E-2</v>
      </c>
      <c r="E78" s="14">
        <f>SQRT(0.0019)</f>
        <v>4.3588989435406733E-2</v>
      </c>
      <c r="F78" s="31">
        <f t="shared" si="30"/>
        <v>1.5411035007422439E-2</v>
      </c>
      <c r="G78" s="20">
        <v>0.16200000000000001</v>
      </c>
      <c r="H78" s="20">
        <v>0.15296654730000001</v>
      </c>
      <c r="I78" s="20">
        <v>0.14965649319999999</v>
      </c>
    </row>
    <row r="79" spans="1:9" ht="15.75" customHeight="1">
      <c r="A79" s="1" t="s">
        <v>62</v>
      </c>
      <c r="B79" s="14">
        <f t="shared" si="28"/>
        <v>2.8284271247461903</v>
      </c>
      <c r="C79" s="14">
        <f>SQRT(0.01)</f>
        <v>0.1</v>
      </c>
      <c r="D79" s="31">
        <f t="shared" si="29"/>
        <v>3.5355339059327376E-2</v>
      </c>
      <c r="E79" s="14">
        <f>SQRT(0.0062)</f>
        <v>7.8740078740118111E-2</v>
      </c>
      <c r="F79" s="31">
        <f t="shared" si="30"/>
        <v>2.7838821814150108E-2</v>
      </c>
      <c r="G79" s="20">
        <v>0.28000000000000003</v>
      </c>
      <c r="H79" s="20">
        <v>0.2755741887</v>
      </c>
      <c r="I79" s="20">
        <v>0.26958547049999998</v>
      </c>
    </row>
    <row r="80" spans="1:9" ht="15.75" customHeight="1">
      <c r="A80" s="1" t="s">
        <v>40</v>
      </c>
      <c r="B80" s="14">
        <f t="shared" si="28"/>
        <v>2.8284271247461903</v>
      </c>
      <c r="C80" s="14">
        <f>SQRT(0.0058)</f>
        <v>7.6157731058639086E-2</v>
      </c>
      <c r="D80" s="31">
        <f t="shared" si="29"/>
        <v>2.6925824035672518E-2</v>
      </c>
      <c r="E80" s="14">
        <f>SQRT(0.003)</f>
        <v>5.4772255750516613E-2</v>
      </c>
      <c r="F80" s="31">
        <f t="shared" si="30"/>
        <v>1.9364916731037084E-2</v>
      </c>
      <c r="G80" s="20">
        <v>0.16200000000000001</v>
      </c>
      <c r="H80" s="20">
        <v>0.15036214419999999</v>
      </c>
      <c r="I80" s="20">
        <v>0.1497551359</v>
      </c>
    </row>
    <row r="81" spans="1:9" ht="15.75" customHeight="1">
      <c r="A81" s="1" t="s">
        <v>63</v>
      </c>
      <c r="B81" s="14">
        <f t="shared" si="28"/>
        <v>2.8284271247461903</v>
      </c>
      <c r="C81" s="14">
        <f>SQRT(0.0089)</f>
        <v>9.4339811320566042E-2</v>
      </c>
      <c r="D81" s="31">
        <f t="shared" si="29"/>
        <v>3.3354160160315831E-2</v>
      </c>
      <c r="E81" s="14">
        <f>SQRT(0.0012)</f>
        <v>3.4641016151377546E-2</v>
      </c>
      <c r="F81" s="31">
        <f t="shared" si="30"/>
        <v>1.2247448713915889E-2</v>
      </c>
      <c r="G81" s="20">
        <v>0.13100000000000001</v>
      </c>
      <c r="H81" s="20">
        <v>0.126797508</v>
      </c>
      <c r="I81" s="20">
        <v>0.11584358290000001</v>
      </c>
    </row>
    <row r="82" spans="1:9" ht="15.75" customHeight="1">
      <c r="A82" s="1" t="s">
        <v>64</v>
      </c>
      <c r="B82" s="14">
        <f t="shared" si="28"/>
        <v>2.8284271247461903</v>
      </c>
      <c r="C82" s="14">
        <f>SQRT(0.0168)</f>
        <v>0.12961481396815719</v>
      </c>
      <c r="D82" s="31">
        <f t="shared" si="29"/>
        <v>4.5825756949558392E-2</v>
      </c>
      <c r="E82" s="14">
        <f>SQRT(0.0017)</f>
        <v>4.1231056256176603E-2</v>
      </c>
      <c r="F82" s="31">
        <f t="shared" si="30"/>
        <v>1.4577379737113249E-2</v>
      </c>
      <c r="G82" s="20">
        <v>9.9000000000000005E-2</v>
      </c>
      <c r="H82" s="20">
        <v>9.6155473990000004E-2</v>
      </c>
      <c r="I82" s="20">
        <v>8.8915501300000005E-2</v>
      </c>
    </row>
    <row r="84" spans="1:9" ht="15.75" customHeight="1">
      <c r="A84" s="16" t="s">
        <v>65</v>
      </c>
      <c r="B84" s="1" t="s">
        <v>66</v>
      </c>
      <c r="C84" s="1" t="s">
        <v>66</v>
      </c>
      <c r="D84" s="1" t="s">
        <v>66</v>
      </c>
      <c r="E84" s="1" t="s">
        <v>67</v>
      </c>
      <c r="F84" s="1" t="s">
        <v>67</v>
      </c>
      <c r="G84" s="1" t="s">
        <v>66</v>
      </c>
      <c r="H84" s="1" t="s">
        <v>88</v>
      </c>
      <c r="I84" s="1" t="s">
        <v>89</v>
      </c>
    </row>
    <row r="85" spans="1:9" ht="15.75" customHeight="1">
      <c r="A85" s="1" t="s">
        <v>54</v>
      </c>
      <c r="B85" s="1" t="s">
        <v>84</v>
      </c>
      <c r="C85" s="1" t="s">
        <v>85</v>
      </c>
      <c r="D85" s="1" t="s">
        <v>86</v>
      </c>
      <c r="E85" s="1" t="s">
        <v>85</v>
      </c>
      <c r="F85" s="1" t="s">
        <v>86</v>
      </c>
      <c r="G85" s="1" t="s">
        <v>87</v>
      </c>
      <c r="H85" s="1" t="s">
        <v>87</v>
      </c>
      <c r="I85" s="1" t="s">
        <v>87</v>
      </c>
    </row>
    <row r="86" spans="1:9" ht="15.75" customHeight="1">
      <c r="A86" s="1" t="s">
        <v>60</v>
      </c>
      <c r="B86" s="14">
        <f t="shared" ref="B86:B91" si="31">SQRT(8)</f>
        <v>2.8284271247461903</v>
      </c>
      <c r="C86" s="14">
        <f>SQRT(0.0242)</f>
        <v>0.15556349186104046</v>
      </c>
      <c r="D86" s="31">
        <f t="shared" ref="D86:D91" si="32">C86/B86</f>
        <v>5.5E-2</v>
      </c>
      <c r="E86" s="14">
        <f>SQRT(0.0082)</f>
        <v>9.0553851381374173E-2</v>
      </c>
      <c r="F86" s="31">
        <f t="shared" ref="F86:F91" si="33">E86/B86</f>
        <v>3.2015621187164243E-2</v>
      </c>
      <c r="G86" s="20">
        <v>0</v>
      </c>
      <c r="H86" s="20">
        <v>0</v>
      </c>
      <c r="I86" s="20">
        <v>0</v>
      </c>
    </row>
    <row r="87" spans="1:9" ht="15.75" customHeight="1">
      <c r="A87" s="1" t="s">
        <v>61</v>
      </c>
      <c r="B87" s="14">
        <f t="shared" si="31"/>
        <v>2.8284271247461903</v>
      </c>
      <c r="C87" s="14">
        <f>SQRT(0.0041)</f>
        <v>6.4031242374328487E-2</v>
      </c>
      <c r="D87" s="31">
        <f t="shared" si="32"/>
        <v>2.263846284534354E-2</v>
      </c>
      <c r="E87" s="14">
        <f>SQRT(0.0011)</f>
        <v>3.3166247903553998E-2</v>
      </c>
      <c r="F87" s="31">
        <f t="shared" si="33"/>
        <v>1.1726039399558573E-2</v>
      </c>
      <c r="G87" s="20">
        <v>0.161</v>
      </c>
      <c r="H87" s="20">
        <v>0.15252149400000001</v>
      </c>
      <c r="I87" s="20">
        <v>0.14972198759999999</v>
      </c>
    </row>
    <row r="88" spans="1:9" ht="15.75" customHeight="1">
      <c r="A88" s="1" t="s">
        <v>62</v>
      </c>
      <c r="B88" s="14">
        <f t="shared" si="31"/>
        <v>2.8284271247461903</v>
      </c>
      <c r="C88" s="14">
        <f>SQRT(0.0207)</f>
        <v>0.14387494569938158</v>
      </c>
      <c r="D88" s="31">
        <f t="shared" si="32"/>
        <v>5.0867474873439504E-2</v>
      </c>
      <c r="E88" s="14">
        <f>SQRT(0.0029)</f>
        <v>5.3851648071345036E-2</v>
      </c>
      <c r="F88" s="31">
        <f t="shared" si="33"/>
        <v>1.9039432764659768E-2</v>
      </c>
      <c r="G88" s="20">
        <v>0.29399999999999998</v>
      </c>
      <c r="H88" s="20">
        <v>0.27121813099999997</v>
      </c>
      <c r="I88" s="20">
        <v>0.265100365</v>
      </c>
    </row>
    <row r="89" spans="1:9" ht="15.75" customHeight="1">
      <c r="A89" s="1" t="s">
        <v>40</v>
      </c>
      <c r="B89" s="14">
        <f t="shared" si="31"/>
        <v>2.8284271247461903</v>
      </c>
      <c r="C89" s="14">
        <f>SQRT(0.0199)</f>
        <v>0.14106735979665885</v>
      </c>
      <c r="D89" s="31">
        <f t="shared" si="32"/>
        <v>4.9874843358150005E-2</v>
      </c>
      <c r="E89" s="14">
        <f>SQRT(0.0011)</f>
        <v>3.3166247903553998E-2</v>
      </c>
      <c r="F89" s="31">
        <f t="shared" si="33"/>
        <v>1.1726039399558573E-2</v>
      </c>
      <c r="G89" s="20">
        <v>0.20100000000000001</v>
      </c>
      <c r="H89" s="20">
        <v>0.1494457635</v>
      </c>
      <c r="I89" s="20">
        <v>0.15029565180000001</v>
      </c>
    </row>
    <row r="90" spans="1:9" ht="15.75" customHeight="1">
      <c r="A90" s="1" t="s">
        <v>63</v>
      </c>
      <c r="B90" s="14">
        <f t="shared" si="31"/>
        <v>2.8284271247461903</v>
      </c>
      <c r="C90" s="14">
        <f>SQRT(0.0031)</f>
        <v>5.5677643628300216E-2</v>
      </c>
      <c r="D90" s="31">
        <f t="shared" si="32"/>
        <v>1.9685019685029524E-2</v>
      </c>
      <c r="E90" s="14">
        <f>SQRT(0.0008)</f>
        <v>2.8284271247461901E-2</v>
      </c>
      <c r="F90" s="31">
        <f t="shared" si="33"/>
        <v>0.01</v>
      </c>
      <c r="G90" s="20">
        <v>0.13</v>
      </c>
      <c r="H90" s="20">
        <v>0.124877562</v>
      </c>
      <c r="I90" s="20">
        <v>0.1166668102</v>
      </c>
    </row>
    <row r="91" spans="1:9" ht="15.75" customHeight="1">
      <c r="A91" s="1" t="s">
        <v>64</v>
      </c>
      <c r="B91" s="14">
        <f t="shared" si="31"/>
        <v>2.8284271247461903</v>
      </c>
      <c r="C91" s="14">
        <f>SQRT(0.0058)</f>
        <v>7.6157731058639086E-2</v>
      </c>
      <c r="D91" s="31">
        <f t="shared" si="32"/>
        <v>2.6925824035672518E-2</v>
      </c>
      <c r="E91" s="14">
        <f>SQRT(0.0006)</f>
        <v>2.4494897427831779E-2</v>
      </c>
      <c r="F91" s="31">
        <f t="shared" si="33"/>
        <v>8.6602540378443848E-3</v>
      </c>
      <c r="G91" s="20">
        <v>9.9000000000000005E-2</v>
      </c>
      <c r="H91" s="20">
        <v>9.4518126440000003E-2</v>
      </c>
      <c r="I91" s="20">
        <v>8.8974677949999997E-2</v>
      </c>
    </row>
    <row r="93" spans="1:9" ht="15.75" customHeight="1">
      <c r="A93" s="16" t="s">
        <v>68</v>
      </c>
      <c r="C93" s="1" t="s">
        <v>55</v>
      </c>
      <c r="D93" s="1" t="s">
        <v>56</v>
      </c>
      <c r="E93" s="1" t="s">
        <v>55</v>
      </c>
      <c r="F93" s="1" t="s">
        <v>56</v>
      </c>
      <c r="G93" s="1" t="s">
        <v>55</v>
      </c>
      <c r="H93" s="1" t="s">
        <v>82</v>
      </c>
      <c r="I93" s="1" t="s">
        <v>83</v>
      </c>
    </row>
    <row r="94" spans="1:9" ht="15.75" customHeight="1">
      <c r="A94" s="1" t="s">
        <v>54</v>
      </c>
      <c r="B94" s="1" t="s">
        <v>90</v>
      </c>
      <c r="C94" s="1" t="s">
        <v>91</v>
      </c>
      <c r="D94" s="1" t="s">
        <v>91</v>
      </c>
      <c r="E94" s="1" t="s">
        <v>86</v>
      </c>
      <c r="F94" s="1" t="s">
        <v>86</v>
      </c>
      <c r="G94" s="1" t="s">
        <v>87</v>
      </c>
      <c r="H94" s="1" t="s">
        <v>87</v>
      </c>
      <c r="I94" s="1" t="s">
        <v>87</v>
      </c>
    </row>
    <row r="95" spans="1:9" ht="15.75" customHeight="1">
      <c r="A95" s="1" t="s">
        <v>60</v>
      </c>
      <c r="B95" s="14">
        <v>8</v>
      </c>
      <c r="C95" s="14">
        <v>1E-3</v>
      </c>
      <c r="D95" s="1">
        <v>1.4E-3</v>
      </c>
      <c r="E95" s="31">
        <f t="shared" ref="E95:E100" si="34">SQRT(C95)/SQRT(B95)</f>
        <v>1.1180339887498947E-2</v>
      </c>
      <c r="F95" s="31">
        <f t="shared" ref="F95:F100" si="35">SQRT(D95)/SQRT(B95)</f>
        <v>1.3228756555322954E-2</v>
      </c>
      <c r="G95" s="20">
        <v>0</v>
      </c>
      <c r="H95" s="20">
        <v>0</v>
      </c>
      <c r="I95" s="20">
        <v>0</v>
      </c>
    </row>
    <row r="96" spans="1:9" ht="15.75" customHeight="1">
      <c r="A96" s="1" t="s">
        <v>61</v>
      </c>
      <c r="B96" s="14">
        <v>8</v>
      </c>
      <c r="C96" s="14">
        <v>1.1000000000000001E-3</v>
      </c>
      <c r="D96" s="1">
        <v>1.2999999999999999E-3</v>
      </c>
      <c r="E96" s="31">
        <f t="shared" si="34"/>
        <v>1.1726039399558573E-2</v>
      </c>
      <c r="F96" s="31">
        <f t="shared" si="35"/>
        <v>1.274754878398196E-2</v>
      </c>
      <c r="G96" s="20">
        <v>0.10929722827</v>
      </c>
      <c r="H96" s="20">
        <v>0.11047819289999999</v>
      </c>
      <c r="I96" s="20">
        <v>0.1077666488</v>
      </c>
    </row>
    <row r="97" spans="1:9" ht="15.75" customHeight="1">
      <c r="A97" s="1" t="s">
        <v>62</v>
      </c>
      <c r="B97" s="14">
        <v>8</v>
      </c>
      <c r="C97" s="14">
        <v>3.2000000000000002E-3</v>
      </c>
      <c r="D97" s="1">
        <v>3.3999999999999998E-3</v>
      </c>
      <c r="E97" s="31">
        <f t="shared" si="34"/>
        <v>0.02</v>
      </c>
      <c r="F97" s="31">
        <f t="shared" si="35"/>
        <v>2.0615528128088301E-2</v>
      </c>
      <c r="G97" s="20">
        <v>0.19282091911999999</v>
      </c>
      <c r="H97" s="20">
        <v>0.19107691960000001</v>
      </c>
      <c r="I97" s="20">
        <v>0.18888376600000001</v>
      </c>
    </row>
    <row r="98" spans="1:9" ht="15.75" customHeight="1">
      <c r="A98" s="1" t="s">
        <v>40</v>
      </c>
      <c r="B98" s="14">
        <v>8</v>
      </c>
      <c r="C98" s="14">
        <v>1.5E-3</v>
      </c>
      <c r="D98" s="1">
        <v>1E-3</v>
      </c>
      <c r="E98" s="31">
        <f t="shared" si="34"/>
        <v>1.3693063937629152E-2</v>
      </c>
      <c r="F98" s="31">
        <f t="shared" si="35"/>
        <v>1.1180339887498947E-2</v>
      </c>
      <c r="G98" s="20">
        <v>0.11179238622</v>
      </c>
      <c r="H98" s="20">
        <v>0.1070868296</v>
      </c>
      <c r="I98" s="20">
        <v>0.1092271542</v>
      </c>
    </row>
    <row r="99" spans="1:9" ht="15.75" customHeight="1">
      <c r="A99" s="1" t="s">
        <v>63</v>
      </c>
      <c r="B99" s="14">
        <v>8</v>
      </c>
      <c r="C99" s="14">
        <v>8.9999999999999998E-4</v>
      </c>
      <c r="D99" s="1">
        <v>5.9999999999999995E-4</v>
      </c>
      <c r="E99" s="31">
        <f t="shared" si="34"/>
        <v>1.0606601717798212E-2</v>
      </c>
      <c r="F99" s="31">
        <f t="shared" si="35"/>
        <v>8.6602540378443848E-3</v>
      </c>
      <c r="G99" s="20">
        <v>8.9722001716000005E-2</v>
      </c>
      <c r="H99" s="20">
        <v>9.0246892679999996E-2</v>
      </c>
      <c r="I99" s="20">
        <v>7.9059931609999995E-2</v>
      </c>
    </row>
    <row r="100" spans="1:9" ht="15.75" customHeight="1">
      <c r="A100" s="1" t="s">
        <v>64</v>
      </c>
      <c r="B100" s="14">
        <v>8</v>
      </c>
      <c r="C100" s="14">
        <v>4.0000000000000002E-4</v>
      </c>
      <c r="D100" s="1">
        <v>2.9999999999999997E-4</v>
      </c>
      <c r="E100" s="31">
        <f t="shared" si="34"/>
        <v>7.0710678118654745E-3</v>
      </c>
      <c r="F100" s="31">
        <f t="shared" si="35"/>
        <v>6.1237243569579446E-3</v>
      </c>
      <c r="G100" s="20">
        <v>6.8379701215999997E-2</v>
      </c>
      <c r="H100" s="20">
        <v>6.8101295290000002E-2</v>
      </c>
      <c r="I100" s="20">
        <v>6.1620109020000001E-2</v>
      </c>
    </row>
    <row r="102" spans="1:9" ht="15.75" customHeight="1">
      <c r="A102" s="16" t="s">
        <v>70</v>
      </c>
      <c r="C102" s="1" t="s">
        <v>55</v>
      </c>
      <c r="D102" s="1" t="s">
        <v>56</v>
      </c>
      <c r="E102" s="1" t="s">
        <v>55</v>
      </c>
      <c r="F102" s="1" t="s">
        <v>56</v>
      </c>
      <c r="G102" s="1" t="s">
        <v>55</v>
      </c>
      <c r="H102" s="1" t="s">
        <v>82</v>
      </c>
      <c r="I102" s="1" t="s">
        <v>83</v>
      </c>
    </row>
    <row r="103" spans="1:9" ht="15.75" customHeight="1">
      <c r="A103" s="1" t="s">
        <v>54</v>
      </c>
      <c r="B103" s="1" t="s">
        <v>90</v>
      </c>
      <c r="C103" s="1" t="s">
        <v>91</v>
      </c>
      <c r="D103" s="1" t="s">
        <v>91</v>
      </c>
      <c r="E103" s="1" t="s">
        <v>86</v>
      </c>
      <c r="F103" s="1" t="s">
        <v>86</v>
      </c>
      <c r="G103" s="1" t="s">
        <v>87</v>
      </c>
      <c r="H103" s="1" t="s">
        <v>87</v>
      </c>
      <c r="I103" s="1" t="s">
        <v>87</v>
      </c>
    </row>
    <row r="104" spans="1:9" ht="15.75" customHeight="1">
      <c r="A104" s="1" t="s">
        <v>60</v>
      </c>
      <c r="B104" s="14">
        <v>12</v>
      </c>
      <c r="C104" s="14">
        <v>1.4999999999999999E-2</v>
      </c>
      <c r="D104" s="1">
        <v>1.3299999999999999E-2</v>
      </c>
      <c r="E104" s="31">
        <f t="shared" ref="E104:E109" si="36">SQRT(C104)/SQRT(B104)</f>
        <v>3.5355339059327376E-2</v>
      </c>
      <c r="F104" s="31">
        <f t="shared" ref="F104:F109" si="37">SQRT(D104)/SQRT(B104)</f>
        <v>3.3291640592396962E-2</v>
      </c>
      <c r="G104" s="20">
        <v>0</v>
      </c>
      <c r="H104" s="20">
        <v>0</v>
      </c>
      <c r="I104" s="20">
        <v>0</v>
      </c>
    </row>
    <row r="105" spans="1:9" ht="15.75" customHeight="1">
      <c r="A105" s="1" t="s">
        <v>61</v>
      </c>
      <c r="B105" s="14">
        <v>12</v>
      </c>
      <c r="C105" s="14">
        <v>1.8E-3</v>
      </c>
      <c r="D105" s="1">
        <v>2.5000000000000001E-3</v>
      </c>
      <c r="E105" s="31">
        <f t="shared" si="36"/>
        <v>1.2247448713915893E-2</v>
      </c>
      <c r="F105" s="31">
        <f t="shared" si="37"/>
        <v>1.4433756729740645E-2</v>
      </c>
      <c r="G105" s="20">
        <v>0.21107859832</v>
      </c>
      <c r="H105" s="20">
        <v>0.2003625641</v>
      </c>
      <c r="I105" s="20">
        <v>0.22028502599999999</v>
      </c>
    </row>
    <row r="106" spans="1:9" ht="15.75" customHeight="1">
      <c r="A106" s="1" t="s">
        <v>62</v>
      </c>
      <c r="B106" s="14">
        <v>12</v>
      </c>
      <c r="C106" s="14">
        <v>8.6999999999999994E-3</v>
      </c>
      <c r="D106" s="1">
        <v>1.01E-2</v>
      </c>
      <c r="E106" s="31">
        <f t="shared" si="36"/>
        <v>2.6925824035672521E-2</v>
      </c>
      <c r="F106" s="31">
        <f t="shared" si="37"/>
        <v>2.9011491975882021E-2</v>
      </c>
      <c r="G106" s="20">
        <v>0.37405641873000001</v>
      </c>
      <c r="H106" s="20">
        <v>0.36347666989999999</v>
      </c>
      <c r="I106" s="20">
        <v>0.37927999670000001</v>
      </c>
    </row>
    <row r="107" spans="1:9" ht="15.75" customHeight="1">
      <c r="A107" s="1" t="s">
        <v>40</v>
      </c>
      <c r="B107" s="14">
        <v>12</v>
      </c>
      <c r="C107" s="14">
        <v>6.0000000000000001E-3</v>
      </c>
      <c r="D107" s="1">
        <v>6.1999999999999998E-3</v>
      </c>
      <c r="E107" s="31">
        <f t="shared" si="36"/>
        <v>2.2360679774997897E-2</v>
      </c>
      <c r="F107" s="31">
        <f t="shared" si="37"/>
        <v>2.2730302828309762E-2</v>
      </c>
      <c r="G107" s="20">
        <v>0.21314202986</v>
      </c>
      <c r="H107" s="20">
        <v>0.194395808</v>
      </c>
      <c r="I107" s="20">
        <v>0.22298171920000001</v>
      </c>
    </row>
    <row r="108" spans="1:9" ht="15.75" customHeight="1">
      <c r="A108" s="1" t="s">
        <v>63</v>
      </c>
      <c r="B108" s="14">
        <v>12</v>
      </c>
      <c r="C108" s="14">
        <v>2.8999999999999998E-3</v>
      </c>
      <c r="D108" s="1">
        <v>2.5999999999999999E-3</v>
      </c>
      <c r="E108" s="31">
        <f t="shared" si="36"/>
        <v>1.5545631755148025E-2</v>
      </c>
      <c r="F108" s="31">
        <f t="shared" si="37"/>
        <v>1.4719601443879746E-2</v>
      </c>
      <c r="G108" s="20">
        <v>0.18600980274000001</v>
      </c>
      <c r="H108" s="20">
        <v>0.17582818040000001</v>
      </c>
      <c r="I108" s="20">
        <v>0.18404546229999999</v>
      </c>
    </row>
    <row r="109" spans="1:9" ht="15.75" customHeight="1">
      <c r="A109" s="1" t="s">
        <v>64</v>
      </c>
      <c r="B109" s="14">
        <v>12</v>
      </c>
      <c r="C109" s="14">
        <v>4.0000000000000002E-4</v>
      </c>
      <c r="D109" s="1">
        <v>1.1000000000000001E-3</v>
      </c>
      <c r="E109" s="31">
        <f t="shared" si="36"/>
        <v>5.773502691896258E-3</v>
      </c>
      <c r="F109" s="31">
        <f t="shared" si="37"/>
        <v>9.5742710775633816E-3</v>
      </c>
      <c r="G109" s="20">
        <v>0.14028428363000001</v>
      </c>
      <c r="H109" s="20">
        <v>0.1325920324</v>
      </c>
      <c r="I109" s="20">
        <v>0.13879013640000001</v>
      </c>
    </row>
    <row r="111" spans="1:9" ht="15.75" customHeight="1">
      <c r="A111" s="16" t="s">
        <v>72</v>
      </c>
      <c r="C111" s="1" t="s">
        <v>66</v>
      </c>
      <c r="D111" s="1" t="s">
        <v>67</v>
      </c>
      <c r="E111" s="1" t="s">
        <v>66</v>
      </c>
      <c r="F111" s="1" t="s">
        <v>67</v>
      </c>
      <c r="G111" s="1" t="s">
        <v>66</v>
      </c>
      <c r="H111" s="1" t="s">
        <v>88</v>
      </c>
      <c r="I111" s="1" t="s">
        <v>89</v>
      </c>
    </row>
    <row r="112" spans="1:9" ht="15.75" customHeight="1">
      <c r="A112" s="1" t="s">
        <v>54</v>
      </c>
      <c r="B112" s="1" t="s">
        <v>90</v>
      </c>
      <c r="C112" s="1" t="s">
        <v>91</v>
      </c>
      <c r="D112" s="1" t="s">
        <v>91</v>
      </c>
      <c r="E112" s="1" t="s">
        <v>86</v>
      </c>
      <c r="F112" s="1" t="s">
        <v>86</v>
      </c>
      <c r="G112" s="1" t="s">
        <v>87</v>
      </c>
      <c r="H112" s="1" t="s">
        <v>87</v>
      </c>
      <c r="I112" s="1" t="s">
        <v>87</v>
      </c>
    </row>
    <row r="113" spans="1:9" ht="15.75" customHeight="1">
      <c r="A113" s="1" t="s">
        <v>60</v>
      </c>
      <c r="B113" s="14">
        <v>8</v>
      </c>
      <c r="C113" s="14">
        <v>4.3900000000000002E-2</v>
      </c>
      <c r="D113" s="1">
        <v>8.6999999999999994E-3</v>
      </c>
      <c r="E113" s="31">
        <f t="shared" ref="E113:E118" si="38">SQRT(C113)/SQRT(B113)</f>
        <v>7.4077661950145257E-2</v>
      </c>
      <c r="F113" s="31">
        <f t="shared" ref="F113:F118" si="39">SQRT(D113)/SQRT(B113)</f>
        <v>3.2977264895682291E-2</v>
      </c>
      <c r="G113" s="20">
        <v>0</v>
      </c>
      <c r="H113" s="20">
        <v>0</v>
      </c>
      <c r="I113" s="20">
        <v>0</v>
      </c>
    </row>
    <row r="114" spans="1:9" ht="15.75" customHeight="1">
      <c r="A114" s="1" t="s">
        <v>61</v>
      </c>
      <c r="B114" s="14">
        <v>8</v>
      </c>
      <c r="C114" s="14">
        <v>2E-3</v>
      </c>
      <c r="D114" s="1">
        <v>1.5E-3</v>
      </c>
      <c r="E114" s="31">
        <f t="shared" si="38"/>
        <v>1.5811388300841896E-2</v>
      </c>
      <c r="F114" s="31">
        <f t="shared" si="39"/>
        <v>1.3693063937629152E-2</v>
      </c>
      <c r="G114" s="20">
        <v>0.17599999999999999</v>
      </c>
      <c r="H114" s="20">
        <v>0.16513056370000001</v>
      </c>
      <c r="I114" s="20">
        <v>0.1623919016</v>
      </c>
    </row>
    <row r="115" spans="1:9" ht="15.75" customHeight="1">
      <c r="A115" s="1" t="s">
        <v>62</v>
      </c>
      <c r="B115" s="14">
        <v>8</v>
      </c>
      <c r="C115" s="14">
        <v>2.5000000000000001E-3</v>
      </c>
      <c r="D115" s="1">
        <v>5.8999999999999999E-3</v>
      </c>
      <c r="E115" s="31">
        <f t="shared" si="38"/>
        <v>1.7677669529663688E-2</v>
      </c>
      <c r="F115" s="31">
        <f t="shared" si="39"/>
        <v>2.7156951228000537E-2</v>
      </c>
      <c r="G115" s="20">
        <v>0.308</v>
      </c>
      <c r="H115" s="20">
        <v>0.30312495309999998</v>
      </c>
      <c r="I115" s="20">
        <v>0.29745127110000003</v>
      </c>
    </row>
    <row r="116" spans="1:9" ht="15.75" customHeight="1">
      <c r="A116" s="1" t="s">
        <v>40</v>
      </c>
      <c r="B116" s="14">
        <v>8</v>
      </c>
      <c r="C116" s="14">
        <v>1.6999999999999999E-3</v>
      </c>
      <c r="D116" s="1">
        <v>3.8999999999999998E-3</v>
      </c>
      <c r="E116" s="31">
        <f t="shared" si="38"/>
        <v>1.4577379737113249E-2</v>
      </c>
      <c r="F116" s="31">
        <f t="shared" si="39"/>
        <v>2.2079402165819616E-2</v>
      </c>
      <c r="G116" s="20">
        <v>0.18</v>
      </c>
      <c r="H116" s="20">
        <v>0.165747701</v>
      </c>
      <c r="I116" s="20">
        <v>0.16280892</v>
      </c>
    </row>
    <row r="117" spans="1:9" ht="15.75" customHeight="1">
      <c r="A117" s="1" t="s">
        <v>63</v>
      </c>
      <c r="B117" s="14">
        <v>8</v>
      </c>
      <c r="C117" s="14">
        <v>8.9999999999999998E-4</v>
      </c>
      <c r="D117" s="1">
        <v>1.8E-3</v>
      </c>
      <c r="E117" s="31">
        <f t="shared" si="38"/>
        <v>1.0606601717798212E-2</v>
      </c>
      <c r="F117" s="31">
        <f t="shared" si="39"/>
        <v>1.4999999999999999E-2</v>
      </c>
      <c r="G117" s="20">
        <v>0.14499999999999999</v>
      </c>
      <c r="H117" s="20">
        <v>0.14082851120000001</v>
      </c>
      <c r="I117" s="20">
        <v>0.12744947409999999</v>
      </c>
    </row>
    <row r="118" spans="1:9" ht="15.75" customHeight="1">
      <c r="A118" s="1" t="s">
        <v>64</v>
      </c>
      <c r="B118" s="14">
        <v>8</v>
      </c>
      <c r="C118" s="14">
        <v>5.1000000000000004E-3</v>
      </c>
      <c r="D118" s="1">
        <v>6.9999999999999999E-4</v>
      </c>
      <c r="E118" s="31">
        <f t="shared" si="38"/>
        <v>2.5248762345905198E-2</v>
      </c>
      <c r="F118" s="31">
        <f t="shared" si="39"/>
        <v>9.3541434669348524E-3</v>
      </c>
      <c r="G118" s="20">
        <v>0.109</v>
      </c>
      <c r="H118" s="20">
        <v>0.10624164899999999</v>
      </c>
      <c r="I118" s="20">
        <v>9.8216729030000005E-2</v>
      </c>
    </row>
    <row r="120" spans="1:9" ht="15.75" customHeight="1">
      <c r="A120" s="16" t="s">
        <v>76</v>
      </c>
      <c r="C120" s="1" t="s">
        <v>66</v>
      </c>
      <c r="D120" s="1" t="s">
        <v>67</v>
      </c>
      <c r="E120" s="1" t="s">
        <v>66</v>
      </c>
      <c r="F120" s="1" t="s">
        <v>67</v>
      </c>
      <c r="G120" s="1" t="s">
        <v>66</v>
      </c>
      <c r="H120" s="1" t="s">
        <v>88</v>
      </c>
      <c r="I120" s="1" t="s">
        <v>89</v>
      </c>
    </row>
    <row r="121" spans="1:9" ht="15.75" customHeight="1">
      <c r="A121" s="1" t="s">
        <v>54</v>
      </c>
      <c r="B121" s="1" t="s">
        <v>90</v>
      </c>
      <c r="C121" s="1" t="s">
        <v>91</v>
      </c>
      <c r="D121" s="1" t="s">
        <v>91</v>
      </c>
      <c r="E121" s="1" t="s">
        <v>86</v>
      </c>
      <c r="F121" s="1" t="s">
        <v>86</v>
      </c>
      <c r="G121" s="1" t="s">
        <v>87</v>
      </c>
      <c r="H121" s="1" t="s">
        <v>87</v>
      </c>
      <c r="I121" s="1" t="s">
        <v>87</v>
      </c>
    </row>
    <row r="122" spans="1:9" ht="15.75" customHeight="1">
      <c r="A122" s="1" t="s">
        <v>60</v>
      </c>
      <c r="B122" s="14">
        <v>8</v>
      </c>
      <c r="C122" s="14">
        <v>7.2499999999999995E-2</v>
      </c>
      <c r="D122" s="1">
        <v>0.127</v>
      </c>
      <c r="E122" s="31">
        <f t="shared" ref="E122:E127" si="40">SQRT(C122)/SQRT(B122)</f>
        <v>9.5197163823298847E-2</v>
      </c>
      <c r="F122" s="31">
        <f t="shared" ref="F122:F127" si="41">SQRT(D122)/SQRT(B122)</f>
        <v>0.12599603168354151</v>
      </c>
      <c r="G122" s="20">
        <v>0</v>
      </c>
      <c r="H122" s="20">
        <v>0</v>
      </c>
      <c r="I122" s="20">
        <v>0</v>
      </c>
    </row>
    <row r="123" spans="1:9" ht="15.75" customHeight="1">
      <c r="A123" s="1" t="s">
        <v>61</v>
      </c>
      <c r="B123" s="14">
        <v>8</v>
      </c>
      <c r="C123" s="14">
        <v>1.0500000000000001E-2</v>
      </c>
      <c r="D123" s="1">
        <v>1.5E-3</v>
      </c>
      <c r="E123" s="31">
        <f t="shared" si="40"/>
        <v>3.6228441865473596E-2</v>
      </c>
      <c r="F123" s="31">
        <f t="shared" si="41"/>
        <v>1.3693063937629152E-2</v>
      </c>
      <c r="G123" s="20">
        <v>0.182</v>
      </c>
      <c r="H123" s="20">
        <v>0.17088518550000001</v>
      </c>
      <c r="I123" s="20">
        <v>0.16768633190000001</v>
      </c>
    </row>
    <row r="124" spans="1:9" ht="15.75" customHeight="1">
      <c r="A124" s="1" t="s">
        <v>62</v>
      </c>
      <c r="B124" s="14">
        <v>8</v>
      </c>
      <c r="C124" s="14">
        <v>7.3000000000000001E-3</v>
      </c>
      <c r="D124" s="1">
        <v>4.7999999999999996E-3</v>
      </c>
      <c r="E124" s="31">
        <f t="shared" si="40"/>
        <v>3.0207614933986427E-2</v>
      </c>
      <c r="F124" s="31">
        <f t="shared" si="41"/>
        <v>2.4494897427831779E-2</v>
      </c>
      <c r="G124" s="20">
        <v>0.309</v>
      </c>
      <c r="H124" s="20">
        <v>0.30102782179999998</v>
      </c>
      <c r="I124" s="20">
        <v>0.29560419659999998</v>
      </c>
    </row>
    <row r="125" spans="1:9" ht="15.75" customHeight="1">
      <c r="A125" s="1" t="s">
        <v>40</v>
      </c>
      <c r="B125" s="14">
        <v>8</v>
      </c>
      <c r="C125" s="14">
        <v>5.5999999999999999E-3</v>
      </c>
      <c r="D125" s="1">
        <v>2.0999999999999999E-3</v>
      </c>
      <c r="E125" s="31">
        <f t="shared" si="40"/>
        <v>2.6457513110645908E-2</v>
      </c>
      <c r="F125" s="31">
        <f t="shared" si="41"/>
        <v>1.6201851746019649E-2</v>
      </c>
      <c r="G125" s="20">
        <v>0.185</v>
      </c>
      <c r="H125" s="20">
        <v>0.1699460414</v>
      </c>
      <c r="I125" s="20">
        <v>0.1702071265</v>
      </c>
    </row>
    <row r="126" spans="1:9" ht="15.75" customHeight="1">
      <c r="A126" s="1" t="s">
        <v>63</v>
      </c>
      <c r="B126" s="14">
        <v>8</v>
      </c>
      <c r="C126" s="14">
        <v>9.1999999999999998E-3</v>
      </c>
      <c r="D126" s="1">
        <v>8.2000000000000007E-3</v>
      </c>
      <c r="E126" s="31">
        <f t="shared" si="40"/>
        <v>3.3911649915626334E-2</v>
      </c>
      <c r="F126" s="31">
        <f t="shared" si="41"/>
        <v>3.2015621187164243E-2</v>
      </c>
      <c r="G126" s="20">
        <v>0.14899999999999999</v>
      </c>
      <c r="H126" s="20">
        <v>0.14377706940000001</v>
      </c>
      <c r="I126" s="20">
        <v>0.13113047319999999</v>
      </c>
    </row>
    <row r="127" spans="1:9" ht="15.75" customHeight="1">
      <c r="A127" s="1" t="s">
        <v>64</v>
      </c>
      <c r="B127" s="14">
        <v>8</v>
      </c>
      <c r="C127" s="14">
        <v>1.5299999999999999E-2</v>
      </c>
      <c r="D127" s="1">
        <v>2.5000000000000001E-3</v>
      </c>
      <c r="E127" s="31">
        <f t="shared" si="40"/>
        <v>4.3732139211339748E-2</v>
      </c>
      <c r="F127" s="31">
        <f t="shared" si="41"/>
        <v>1.7677669529663688E-2</v>
      </c>
      <c r="G127" s="20">
        <v>0.113</v>
      </c>
      <c r="H127" s="20">
        <v>0.10887910119999999</v>
      </c>
      <c r="I127" s="20">
        <v>9.9453577030000004E-2</v>
      </c>
    </row>
    <row r="129" spans="1:9" ht="15.75" customHeight="1">
      <c r="A129" s="16"/>
    </row>
    <row r="130" spans="1:9" ht="15.75" customHeight="1">
      <c r="A130" s="16" t="s">
        <v>77</v>
      </c>
      <c r="C130" s="1" t="s">
        <v>55</v>
      </c>
      <c r="D130" s="1" t="s">
        <v>56</v>
      </c>
      <c r="E130" s="1" t="s">
        <v>55</v>
      </c>
      <c r="F130" s="1" t="s">
        <v>56</v>
      </c>
      <c r="G130" s="1" t="s">
        <v>55</v>
      </c>
      <c r="H130" s="1" t="s">
        <v>82</v>
      </c>
      <c r="I130" s="1" t="s">
        <v>83</v>
      </c>
    </row>
    <row r="131" spans="1:9" ht="15.75" customHeight="1">
      <c r="A131" s="1" t="s">
        <v>54</v>
      </c>
      <c r="B131" s="1" t="s">
        <v>90</v>
      </c>
      <c r="C131" s="1" t="s">
        <v>91</v>
      </c>
      <c r="D131" s="1" t="s">
        <v>91</v>
      </c>
      <c r="E131" s="1" t="s">
        <v>86</v>
      </c>
      <c r="F131" s="1" t="s">
        <v>86</v>
      </c>
      <c r="G131" s="1" t="s">
        <v>87</v>
      </c>
      <c r="H131" s="1" t="s">
        <v>87</v>
      </c>
      <c r="I131" s="1" t="s">
        <v>87</v>
      </c>
    </row>
    <row r="132" spans="1:9" ht="15.75" customHeight="1">
      <c r="A132" s="1" t="s">
        <v>60</v>
      </c>
      <c r="B132" s="14">
        <v>12</v>
      </c>
      <c r="C132" s="14">
        <v>5.4999999999999997E-3</v>
      </c>
      <c r="D132" s="1">
        <v>6.7999999999999996E-3</v>
      </c>
      <c r="E132" s="31">
        <f t="shared" ref="E132:E137" si="42">SQRT(C132)/SQRT(B132)</f>
        <v>2.1408720964441883E-2</v>
      </c>
      <c r="F132" s="31">
        <f t="shared" ref="F132:F137" si="43">SQRT(D132)/SQRT(B132)</f>
        <v>2.3804761428476165E-2</v>
      </c>
      <c r="G132" s="20">
        <v>0</v>
      </c>
      <c r="H132" s="20">
        <v>0</v>
      </c>
      <c r="I132" s="20">
        <v>0</v>
      </c>
    </row>
    <row r="133" spans="1:9" ht="15.75" customHeight="1">
      <c r="A133" s="1" t="s">
        <v>61</v>
      </c>
      <c r="B133" s="14">
        <v>12</v>
      </c>
      <c r="C133" s="14">
        <v>1E-3</v>
      </c>
      <c r="D133" s="1">
        <v>1E-3</v>
      </c>
      <c r="E133" s="31">
        <f t="shared" si="42"/>
        <v>9.1287092917527683E-3</v>
      </c>
      <c r="F133" s="31">
        <f t="shared" si="43"/>
        <v>9.1287092917527683E-3</v>
      </c>
      <c r="G133" s="20">
        <v>0.215</v>
      </c>
      <c r="H133" s="20">
        <v>0.19773531420000001</v>
      </c>
      <c r="I133" s="20">
        <v>0.23128876770000001</v>
      </c>
    </row>
    <row r="134" spans="1:9" ht="15.75" customHeight="1">
      <c r="A134" s="1" t="s">
        <v>62</v>
      </c>
      <c r="B134" s="14">
        <v>12</v>
      </c>
      <c r="C134" s="14">
        <v>3.3999999999999998E-3</v>
      </c>
      <c r="D134" s="1">
        <v>3.3E-3</v>
      </c>
      <c r="E134" s="31">
        <f t="shared" si="42"/>
        <v>1.6832508230603463E-2</v>
      </c>
      <c r="F134" s="31">
        <f t="shared" si="43"/>
        <v>1.6583123951777003E-2</v>
      </c>
      <c r="G134" s="20">
        <v>0.38200000000000001</v>
      </c>
      <c r="H134" s="20">
        <v>0.35913716239999999</v>
      </c>
      <c r="I134" s="20">
        <v>0.38453453809999999</v>
      </c>
    </row>
    <row r="135" spans="1:9" ht="15.75" customHeight="1">
      <c r="A135" s="1" t="s">
        <v>40</v>
      </c>
      <c r="B135" s="14">
        <v>12</v>
      </c>
      <c r="C135" s="14">
        <v>2.2000000000000001E-3</v>
      </c>
      <c r="D135" s="1">
        <v>1.6999999999999999E-3</v>
      </c>
      <c r="E135" s="31">
        <f t="shared" si="42"/>
        <v>1.3540064007726602E-2</v>
      </c>
      <c r="F135" s="31">
        <f t="shared" si="43"/>
        <v>1.1902380714238082E-2</v>
      </c>
      <c r="G135" s="20">
        <v>0.22900000000000001</v>
      </c>
      <c r="H135" s="20">
        <v>0.18942359510000001</v>
      </c>
      <c r="I135" s="20">
        <v>0.22969541490000001</v>
      </c>
    </row>
    <row r="136" spans="1:9" ht="15.75" customHeight="1">
      <c r="A136" s="1" t="s">
        <v>63</v>
      </c>
      <c r="B136" s="14">
        <v>12</v>
      </c>
      <c r="C136" s="14">
        <v>1.8E-3</v>
      </c>
      <c r="D136" s="1">
        <v>8.0000000000000004E-4</v>
      </c>
      <c r="E136" s="31">
        <f t="shared" si="42"/>
        <v>1.2247448713915893E-2</v>
      </c>
      <c r="F136" s="31">
        <f t="shared" si="43"/>
        <v>8.1649658092772612E-3</v>
      </c>
      <c r="G136" s="20">
        <v>0.20499999999999999</v>
      </c>
      <c r="H136" s="20">
        <v>0.17406782600000001</v>
      </c>
      <c r="I136" s="20">
        <v>0.19124953319999999</v>
      </c>
    </row>
    <row r="137" spans="1:9" ht="15.75" customHeight="1">
      <c r="A137" s="1" t="s">
        <v>64</v>
      </c>
      <c r="B137" s="14">
        <v>12</v>
      </c>
      <c r="C137" s="14">
        <v>4.0000000000000002E-4</v>
      </c>
      <c r="D137" s="1">
        <v>2.9999999999999997E-4</v>
      </c>
      <c r="E137" s="31">
        <f t="shared" si="42"/>
        <v>5.773502691896258E-3</v>
      </c>
      <c r="F137" s="31">
        <f t="shared" si="43"/>
        <v>5.0000000000000001E-3</v>
      </c>
      <c r="G137" s="20">
        <v>0.14099999999999999</v>
      </c>
      <c r="H137" s="20">
        <v>0.130732396</v>
      </c>
      <c r="I137" s="20">
        <v>0.14452065459999999</v>
      </c>
    </row>
    <row r="139" spans="1:9" ht="15.75" customHeight="1">
      <c r="A139" s="16" t="s">
        <v>80</v>
      </c>
      <c r="C139" s="1" t="s">
        <v>55</v>
      </c>
      <c r="D139" s="1" t="s">
        <v>56</v>
      </c>
      <c r="E139" s="1" t="s">
        <v>55</v>
      </c>
      <c r="F139" s="1" t="s">
        <v>56</v>
      </c>
      <c r="G139" s="1" t="s">
        <v>55</v>
      </c>
      <c r="H139" s="1" t="s">
        <v>82</v>
      </c>
      <c r="I139" s="1" t="s">
        <v>83</v>
      </c>
    </row>
    <row r="140" spans="1:9" ht="15.75" customHeight="1">
      <c r="A140" s="1" t="s">
        <v>54</v>
      </c>
      <c r="B140" s="1" t="s">
        <v>90</v>
      </c>
      <c r="C140" s="1" t="s">
        <v>91</v>
      </c>
      <c r="D140" s="1" t="s">
        <v>91</v>
      </c>
      <c r="E140" s="1" t="s">
        <v>86</v>
      </c>
      <c r="F140" s="1" t="s">
        <v>86</v>
      </c>
      <c r="G140" s="1" t="s">
        <v>87</v>
      </c>
      <c r="H140" s="1" t="s">
        <v>87</v>
      </c>
      <c r="I140" s="1" t="s">
        <v>87</v>
      </c>
    </row>
    <row r="141" spans="1:9" ht="15.75" customHeight="1">
      <c r="A141" s="1" t="s">
        <v>60</v>
      </c>
      <c r="B141" s="14">
        <v>6</v>
      </c>
      <c r="C141" s="14">
        <v>5.9999999999999995E-4</v>
      </c>
      <c r="D141" s="1">
        <v>1.1999999999999999E-3</v>
      </c>
      <c r="E141" s="31">
        <f t="shared" ref="E141:E146" si="44">SQRT(C141)/SQRT(B141)</f>
        <v>0.01</v>
      </c>
      <c r="F141" s="31">
        <f t="shared" ref="F141:F146" si="45">SQRT(D141)/SQRT(B141)</f>
        <v>1.4142135623730952E-2</v>
      </c>
      <c r="G141" s="20">
        <v>0</v>
      </c>
      <c r="H141" s="20">
        <v>0</v>
      </c>
      <c r="I141" s="20">
        <v>0</v>
      </c>
    </row>
    <row r="142" spans="1:9" ht="15.75" customHeight="1">
      <c r="A142" s="1" t="s">
        <v>61</v>
      </c>
      <c r="B142" s="14">
        <v>6</v>
      </c>
      <c r="C142" s="14">
        <v>8.9999999999999998E-4</v>
      </c>
      <c r="D142" s="1">
        <v>8.9999999999999998E-4</v>
      </c>
      <c r="E142" s="31">
        <f t="shared" si="44"/>
        <v>1.2247448713915891E-2</v>
      </c>
      <c r="F142" s="31">
        <f t="shared" si="45"/>
        <v>1.2247448713915891E-2</v>
      </c>
      <c r="G142" s="20">
        <v>0.122</v>
      </c>
      <c r="H142" s="20">
        <v>0.1220495166</v>
      </c>
      <c r="I142" s="20">
        <v>0.12084750349999999</v>
      </c>
    </row>
    <row r="143" spans="1:9" ht="15.75" customHeight="1">
      <c r="A143" s="1" t="s">
        <v>62</v>
      </c>
      <c r="B143" s="14">
        <v>6</v>
      </c>
      <c r="C143" s="14">
        <v>3.5000000000000001E-3</v>
      </c>
      <c r="D143" s="1">
        <v>2.3E-3</v>
      </c>
      <c r="E143" s="31">
        <f t="shared" si="44"/>
        <v>2.4152294576982401E-2</v>
      </c>
      <c r="F143" s="31">
        <f t="shared" si="45"/>
        <v>1.9578900207451219E-2</v>
      </c>
      <c r="G143" s="20">
        <v>0.23</v>
      </c>
      <c r="H143" s="20">
        <v>0.2185459803</v>
      </c>
      <c r="I143" s="20">
        <v>0.2188100734</v>
      </c>
    </row>
    <row r="144" spans="1:9" ht="15.75" customHeight="1">
      <c r="A144" s="1" t="s">
        <v>40</v>
      </c>
      <c r="B144" s="14">
        <v>6</v>
      </c>
      <c r="C144" s="14">
        <v>2.0999999999999999E-3</v>
      </c>
      <c r="D144" s="1">
        <v>1.1000000000000001E-3</v>
      </c>
      <c r="E144" s="31">
        <f t="shared" si="44"/>
        <v>1.8708286933869708E-2</v>
      </c>
      <c r="F144" s="31">
        <f t="shared" si="45"/>
        <v>1.3540064007726602E-2</v>
      </c>
      <c r="G144" s="20">
        <v>0.13</v>
      </c>
      <c r="H144" s="20">
        <v>0.1133028069</v>
      </c>
      <c r="I144" s="20">
        <v>0.1172693834</v>
      </c>
    </row>
    <row r="145" spans="1:9" ht="15.75" customHeight="1">
      <c r="A145" s="1" t="s">
        <v>63</v>
      </c>
      <c r="B145" s="14">
        <v>6</v>
      </c>
      <c r="C145" s="14">
        <v>1.1000000000000001E-3</v>
      </c>
      <c r="D145" s="1">
        <v>2.0000000000000001E-4</v>
      </c>
      <c r="E145" s="31">
        <f t="shared" si="44"/>
        <v>1.3540064007726602E-2</v>
      </c>
      <c r="F145" s="31">
        <f t="shared" si="45"/>
        <v>5.773502691896258E-3</v>
      </c>
      <c r="G145" s="20">
        <v>0.105</v>
      </c>
      <c r="H145" s="20">
        <v>0.1000994964</v>
      </c>
      <c r="I145" s="20">
        <v>8.9244164510000001E-2</v>
      </c>
    </row>
    <row r="146" spans="1:9" ht="15.75" customHeight="1">
      <c r="A146" s="1" t="s">
        <v>64</v>
      </c>
      <c r="B146" s="14">
        <v>6</v>
      </c>
      <c r="C146" s="14">
        <v>2.0000000000000001E-4</v>
      </c>
      <c r="D146" s="1">
        <v>4.0000000000000002E-4</v>
      </c>
      <c r="E146" s="31">
        <f t="shared" si="44"/>
        <v>5.773502691896258E-3</v>
      </c>
      <c r="F146" s="31">
        <f t="shared" si="45"/>
        <v>8.1649658092772612E-3</v>
      </c>
      <c r="G146" s="20">
        <v>7.5899999999999995E-2</v>
      </c>
      <c r="H146" s="20">
        <v>7.525260969E-2</v>
      </c>
      <c r="I146" s="20">
        <v>6.9073139510000006E-2</v>
      </c>
    </row>
    <row r="192" spans="1:1" ht="15.75" customHeight="1">
      <c r="A192" s="1"/>
    </row>
    <row r="210" spans="1:1" ht="15.75" customHeight="1">
      <c r="A2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F6F2-BC77-43DA-9F33-5A73D0315675}">
  <sheetPr>
    <outlinePr summaryBelow="0" summaryRight="0"/>
    <pageSetUpPr fitToPage="1"/>
  </sheetPr>
  <dimension ref="A2:O88"/>
  <sheetViews>
    <sheetView workbookViewId="0">
      <selection activeCell="D25" sqref="D25"/>
    </sheetView>
  </sheetViews>
  <sheetFormatPr defaultColWidth="12.6640625" defaultRowHeight="15.75" customHeight="1"/>
  <cols>
    <col min="1" max="16384" width="12.6640625" style="2"/>
  </cols>
  <sheetData>
    <row r="2" spans="1:15" ht="15.75" customHeight="1">
      <c r="B2" s="1" t="s">
        <v>92</v>
      </c>
      <c r="J2" s="1" t="s">
        <v>93</v>
      </c>
    </row>
    <row r="3" spans="1:15" ht="15.75" customHeight="1">
      <c r="B3" s="1" t="s">
        <v>36</v>
      </c>
      <c r="C3" s="1" t="s">
        <v>38</v>
      </c>
      <c r="D3" s="1" t="s">
        <v>39</v>
      </c>
      <c r="E3" s="1" t="s">
        <v>40</v>
      </c>
      <c r="F3" s="1" t="s">
        <v>63</v>
      </c>
      <c r="G3" s="1" t="s">
        <v>64</v>
      </c>
      <c r="J3" s="1" t="s">
        <v>36</v>
      </c>
      <c r="K3" s="32" t="s">
        <v>38</v>
      </c>
      <c r="L3" s="32" t="s">
        <v>39</v>
      </c>
      <c r="M3" s="32" t="s">
        <v>40</v>
      </c>
      <c r="N3" s="32" t="s">
        <v>63</v>
      </c>
      <c r="O3" s="32" t="s">
        <v>64</v>
      </c>
    </row>
    <row r="4" spans="1:15" ht="15.75" customHeight="1">
      <c r="A4" s="16" t="s">
        <v>41</v>
      </c>
      <c r="B4" s="33">
        <v>-2.520537559204385E-2</v>
      </c>
      <c r="C4" s="31">
        <v>2.3098941117963789E-2</v>
      </c>
      <c r="D4" s="31">
        <v>2.1420814080132598E-2</v>
      </c>
      <c r="E4" s="31">
        <v>2.6462814385869893E-2</v>
      </c>
      <c r="F4" s="31">
        <v>2.518142955999603E-2</v>
      </c>
      <c r="G4" s="31">
        <v>2.2295932703841156E-2</v>
      </c>
      <c r="I4" s="34" t="s">
        <v>41</v>
      </c>
      <c r="J4" s="33">
        <v>-7.7525375592043852E-2</v>
      </c>
      <c r="K4" s="31">
        <v>-2.9221058882036209E-2</v>
      </c>
      <c r="L4" s="31">
        <v>-3.08991859198674E-2</v>
      </c>
      <c r="M4" s="31">
        <v>-2.5857185614130106E-2</v>
      </c>
      <c r="N4" s="31">
        <v>-2.7138570440003968E-2</v>
      </c>
      <c r="O4" s="31">
        <v>-3.0024067296158842E-2</v>
      </c>
    </row>
    <row r="5" spans="1:15" ht="15.75" customHeight="1">
      <c r="A5" s="16" t="s">
        <v>65</v>
      </c>
      <c r="B5" s="33">
        <v>7.7076834727954818E-2</v>
      </c>
      <c r="C5" s="31">
        <v>8.8163303316007469E-2</v>
      </c>
      <c r="D5" s="31">
        <v>-1.9340342002738438</v>
      </c>
      <c r="E5" s="31">
        <v>-1.9573040289840258</v>
      </c>
      <c r="F5" s="31">
        <v>8.8084662369881189E-2</v>
      </c>
      <c r="G5" s="31">
        <v>8.5351005125915272E-2</v>
      </c>
      <c r="I5" s="34" t="s">
        <v>65</v>
      </c>
      <c r="J5" s="33">
        <v>-4.4423165272045179E-2</v>
      </c>
      <c r="K5" s="31">
        <v>-3.3336696683992528E-2</v>
      </c>
      <c r="L5" s="31">
        <v>-2.0555342002738439</v>
      </c>
      <c r="M5" s="31">
        <v>-2.0788040289840257</v>
      </c>
      <c r="N5" s="31">
        <v>-3.3415337630118808E-2</v>
      </c>
      <c r="O5" s="31">
        <v>-3.6148994874084725E-2</v>
      </c>
    </row>
    <row r="6" spans="1:15" ht="15.75" customHeight="1">
      <c r="A6" s="16" t="s">
        <v>68</v>
      </c>
      <c r="B6" s="33">
        <v>0.45711179135609442</v>
      </c>
      <c r="C6" s="31">
        <v>0.45747778468602113</v>
      </c>
      <c r="D6" s="31">
        <v>0.45993034816812445</v>
      </c>
      <c r="E6" s="31">
        <v>0.45760975997591996</v>
      </c>
      <c r="F6" s="31">
        <v>0.45770146239396686</v>
      </c>
      <c r="G6" s="31">
        <v>0.45744513100602624</v>
      </c>
      <c r="I6" s="34" t="s">
        <v>68</v>
      </c>
      <c r="J6" s="33">
        <v>1.5658322033385241E-2</v>
      </c>
      <c r="K6" s="31">
        <v>1.6024315363311947E-2</v>
      </c>
      <c r="L6" s="31">
        <v>1.8476878845415268E-2</v>
      </c>
      <c r="M6" s="31">
        <v>1.6156290653210781E-2</v>
      </c>
      <c r="N6" s="31">
        <v>1.6247993071257683E-2</v>
      </c>
      <c r="O6" s="31">
        <v>1.599166168331706E-2</v>
      </c>
    </row>
    <row r="7" spans="1:15" ht="15.75" customHeight="1">
      <c r="A7" s="16" t="s">
        <v>70</v>
      </c>
      <c r="B7" s="33">
        <v>1.8149293582460444</v>
      </c>
      <c r="C7" s="31">
        <v>1.8132781704943155</v>
      </c>
      <c r="D7" s="31">
        <v>1.8104832875997308</v>
      </c>
      <c r="E7" s="31">
        <v>1.8096288496401864</v>
      </c>
      <c r="F7" s="31">
        <v>1.8102302215792869</v>
      </c>
      <c r="G7" s="31">
        <v>1.8121050870401219</v>
      </c>
      <c r="I7" s="34" t="s">
        <v>70</v>
      </c>
      <c r="J7" s="33">
        <v>0.28371935824604444</v>
      </c>
      <c r="K7" s="31">
        <v>0.28206817049431554</v>
      </c>
      <c r="L7" s="31">
        <v>0.2792732875997308</v>
      </c>
      <c r="M7" s="31">
        <v>0.27841884964018648</v>
      </c>
      <c r="N7" s="31">
        <v>0.27902022157928696</v>
      </c>
      <c r="O7" s="31">
        <v>0.28089508704012189</v>
      </c>
    </row>
    <row r="8" spans="1:15" ht="15.75" customHeight="1">
      <c r="A8" s="16" t="s">
        <v>72</v>
      </c>
      <c r="B8" s="33">
        <v>0.52293562372794533</v>
      </c>
      <c r="C8" s="31">
        <v>0.53713915818578473</v>
      </c>
      <c r="D8" s="31">
        <v>0.54561333237385889</v>
      </c>
      <c r="E8" s="31">
        <v>0.54401847221995669</v>
      </c>
      <c r="F8" s="31">
        <v>0.53934573061202962</v>
      </c>
      <c r="G8" s="31">
        <v>0.53081903842167033</v>
      </c>
      <c r="I8" s="34" t="s">
        <v>72</v>
      </c>
      <c r="J8" s="33">
        <v>-2.154127627205471E-2</v>
      </c>
      <c r="K8" s="31">
        <v>-7.337741814215315E-3</v>
      </c>
      <c r="L8" s="31">
        <v>1.1364323738588533E-3</v>
      </c>
      <c r="M8" s="31">
        <v>-4.5842778004334672E-4</v>
      </c>
      <c r="N8" s="31">
        <v>-5.1311693879704245E-3</v>
      </c>
      <c r="O8" s="31">
        <v>-1.3657861578329711E-2</v>
      </c>
    </row>
    <row r="9" spans="1:15" ht="15.75" customHeight="1">
      <c r="A9" s="16" t="s">
        <v>76</v>
      </c>
      <c r="B9" s="33">
        <v>0.22493324199570786</v>
      </c>
      <c r="C9" s="31">
        <v>0.14158717282217531</v>
      </c>
      <c r="D9" s="31">
        <v>0.14350040635612443</v>
      </c>
      <c r="E9" s="31">
        <v>0.13955420912798711</v>
      </c>
      <c r="F9" s="31">
        <v>0.14379701061591696</v>
      </c>
      <c r="G9" s="31">
        <v>0.14820634587170478</v>
      </c>
      <c r="I9" s="34" t="s">
        <v>76</v>
      </c>
      <c r="J9" s="33">
        <v>0.12590704199570785</v>
      </c>
      <c r="K9" s="31">
        <v>4.2560972822175316E-2</v>
      </c>
      <c r="L9" s="31">
        <v>4.4474206356124438E-2</v>
      </c>
      <c r="M9" s="31">
        <v>4.0528009127987111E-2</v>
      </c>
      <c r="N9" s="31">
        <v>4.4770810615916964E-2</v>
      </c>
      <c r="O9" s="31">
        <v>4.9180145871704786E-2</v>
      </c>
    </row>
    <row r="10" spans="1:15" ht="15.75" customHeight="1">
      <c r="A10" s="16" t="s">
        <v>77</v>
      </c>
      <c r="B10" s="33">
        <v>1.298803115254092</v>
      </c>
      <c r="C10" s="31">
        <v>1.29950707417214</v>
      </c>
      <c r="D10" s="31">
        <v>1.2979369763925463</v>
      </c>
      <c r="E10" s="31">
        <v>1.298530184911358</v>
      </c>
      <c r="F10" s="31">
        <v>1.3011778541319432</v>
      </c>
      <c r="G10" s="31">
        <v>1.3003212392594454</v>
      </c>
      <c r="I10" s="34" t="s">
        <v>77</v>
      </c>
      <c r="J10" s="33">
        <v>0.20980311525409201</v>
      </c>
      <c r="K10" s="31">
        <v>0.21050707417213999</v>
      </c>
      <c r="L10" s="31">
        <v>0.20893697639254638</v>
      </c>
      <c r="M10" s="31">
        <v>0.209530184911358</v>
      </c>
      <c r="N10" s="31">
        <v>0.21217785413194323</v>
      </c>
      <c r="O10" s="31">
        <v>0.21132123925944546</v>
      </c>
    </row>
    <row r="11" spans="1:15" ht="15.75" customHeight="1">
      <c r="A11" s="16" t="s">
        <v>80</v>
      </c>
      <c r="B11" s="33">
        <v>1.9356565439418931</v>
      </c>
      <c r="C11" s="31">
        <v>1.9351324523780331</v>
      </c>
      <c r="D11" s="31">
        <v>1.9308866576360491</v>
      </c>
      <c r="E11" s="31">
        <v>1.9311944185699912</v>
      </c>
      <c r="F11" s="31">
        <v>1.9331359519599618</v>
      </c>
      <c r="G11" s="31">
        <v>1.9361387299499597</v>
      </c>
      <c r="I11" s="34" t="s">
        <v>80</v>
      </c>
      <c r="J11" s="33">
        <v>0.15770052800563805</v>
      </c>
      <c r="K11" s="31">
        <v>0.15717643644177803</v>
      </c>
      <c r="L11" s="31">
        <v>0.15293064169979398</v>
      </c>
      <c r="M11" s="31">
        <v>0.15323840263373611</v>
      </c>
      <c r="N11" s="31">
        <v>0.15517993602370672</v>
      </c>
      <c r="O11" s="31">
        <v>0.15818271401370465</v>
      </c>
    </row>
    <row r="13" spans="1:15" ht="15.75" customHeight="1">
      <c r="B13" s="1" t="s">
        <v>94</v>
      </c>
      <c r="J13" s="1" t="s">
        <v>95</v>
      </c>
    </row>
    <row r="14" spans="1:15" ht="15.75" customHeight="1">
      <c r="A14" s="32"/>
      <c r="B14" s="1" t="s">
        <v>36</v>
      </c>
      <c r="C14" s="1" t="s">
        <v>38</v>
      </c>
      <c r="D14" s="1" t="s">
        <v>39</v>
      </c>
      <c r="E14" s="1" t="s">
        <v>40</v>
      </c>
      <c r="F14" s="1" t="s">
        <v>63</v>
      </c>
      <c r="G14" s="1" t="s">
        <v>64</v>
      </c>
      <c r="I14" s="32"/>
      <c r="J14" s="1" t="s">
        <v>36</v>
      </c>
      <c r="K14" s="1" t="s">
        <v>38</v>
      </c>
      <c r="L14" s="1" t="s">
        <v>39</v>
      </c>
      <c r="M14" s="1" t="s">
        <v>40</v>
      </c>
      <c r="N14" s="1" t="s">
        <v>63</v>
      </c>
      <c r="O14" s="1" t="s">
        <v>64</v>
      </c>
    </row>
    <row r="15" spans="1:15" ht="15.75" customHeight="1">
      <c r="A15" s="16" t="s">
        <v>41</v>
      </c>
      <c r="B15" s="35">
        <v>0.108</v>
      </c>
      <c r="C15" s="9">
        <v>0.04</v>
      </c>
      <c r="D15" s="9">
        <v>3.5000000000000003E-2</v>
      </c>
      <c r="E15" s="9">
        <v>2.7E-2</v>
      </c>
      <c r="F15" s="9">
        <v>3.3000000000000002E-2</v>
      </c>
      <c r="G15" s="9">
        <v>4.5999999999999999E-2</v>
      </c>
      <c r="I15" s="16" t="s">
        <v>41</v>
      </c>
      <c r="J15" s="35">
        <v>6.4000000000000001E-2</v>
      </c>
      <c r="K15" s="9">
        <v>1.4999999999999999E-2</v>
      </c>
      <c r="L15" s="9">
        <v>2.8000000000000001E-2</v>
      </c>
      <c r="M15" s="9">
        <v>1.9E-2</v>
      </c>
      <c r="N15" s="9">
        <v>1.2E-2</v>
      </c>
      <c r="O15" s="9">
        <v>1.4999999999999999E-2</v>
      </c>
    </row>
    <row r="16" spans="1:15" ht="15.75" customHeight="1">
      <c r="A16" s="16" t="s">
        <v>65</v>
      </c>
      <c r="B16" s="35">
        <v>5.5E-2</v>
      </c>
      <c r="C16" s="9">
        <v>2.3E-2</v>
      </c>
      <c r="D16" s="9">
        <v>5.0999999999999997E-2</v>
      </c>
      <c r="E16" s="9">
        <v>0.05</v>
      </c>
      <c r="F16" s="9">
        <v>0.02</v>
      </c>
      <c r="G16" s="9">
        <v>2.7E-2</v>
      </c>
      <c r="I16" s="16" t="s">
        <v>65</v>
      </c>
      <c r="J16" s="35">
        <v>3.2000000000000001E-2</v>
      </c>
      <c r="K16" s="9">
        <v>1.2E-2</v>
      </c>
      <c r="L16" s="9">
        <v>1.9E-2</v>
      </c>
      <c r="M16" s="9">
        <v>1.2E-2</v>
      </c>
      <c r="N16" s="9">
        <v>0.01</v>
      </c>
      <c r="O16" s="9">
        <v>8.9999999999999993E-3</v>
      </c>
    </row>
    <row r="17" spans="1:15" ht="15.75" customHeight="1">
      <c r="A17" s="16" t="s">
        <v>68</v>
      </c>
      <c r="B17" s="36">
        <v>1.0999999999999999E-2</v>
      </c>
      <c r="C17" s="9">
        <v>1.2E-2</v>
      </c>
      <c r="D17" s="9">
        <v>0.02</v>
      </c>
      <c r="E17" s="9">
        <v>1.4E-2</v>
      </c>
      <c r="F17" s="9">
        <v>1.0999999999999999E-2</v>
      </c>
      <c r="G17" s="9">
        <v>7.0000000000000001E-3</v>
      </c>
      <c r="I17" s="16" t="s">
        <v>68</v>
      </c>
      <c r="J17" s="35">
        <v>1.2999999999999999E-2</v>
      </c>
      <c r="K17" s="9">
        <v>1.2999999999999999E-2</v>
      </c>
      <c r="L17" s="9">
        <v>2.1000000000000001E-2</v>
      </c>
      <c r="M17" s="9">
        <v>1.0999999999999999E-2</v>
      </c>
      <c r="N17" s="9">
        <v>8.9999999999999993E-3</v>
      </c>
      <c r="O17" s="9">
        <v>6.0000000000000001E-3</v>
      </c>
    </row>
    <row r="18" spans="1:15" ht="15.75" customHeight="1">
      <c r="A18" s="16" t="s">
        <v>70</v>
      </c>
      <c r="B18" s="36">
        <v>3.5000000000000003E-2</v>
      </c>
      <c r="C18" s="9">
        <v>1.2E-2</v>
      </c>
      <c r="D18" s="9">
        <v>2.7E-2</v>
      </c>
      <c r="E18" s="9">
        <v>2.1999999999999999E-2</v>
      </c>
      <c r="F18" s="9">
        <v>1.6E-2</v>
      </c>
      <c r="G18" s="9">
        <v>6.0000000000000001E-3</v>
      </c>
      <c r="I18" s="16" t="s">
        <v>70</v>
      </c>
      <c r="J18" s="35">
        <v>3.3000000000000002E-2</v>
      </c>
      <c r="K18" s="9">
        <v>1.4E-2</v>
      </c>
      <c r="L18" s="9">
        <v>2.9000000000000001E-2</v>
      </c>
      <c r="M18" s="9">
        <v>2.3E-2</v>
      </c>
      <c r="N18" s="9">
        <v>1.4999999999999999E-2</v>
      </c>
      <c r="O18" s="9">
        <v>0.01</v>
      </c>
    </row>
    <row r="19" spans="1:15" ht="15.75" customHeight="1">
      <c r="A19" s="16" t="s">
        <v>72</v>
      </c>
      <c r="B19" s="36">
        <v>7.3999999999999996E-2</v>
      </c>
      <c r="C19" s="9">
        <v>1.6E-2</v>
      </c>
      <c r="D19" s="9">
        <v>1.7999999999999999E-2</v>
      </c>
      <c r="E19" s="9">
        <v>1.4999999999999999E-2</v>
      </c>
      <c r="F19" s="9">
        <v>1.0999999999999999E-2</v>
      </c>
      <c r="G19" s="9">
        <v>2.5000000000000001E-2</v>
      </c>
      <c r="I19" s="16" t="s">
        <v>72</v>
      </c>
      <c r="J19" s="35">
        <v>3.3000000000000002E-2</v>
      </c>
      <c r="K19" s="9">
        <v>1.4E-2</v>
      </c>
      <c r="L19" s="9">
        <v>2.7E-2</v>
      </c>
      <c r="M19" s="9">
        <v>2.1999999999999999E-2</v>
      </c>
      <c r="N19" s="9">
        <v>1.4999999999999999E-2</v>
      </c>
      <c r="O19" s="9">
        <v>8.9999999999999993E-3</v>
      </c>
    </row>
    <row r="20" spans="1:15" ht="15.75" customHeight="1">
      <c r="A20" s="16" t="s">
        <v>76</v>
      </c>
      <c r="B20" s="36">
        <v>9.5000000000000001E-2</v>
      </c>
      <c r="C20" s="9">
        <v>3.5999999999999997E-2</v>
      </c>
      <c r="D20" s="9">
        <v>0.03</v>
      </c>
      <c r="E20" s="9">
        <v>2.5999999999999999E-2</v>
      </c>
      <c r="F20" s="9">
        <v>3.4000000000000002E-2</v>
      </c>
      <c r="G20" s="9">
        <v>4.3999999999999997E-2</v>
      </c>
      <c r="I20" s="16" t="s">
        <v>76</v>
      </c>
      <c r="J20" s="35">
        <v>0.126</v>
      </c>
      <c r="K20" s="9">
        <v>1.4E-2</v>
      </c>
      <c r="L20" s="9">
        <v>2.4E-2</v>
      </c>
      <c r="M20" s="9">
        <v>1.6E-2</v>
      </c>
      <c r="N20" s="9">
        <v>3.2000000000000001E-2</v>
      </c>
      <c r="O20" s="9">
        <v>1.7999999999999999E-2</v>
      </c>
    </row>
    <row r="21" spans="1:15" ht="15.75" customHeight="1">
      <c r="A21" s="16" t="s">
        <v>77</v>
      </c>
      <c r="B21" s="36">
        <v>2.1000000000000001E-2</v>
      </c>
      <c r="C21" s="9">
        <v>8.9999999999999993E-3</v>
      </c>
      <c r="D21" s="9">
        <v>1.7000000000000001E-2</v>
      </c>
      <c r="E21" s="9">
        <v>1.4E-2</v>
      </c>
      <c r="F21" s="9">
        <v>1.2E-2</v>
      </c>
      <c r="G21" s="9">
        <v>6.0000000000000001E-3</v>
      </c>
      <c r="I21" s="16" t="s">
        <v>77</v>
      </c>
      <c r="J21" s="35">
        <v>2.4E-2</v>
      </c>
      <c r="K21" s="9">
        <v>8.9999999999999993E-3</v>
      </c>
      <c r="L21" s="9">
        <v>1.7000000000000001E-2</v>
      </c>
      <c r="M21" s="9">
        <v>1.2E-2</v>
      </c>
      <c r="N21" s="9">
        <v>8.0000000000000002E-3</v>
      </c>
      <c r="O21" s="9">
        <v>5.0000000000000001E-3</v>
      </c>
    </row>
    <row r="22" spans="1:15" ht="15.75" customHeight="1">
      <c r="A22" s="16" t="s">
        <v>80</v>
      </c>
      <c r="B22" s="36">
        <v>0.01</v>
      </c>
      <c r="C22" s="9">
        <v>1.2E-2</v>
      </c>
      <c r="D22" s="9">
        <v>2.4E-2</v>
      </c>
      <c r="E22" s="9">
        <v>1.9E-2</v>
      </c>
      <c r="F22" s="9">
        <v>1.4E-2</v>
      </c>
      <c r="G22" s="9">
        <v>6.0000000000000001E-3</v>
      </c>
      <c r="I22" s="16" t="s">
        <v>80</v>
      </c>
      <c r="J22" s="35">
        <v>1.4E-2</v>
      </c>
      <c r="K22" s="9">
        <v>1.2E-2</v>
      </c>
      <c r="L22" s="9">
        <v>0.02</v>
      </c>
      <c r="M22" s="9">
        <v>1.4E-2</v>
      </c>
      <c r="N22" s="9">
        <v>6.0000000000000001E-3</v>
      </c>
      <c r="O22" s="9">
        <v>8.0000000000000002E-3</v>
      </c>
    </row>
    <row r="23" spans="1:15" ht="15.75" customHeight="1">
      <c r="B23" s="27"/>
      <c r="C23" s="14"/>
      <c r="J23" s="27"/>
      <c r="K23" s="14"/>
    </row>
    <row r="24" spans="1:15" ht="15.75" customHeight="1">
      <c r="B24" s="1" t="s">
        <v>96</v>
      </c>
      <c r="J24" s="1" t="s">
        <v>97</v>
      </c>
    </row>
    <row r="25" spans="1:15" ht="15.75" customHeight="1">
      <c r="B25" s="1" t="s">
        <v>36</v>
      </c>
      <c r="C25" s="1" t="s">
        <v>38</v>
      </c>
      <c r="D25" s="1" t="s">
        <v>39</v>
      </c>
      <c r="E25" s="1" t="s">
        <v>40</v>
      </c>
      <c r="F25" s="1" t="s">
        <v>63</v>
      </c>
      <c r="G25" s="1" t="s">
        <v>64</v>
      </c>
      <c r="J25" s="1" t="s">
        <v>36</v>
      </c>
      <c r="K25" s="1" t="s">
        <v>38</v>
      </c>
      <c r="L25" s="1" t="s">
        <v>39</v>
      </c>
      <c r="M25" s="1" t="s">
        <v>40</v>
      </c>
      <c r="N25" s="1" t="s">
        <v>63</v>
      </c>
      <c r="O25" s="1" t="s">
        <v>64</v>
      </c>
    </row>
    <row r="26" spans="1:15" ht="15.75" customHeight="1">
      <c r="A26" s="16" t="s">
        <v>41</v>
      </c>
      <c r="B26" s="37">
        <v>0</v>
      </c>
      <c r="C26" s="38">
        <v>0.16200000000000001</v>
      </c>
      <c r="D26" s="38">
        <v>0.28000000000000003</v>
      </c>
      <c r="E26" s="38">
        <v>0.16200000000000001</v>
      </c>
      <c r="F26" s="38">
        <v>0.13100000000000001</v>
      </c>
      <c r="G26" s="38">
        <v>9.9000000000000005E-2</v>
      </c>
      <c r="I26" s="16" t="s">
        <v>41</v>
      </c>
      <c r="J26" s="37">
        <v>0</v>
      </c>
      <c r="K26" s="38">
        <v>0.153</v>
      </c>
      <c r="L26" s="38">
        <v>0.27600000000000002</v>
      </c>
      <c r="M26" s="38">
        <v>0.15</v>
      </c>
      <c r="N26" s="38">
        <v>0.127</v>
      </c>
      <c r="O26" s="38">
        <v>9.6199999999999994E-2</v>
      </c>
    </row>
    <row r="27" spans="1:15" ht="15.75" customHeight="1">
      <c r="A27" s="16" t="s">
        <v>65</v>
      </c>
      <c r="B27" s="37">
        <v>0</v>
      </c>
      <c r="C27" s="38">
        <v>0.161</v>
      </c>
      <c r="D27" s="38">
        <v>0.29399999999999998</v>
      </c>
      <c r="E27" s="38">
        <v>0.20100000000000001</v>
      </c>
      <c r="F27" s="38">
        <v>0.13</v>
      </c>
      <c r="G27" s="38">
        <v>9.9000000000000005E-2</v>
      </c>
      <c r="I27" s="16" t="s">
        <v>65</v>
      </c>
      <c r="J27" s="37">
        <v>0</v>
      </c>
      <c r="K27" s="38">
        <v>0.153</v>
      </c>
      <c r="L27" s="38">
        <v>0.27100000000000002</v>
      </c>
      <c r="M27" s="38">
        <v>0.14899999999999999</v>
      </c>
      <c r="N27" s="38">
        <v>0.125</v>
      </c>
      <c r="O27" s="38">
        <v>9.4500000000000001E-2</v>
      </c>
    </row>
    <row r="28" spans="1:15" ht="15.75" customHeight="1">
      <c r="A28" s="16" t="s">
        <v>68</v>
      </c>
      <c r="B28" s="37">
        <v>0</v>
      </c>
      <c r="C28" s="38">
        <v>0.109</v>
      </c>
      <c r="D28" s="38">
        <v>0.193</v>
      </c>
      <c r="E28" s="38">
        <v>0.112</v>
      </c>
      <c r="F28" s="38">
        <v>8.9700000000000002E-2</v>
      </c>
      <c r="G28" s="38">
        <v>6.8400000000000002E-2</v>
      </c>
      <c r="I28" s="16" t="s">
        <v>68</v>
      </c>
      <c r="J28" s="37">
        <v>0</v>
      </c>
      <c r="K28" s="38">
        <v>0.11</v>
      </c>
      <c r="L28" s="38">
        <v>0.191</v>
      </c>
      <c r="M28" s="38">
        <v>0.107</v>
      </c>
      <c r="N28" s="38">
        <v>9.0200000000000002E-2</v>
      </c>
      <c r="O28" s="38">
        <v>6.8099999999999994E-2</v>
      </c>
    </row>
    <row r="29" spans="1:15" ht="15.75" customHeight="1">
      <c r="A29" s="16" t="s">
        <v>70</v>
      </c>
      <c r="B29" s="37">
        <v>0</v>
      </c>
      <c r="C29" s="38">
        <v>0.21099999999999999</v>
      </c>
      <c r="D29" s="38">
        <v>0.374</v>
      </c>
      <c r="E29" s="38">
        <v>0.21299999999999999</v>
      </c>
      <c r="F29" s="38">
        <v>0.186</v>
      </c>
      <c r="G29" s="38">
        <v>0.14000000000000001</v>
      </c>
      <c r="I29" s="16" t="s">
        <v>70</v>
      </c>
      <c r="J29" s="37">
        <v>0</v>
      </c>
      <c r="K29" s="38">
        <v>0.2</v>
      </c>
      <c r="L29" s="38">
        <v>0.36299999999999999</v>
      </c>
      <c r="M29" s="38">
        <v>0.19400000000000001</v>
      </c>
      <c r="N29" s="38">
        <v>0.17599999999999999</v>
      </c>
      <c r="O29" s="38">
        <v>0.13300000000000001</v>
      </c>
    </row>
    <row r="30" spans="1:15" ht="15.75" customHeight="1">
      <c r="A30" s="16" t="s">
        <v>72</v>
      </c>
      <c r="B30" s="37">
        <v>0</v>
      </c>
      <c r="C30" s="38">
        <v>0.17599999999999999</v>
      </c>
      <c r="D30" s="38">
        <v>0.308</v>
      </c>
      <c r="E30" s="38">
        <v>0.18</v>
      </c>
      <c r="F30" s="38">
        <v>0.14499999999999999</v>
      </c>
      <c r="G30" s="38">
        <v>0.109</v>
      </c>
      <c r="I30" s="16" t="s">
        <v>72</v>
      </c>
      <c r="J30" s="37">
        <v>0</v>
      </c>
      <c r="K30" s="38">
        <v>0.16500000000000001</v>
      </c>
      <c r="L30" s="38">
        <v>0.30299999999999999</v>
      </c>
      <c r="M30" s="38">
        <v>0.16600000000000001</v>
      </c>
      <c r="N30" s="38">
        <v>0.14099999999999999</v>
      </c>
      <c r="O30" s="38">
        <v>0.106</v>
      </c>
    </row>
    <row r="31" spans="1:15" ht="15.75" customHeight="1">
      <c r="A31" s="16" t="s">
        <v>76</v>
      </c>
      <c r="B31" s="37">
        <v>0</v>
      </c>
      <c r="C31" s="38">
        <v>0.182</v>
      </c>
      <c r="D31" s="38">
        <v>0.309</v>
      </c>
      <c r="E31" s="38">
        <v>0.185</v>
      </c>
      <c r="F31" s="38">
        <v>0.14899999999999999</v>
      </c>
      <c r="G31" s="38">
        <v>0.113</v>
      </c>
      <c r="I31" s="16" t="s">
        <v>76</v>
      </c>
      <c r="J31" s="37">
        <v>0</v>
      </c>
      <c r="K31" s="38">
        <v>0.17100000000000001</v>
      </c>
      <c r="L31" s="38">
        <v>0.30099999999999999</v>
      </c>
      <c r="M31" s="38">
        <v>0.17</v>
      </c>
      <c r="N31" s="38">
        <v>0.14399999999999999</v>
      </c>
      <c r="O31" s="38">
        <v>0.109</v>
      </c>
    </row>
    <row r="32" spans="1:15" ht="15.75" customHeight="1">
      <c r="A32" s="16" t="s">
        <v>77</v>
      </c>
      <c r="B32" s="37">
        <v>0</v>
      </c>
      <c r="C32" s="38">
        <v>0.215</v>
      </c>
      <c r="D32" s="38">
        <v>0.38200000000000001</v>
      </c>
      <c r="E32" s="38">
        <v>0.22900000000000001</v>
      </c>
      <c r="F32" s="38">
        <v>0.20499999999999999</v>
      </c>
      <c r="G32" s="38">
        <v>0.14099999999999999</v>
      </c>
      <c r="I32" s="16" t="s">
        <v>77</v>
      </c>
      <c r="J32" s="37">
        <v>0</v>
      </c>
      <c r="K32" s="38">
        <v>0.19800000000000001</v>
      </c>
      <c r="L32" s="38">
        <v>0.35899999999999999</v>
      </c>
      <c r="M32" s="38">
        <v>0.189</v>
      </c>
      <c r="N32" s="38">
        <v>0.17399999999999999</v>
      </c>
      <c r="O32" s="38">
        <v>0.13100000000000001</v>
      </c>
    </row>
    <row r="33" spans="1:15" ht="15.75" customHeight="1">
      <c r="A33" s="16" t="s">
        <v>80</v>
      </c>
      <c r="B33" s="37">
        <v>0</v>
      </c>
      <c r="C33" s="38">
        <v>0.122</v>
      </c>
      <c r="D33" s="38">
        <v>0.23</v>
      </c>
      <c r="E33" s="38">
        <v>0.13</v>
      </c>
      <c r="F33" s="38">
        <v>0.105</v>
      </c>
      <c r="G33" s="38">
        <v>7.5899999999999995E-2</v>
      </c>
      <c r="I33" s="16" t="s">
        <v>80</v>
      </c>
      <c r="J33" s="37">
        <v>0</v>
      </c>
      <c r="K33" s="38">
        <v>0.122</v>
      </c>
      <c r="L33" s="38">
        <v>0.219</v>
      </c>
      <c r="M33" s="38">
        <v>0.113</v>
      </c>
      <c r="N33" s="38">
        <v>0.1</v>
      </c>
      <c r="O33" s="38">
        <v>7.5300000000000006E-2</v>
      </c>
    </row>
    <row r="35" spans="1:15" ht="15.75" customHeight="1">
      <c r="B35" s="39"/>
    </row>
    <row r="36" spans="1:15" ht="15.75" customHeight="1">
      <c r="B36" s="39"/>
      <c r="J36" s="1" t="s">
        <v>98</v>
      </c>
    </row>
    <row r="37" spans="1:15" ht="15.75" customHeight="1">
      <c r="B37" s="39"/>
      <c r="H37" s="39"/>
      <c r="J37" s="1" t="s">
        <v>36</v>
      </c>
      <c r="K37" s="1" t="s">
        <v>38</v>
      </c>
      <c r="L37" s="1" t="s">
        <v>39</v>
      </c>
      <c r="M37" s="1" t="s">
        <v>40</v>
      </c>
      <c r="N37" s="1" t="s">
        <v>63</v>
      </c>
      <c r="O37" s="1" t="s">
        <v>64</v>
      </c>
    </row>
    <row r="38" spans="1:15" ht="15.75" customHeight="1">
      <c r="B38" s="39"/>
      <c r="H38" s="39"/>
      <c r="I38" s="16" t="s">
        <v>41</v>
      </c>
      <c r="J38" s="37">
        <v>0</v>
      </c>
      <c r="K38" s="38">
        <v>0.15</v>
      </c>
      <c r="L38" s="38">
        <v>0.27</v>
      </c>
      <c r="M38" s="38">
        <v>0.15</v>
      </c>
      <c r="N38" s="38">
        <v>0.11600000000000001</v>
      </c>
      <c r="O38" s="38">
        <v>8.8900000000000007E-2</v>
      </c>
    </row>
    <row r="39" spans="1:15" ht="15.75" customHeight="1">
      <c r="B39" s="39"/>
      <c r="H39" s="39"/>
      <c r="I39" s="16" t="s">
        <v>65</v>
      </c>
      <c r="J39" s="37">
        <v>0</v>
      </c>
      <c r="K39" s="38">
        <v>0.15</v>
      </c>
      <c r="L39" s="38">
        <v>0.26500000000000001</v>
      </c>
      <c r="M39" s="38">
        <v>0.15</v>
      </c>
      <c r="N39" s="38">
        <v>0.11700000000000001</v>
      </c>
      <c r="O39" s="38">
        <v>8.8999999999999996E-2</v>
      </c>
    </row>
    <row r="40" spans="1:15" ht="15.75" customHeight="1">
      <c r="B40" s="39"/>
      <c r="H40" s="39"/>
      <c r="I40" s="16" t="s">
        <v>68</v>
      </c>
      <c r="J40" s="37">
        <v>0</v>
      </c>
      <c r="K40" s="38">
        <v>0.108</v>
      </c>
      <c r="L40" s="38">
        <v>0.189</v>
      </c>
      <c r="M40" s="38">
        <v>0.109</v>
      </c>
      <c r="N40" s="38">
        <v>7.9100000000000004E-2</v>
      </c>
      <c r="O40" s="38">
        <v>6.1600000000000002E-2</v>
      </c>
    </row>
    <row r="41" spans="1:15" ht="15.75" customHeight="1">
      <c r="B41" s="39"/>
      <c r="H41" s="39"/>
      <c r="I41" s="16" t="s">
        <v>70</v>
      </c>
      <c r="J41" s="37">
        <v>0</v>
      </c>
      <c r="K41" s="38">
        <v>0.22</v>
      </c>
      <c r="L41" s="38">
        <v>0.379</v>
      </c>
      <c r="M41" s="38">
        <v>0.223</v>
      </c>
      <c r="N41" s="38">
        <v>0.184</v>
      </c>
      <c r="O41" s="38">
        <v>0.13900000000000001</v>
      </c>
    </row>
    <row r="42" spans="1:15" ht="15.75" customHeight="1">
      <c r="B42" s="39"/>
      <c r="I42" s="16" t="s">
        <v>72</v>
      </c>
      <c r="J42" s="37">
        <v>0</v>
      </c>
      <c r="K42" s="38">
        <v>0.16200000000000001</v>
      </c>
      <c r="L42" s="38">
        <v>0.29699999999999999</v>
      </c>
      <c r="M42" s="38">
        <v>0.16300000000000001</v>
      </c>
      <c r="N42" s="38">
        <v>0.127</v>
      </c>
      <c r="O42" s="38">
        <v>9.8199999999999996E-2</v>
      </c>
    </row>
    <row r="43" spans="1:15" ht="15.75" customHeight="1">
      <c r="I43" s="16" t="s">
        <v>76</v>
      </c>
      <c r="J43" s="37">
        <v>0</v>
      </c>
      <c r="K43" s="38">
        <v>0.16800000000000001</v>
      </c>
      <c r="L43" s="38">
        <v>0.29599999999999999</v>
      </c>
      <c r="M43" s="38">
        <v>0.17</v>
      </c>
      <c r="N43" s="38">
        <v>0.13100000000000001</v>
      </c>
      <c r="O43" s="38">
        <v>9.9500000000000005E-2</v>
      </c>
    </row>
    <row r="44" spans="1:15" ht="15.75" customHeight="1">
      <c r="I44" s="16" t="s">
        <v>77</v>
      </c>
      <c r="J44" s="37">
        <v>0</v>
      </c>
      <c r="K44" s="38">
        <v>0.23100000000000001</v>
      </c>
      <c r="L44" s="38">
        <v>0.38500000000000001</v>
      </c>
      <c r="M44" s="38">
        <v>0.23</v>
      </c>
      <c r="N44" s="38">
        <v>0.191</v>
      </c>
      <c r="O44" s="38">
        <v>0.14499999999999999</v>
      </c>
    </row>
    <row r="45" spans="1:15" ht="15.75" customHeight="1">
      <c r="I45" s="16" t="s">
        <v>80</v>
      </c>
      <c r="J45" s="37">
        <v>0</v>
      </c>
      <c r="K45" s="38">
        <v>0.121</v>
      </c>
      <c r="L45" s="38">
        <v>0.219</v>
      </c>
      <c r="M45" s="38">
        <v>0.11700000000000001</v>
      </c>
      <c r="N45" s="38">
        <v>8.9200000000000002E-2</v>
      </c>
      <c r="O45" s="38">
        <v>6.9099999999999995E-2</v>
      </c>
    </row>
    <row r="47" spans="1:15" ht="15.75" customHeight="1">
      <c r="B47" s="39"/>
    </row>
    <row r="48" spans="1:15" ht="15.75" customHeight="1">
      <c r="B48" s="39"/>
    </row>
    <row r="49" spans="2:9" ht="15.75" customHeight="1">
      <c r="B49" s="39"/>
      <c r="I49" s="39"/>
    </row>
    <row r="50" spans="2:9" ht="15.75" customHeight="1">
      <c r="B50" s="39"/>
      <c r="I50" s="39"/>
    </row>
    <row r="51" spans="2:9" ht="15.75" customHeight="1">
      <c r="B51" s="39"/>
      <c r="I51" s="39"/>
    </row>
    <row r="52" spans="2:9" ht="15.75" customHeight="1">
      <c r="I52" s="39"/>
    </row>
    <row r="53" spans="2:9" ht="15.75" customHeight="1">
      <c r="I53" s="39"/>
    </row>
    <row r="56" spans="2:9" ht="15.75" customHeight="1">
      <c r="B56" s="39"/>
    </row>
    <row r="57" spans="2:9" ht="15.75" customHeight="1">
      <c r="B57" s="39"/>
    </row>
    <row r="58" spans="2:9" ht="15.75" customHeight="1">
      <c r="B58" s="39"/>
    </row>
    <row r="59" spans="2:9" ht="15.75" customHeight="1">
      <c r="B59" s="39"/>
    </row>
    <row r="60" spans="2:9" ht="15.75" customHeight="1">
      <c r="B60" s="39"/>
    </row>
    <row r="65" spans="2:2" ht="15.75" customHeight="1">
      <c r="B65" s="39"/>
    </row>
    <row r="66" spans="2:2" ht="15.75" customHeight="1">
      <c r="B66" s="39"/>
    </row>
    <row r="67" spans="2:2" ht="15.75" customHeight="1">
      <c r="B67" s="39"/>
    </row>
    <row r="68" spans="2:2" ht="15.75" customHeight="1">
      <c r="B68" s="39"/>
    </row>
    <row r="69" spans="2:2" ht="15.75" customHeight="1">
      <c r="B69" s="39"/>
    </row>
    <row r="75" spans="2:2" ht="15.75" customHeight="1">
      <c r="B75" s="39"/>
    </row>
    <row r="76" spans="2:2" ht="15.75" customHeight="1">
      <c r="B76" s="39"/>
    </row>
    <row r="77" spans="2:2" ht="15.75" customHeight="1">
      <c r="B77" s="39"/>
    </row>
    <row r="78" spans="2:2" ht="15.75" customHeight="1">
      <c r="B78" s="39"/>
    </row>
    <row r="79" spans="2:2" ht="15.75" customHeight="1">
      <c r="B79" s="39"/>
    </row>
    <row r="84" spans="2:2" ht="15.75" customHeight="1">
      <c r="B84" s="39"/>
    </row>
    <row r="85" spans="2:2" ht="15.75" customHeight="1">
      <c r="B85" s="39"/>
    </row>
    <row r="86" spans="2:2" ht="15.75" customHeight="1">
      <c r="B86" s="39"/>
    </row>
    <row r="87" spans="2:2" ht="15.75" customHeight="1">
      <c r="B87" s="39"/>
    </row>
    <row r="88" spans="2:2" ht="15.75" customHeight="1">
      <c r="B88" s="39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0FB2-B84C-446B-9055-1589CFFC0B25}">
  <sheetPr>
    <outlinePr summaryBelow="0" summaryRight="0"/>
  </sheetPr>
  <dimension ref="A1:Q210"/>
  <sheetViews>
    <sheetView topLeftCell="A77" workbookViewId="0">
      <selection activeCell="D25" sqref="D25"/>
    </sheetView>
  </sheetViews>
  <sheetFormatPr defaultColWidth="12.6640625" defaultRowHeight="15.75" customHeight="1"/>
  <cols>
    <col min="1" max="1" width="15.6640625" style="2" customWidth="1"/>
    <col min="2" max="4" width="12.6640625" style="2"/>
    <col min="5" max="5" width="16" style="2" customWidth="1"/>
    <col min="6" max="16384" width="12.6640625" style="2"/>
  </cols>
  <sheetData>
    <row r="1" spans="1:17" ht="15.75" customHeight="1">
      <c r="A1" s="16" t="s">
        <v>41</v>
      </c>
      <c r="B1" s="1" t="s">
        <v>50</v>
      </c>
      <c r="C1" s="1" t="s">
        <v>50</v>
      </c>
      <c r="D1" s="1" t="s">
        <v>51</v>
      </c>
      <c r="E1" s="1" t="s">
        <v>52</v>
      </c>
      <c r="G1" s="1" t="s">
        <v>53</v>
      </c>
      <c r="I1" s="1" t="s">
        <v>78</v>
      </c>
      <c r="J1" s="1" t="s">
        <v>67</v>
      </c>
      <c r="K1" s="1" t="s">
        <v>78</v>
      </c>
      <c r="L1" s="1" t="s">
        <v>67</v>
      </c>
      <c r="P1" s="1" t="s">
        <v>99</v>
      </c>
      <c r="Q1" s="1" t="s">
        <v>28</v>
      </c>
    </row>
    <row r="2" spans="1:17" ht="15.75" customHeight="1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28</v>
      </c>
      <c r="H2" s="1" t="s">
        <v>59</v>
      </c>
      <c r="I2" s="1" t="s">
        <v>100</v>
      </c>
      <c r="J2" s="1" t="s">
        <v>100</v>
      </c>
      <c r="K2" s="1" t="s">
        <v>101</v>
      </c>
      <c r="L2" s="1" t="s">
        <v>101</v>
      </c>
      <c r="M2" s="1" t="s">
        <v>102</v>
      </c>
      <c r="N2" s="1" t="s">
        <v>103</v>
      </c>
      <c r="O2" s="1" t="s">
        <v>104</v>
      </c>
      <c r="P2" s="1" t="s">
        <v>59</v>
      </c>
      <c r="Q2" s="1" t="s">
        <v>59</v>
      </c>
    </row>
    <row r="3" spans="1:17" ht="15.75" customHeight="1">
      <c r="A3" s="1" t="s">
        <v>60</v>
      </c>
      <c r="B3" s="27">
        <v>-79.254340010000007</v>
      </c>
      <c r="C3" s="27">
        <v>-79.266907860000003</v>
      </c>
      <c r="D3" s="28">
        <f t="shared" ref="D3:D8" si="0">(B3-C3)*27.2114</f>
        <v>0.34198879348990158</v>
      </c>
      <c r="E3" s="27">
        <v>5.2319999999999998E-2</v>
      </c>
      <c r="F3" s="14">
        <f t="shared" ref="F3:F8" si="1">D3-E3</f>
        <v>0.2896687934899016</v>
      </c>
      <c r="G3" s="27">
        <v>1.8970000000000001E-2</v>
      </c>
      <c r="H3" s="14">
        <f t="shared" ref="H3:H8" si="2">D3-G3</f>
        <v>0.32301879348990159</v>
      </c>
      <c r="I3" s="20">
        <v>1.2995651800000001</v>
      </c>
      <c r="J3" s="20">
        <v>2.0555425409999999</v>
      </c>
      <c r="K3" s="20">
        <v>0.41081800000000002</v>
      </c>
      <c r="L3" s="20">
        <v>2.0010460000000001</v>
      </c>
      <c r="M3" s="20">
        <f t="shared" ref="M3:M8" si="3">(L3-0)/(L3-K3)</f>
        <v>1.2583390557831957</v>
      </c>
      <c r="N3" s="20">
        <f t="shared" ref="N3:N7" si="4">(M3*B3)+(1-M3)*C3</f>
        <v>-79.251093243497792</v>
      </c>
      <c r="O3" s="20">
        <f t="shared" ref="O3:O8" si="5">(N3-C3)*27.2114</f>
        <v>0.43033785548828402</v>
      </c>
      <c r="P3" s="40">
        <f t="shared" ref="P3:P8" si="6">O3-E3</f>
        <v>0.37801785548828404</v>
      </c>
      <c r="Q3" s="20">
        <f t="shared" ref="Q3:Q8" si="7">O3-G3</f>
        <v>0.41136785548828403</v>
      </c>
    </row>
    <row r="4" spans="1:17" ht="15.75" customHeight="1">
      <c r="A4" s="1" t="s">
        <v>61</v>
      </c>
      <c r="B4" s="27">
        <v>-79.253838360000003</v>
      </c>
      <c r="C4" s="27">
        <v>-79.265499680000005</v>
      </c>
      <c r="D4" s="28">
        <f t="shared" si="0"/>
        <v>0.3173208430480477</v>
      </c>
      <c r="E4" s="27">
        <v>5.2319999999999998E-2</v>
      </c>
      <c r="F4" s="14">
        <f t="shared" si="1"/>
        <v>0.26500084304804772</v>
      </c>
      <c r="G4" s="27">
        <v>1.8970000000000001E-2</v>
      </c>
      <c r="H4" s="14">
        <f t="shared" si="2"/>
        <v>0.29835084304804771</v>
      </c>
      <c r="I4" s="20">
        <v>1.012908087</v>
      </c>
      <c r="J4" s="20">
        <v>2.0033324480000001</v>
      </c>
      <c r="K4" s="20">
        <v>1.1594469999999999</v>
      </c>
      <c r="L4" s="20">
        <v>2.0008680000000001</v>
      </c>
      <c r="M4" s="20">
        <f t="shared" si="3"/>
        <v>2.37796299355495</v>
      </c>
      <c r="N4" s="20">
        <f t="shared" si="4"/>
        <v>-79.237769492584007</v>
      </c>
      <c r="O4" s="20">
        <f t="shared" si="5"/>
        <v>0.7545772218516722</v>
      </c>
      <c r="P4" s="40">
        <f t="shared" si="6"/>
        <v>0.70225722185167216</v>
      </c>
      <c r="Q4" s="20">
        <f t="shared" si="7"/>
        <v>0.73560722185167216</v>
      </c>
    </row>
    <row r="5" spans="1:17" ht="15.75" customHeight="1">
      <c r="A5" s="1" t="s">
        <v>62</v>
      </c>
      <c r="B5" s="27">
        <v>-79.255357340000003</v>
      </c>
      <c r="C5" s="27">
        <v>-79.259320419999995</v>
      </c>
      <c r="D5" s="28">
        <f t="shared" si="0"/>
        <v>0.10784095511176155</v>
      </c>
      <c r="E5" s="27">
        <v>5.2319999999999998E-2</v>
      </c>
      <c r="F5" s="14">
        <f t="shared" si="1"/>
        <v>5.5520955111761548E-2</v>
      </c>
      <c r="G5" s="27">
        <v>1.8970000000000001E-2</v>
      </c>
      <c r="H5" s="14">
        <f t="shared" si="2"/>
        <v>8.8870955111761546E-2</v>
      </c>
      <c r="I5" s="20">
        <v>0.48668880599999997</v>
      </c>
      <c r="J5" s="20">
        <v>2.0024669290000001</v>
      </c>
      <c r="K5" s="20">
        <v>0.62581200000000003</v>
      </c>
      <c r="L5" s="20">
        <v>2.0009030000000001</v>
      </c>
      <c r="M5" s="20">
        <f t="shared" si="3"/>
        <v>1.4551058802653789</v>
      </c>
      <c r="N5" s="20">
        <f t="shared" si="4"/>
        <v>-79.253553718988044</v>
      </c>
      <c r="O5" s="20">
        <f t="shared" si="5"/>
        <v>0.15692000791658178</v>
      </c>
      <c r="P5" s="40">
        <f t="shared" si="6"/>
        <v>0.10460000791658178</v>
      </c>
      <c r="Q5" s="20">
        <f t="shared" si="7"/>
        <v>0.1379500079165818</v>
      </c>
    </row>
    <row r="6" spans="1:17" ht="15.75" customHeight="1">
      <c r="A6" s="1" t="s">
        <v>40</v>
      </c>
      <c r="B6" s="27">
        <v>-79.258048779999996</v>
      </c>
      <c r="C6" s="27">
        <v>-79.265344780000007</v>
      </c>
      <c r="D6" s="28">
        <f t="shared" si="0"/>
        <v>0.19853437440029523</v>
      </c>
      <c r="E6" s="27">
        <v>5.2319999999999998E-2</v>
      </c>
      <c r="F6" s="14">
        <f t="shared" si="1"/>
        <v>0.14621437440029522</v>
      </c>
      <c r="G6" s="27">
        <v>1.8970000000000001E-2</v>
      </c>
      <c r="H6" s="14">
        <f t="shared" si="2"/>
        <v>0.17956437440029521</v>
      </c>
      <c r="I6" s="20">
        <v>0.78249442300000005</v>
      </c>
      <c r="J6" s="20">
        <v>2.0038526139999999</v>
      </c>
      <c r="K6" s="20">
        <v>0.98252799999999996</v>
      </c>
      <c r="L6" s="20">
        <v>2.0009139999999999</v>
      </c>
      <c r="M6" s="20">
        <f t="shared" si="3"/>
        <v>1.9647893824149192</v>
      </c>
      <c r="N6" s="20">
        <f t="shared" si="4"/>
        <v>-79.251009676665888</v>
      </c>
      <c r="O6" s="20">
        <f t="shared" si="5"/>
        <v>0.39007823086604648</v>
      </c>
      <c r="P6" s="40">
        <f t="shared" si="6"/>
        <v>0.3377582308660465</v>
      </c>
      <c r="Q6" s="20">
        <f t="shared" si="7"/>
        <v>0.3711082308660465</v>
      </c>
    </row>
    <row r="7" spans="1:17" ht="15.75" customHeight="1">
      <c r="A7" s="1" t="s">
        <v>63</v>
      </c>
      <c r="B7" s="27">
        <v>-79.254205499999998</v>
      </c>
      <c r="C7" s="27">
        <v>-79.265948179999995</v>
      </c>
      <c r="D7" s="28">
        <f t="shared" si="0"/>
        <v>0.31953476255193369</v>
      </c>
      <c r="E7" s="27">
        <v>5.2319999999999998E-2</v>
      </c>
      <c r="F7" s="14">
        <f t="shared" si="1"/>
        <v>0.26721476255193372</v>
      </c>
      <c r="G7" s="27">
        <v>1.8970000000000001E-2</v>
      </c>
      <c r="H7" s="14">
        <f t="shared" si="2"/>
        <v>0.30056476255193371</v>
      </c>
      <c r="I7" s="20">
        <v>1.0224171719999999</v>
      </c>
      <c r="J7" s="20">
        <v>2.0061465520000001</v>
      </c>
      <c r="K7" s="20">
        <v>1.1544449999999999</v>
      </c>
      <c r="L7" s="20">
        <v>2.0009039999999998</v>
      </c>
      <c r="M7" s="20">
        <f t="shared" si="3"/>
        <v>2.3638522361980914</v>
      </c>
      <c r="N7" s="20">
        <f t="shared" si="4"/>
        <v>-79.23819021962305</v>
      </c>
      <c r="O7" s="20">
        <f t="shared" si="5"/>
        <v>0.75533296300121033</v>
      </c>
      <c r="P7" s="40">
        <f t="shared" si="6"/>
        <v>0.7030129630012103</v>
      </c>
      <c r="Q7" s="20">
        <f t="shared" si="7"/>
        <v>0.73636296300121029</v>
      </c>
    </row>
    <row r="8" spans="1:17" ht="15.75" customHeight="1">
      <c r="A8" s="1" t="s">
        <v>64</v>
      </c>
      <c r="B8" s="27">
        <v>-79.254654389999999</v>
      </c>
      <c r="C8" s="27">
        <v>-79.266413009999994</v>
      </c>
      <c r="D8" s="28">
        <f t="shared" si="0"/>
        <v>0.31996851226785944</v>
      </c>
      <c r="E8" s="27">
        <v>5.2319999999999998E-2</v>
      </c>
      <c r="F8" s="14">
        <f t="shared" si="1"/>
        <v>0.26764851226785946</v>
      </c>
      <c r="G8" s="27">
        <v>1.8970000000000001E-2</v>
      </c>
      <c r="H8" s="14">
        <f t="shared" si="2"/>
        <v>0.30099851226785945</v>
      </c>
      <c r="I8" s="20">
        <v>1.027587217</v>
      </c>
      <c r="J8" s="20">
        <v>2.0069675299999998</v>
      </c>
      <c r="K8" s="20">
        <v>1.153071</v>
      </c>
      <c r="L8" s="20">
        <v>2.000896</v>
      </c>
      <c r="M8" s="20">
        <f t="shared" si="3"/>
        <v>2.3600342051720578</v>
      </c>
      <c r="N8" s="20">
        <f>(M8*B8)+((1-M8)*C8)</f>
        <v>-79.238662264594382</v>
      </c>
      <c r="O8" s="20">
        <f t="shared" si="5"/>
        <v>0.75513663353027216</v>
      </c>
      <c r="P8" s="40">
        <f t="shared" si="6"/>
        <v>0.70281663353027213</v>
      </c>
      <c r="Q8" s="20">
        <f t="shared" si="7"/>
        <v>0.73616663353027212</v>
      </c>
    </row>
    <row r="10" spans="1:17" ht="15.75" customHeight="1">
      <c r="A10" s="16" t="s">
        <v>65</v>
      </c>
      <c r="B10" s="1" t="s">
        <v>50</v>
      </c>
      <c r="C10" s="1" t="s">
        <v>50</v>
      </c>
      <c r="D10" s="1" t="s">
        <v>51</v>
      </c>
      <c r="E10" s="1" t="s">
        <v>52</v>
      </c>
      <c r="G10" s="1" t="s">
        <v>53</v>
      </c>
      <c r="I10" s="1" t="s">
        <v>78</v>
      </c>
      <c r="J10" s="1" t="s">
        <v>67</v>
      </c>
      <c r="K10" s="1" t="s">
        <v>78</v>
      </c>
      <c r="L10" s="1" t="s">
        <v>67</v>
      </c>
      <c r="P10" s="1" t="s">
        <v>99</v>
      </c>
      <c r="Q10" s="1" t="s">
        <v>28</v>
      </c>
    </row>
    <row r="11" spans="1:17" ht="15.75" customHeight="1">
      <c r="A11" s="1" t="s">
        <v>54</v>
      </c>
      <c r="B11" s="1" t="s">
        <v>66</v>
      </c>
      <c r="C11" s="1" t="s">
        <v>67</v>
      </c>
      <c r="D11" s="1" t="s">
        <v>57</v>
      </c>
      <c r="E11" s="1" t="s">
        <v>58</v>
      </c>
      <c r="F11" s="1" t="s">
        <v>59</v>
      </c>
      <c r="G11" s="1" t="s">
        <v>28</v>
      </c>
      <c r="H11" s="1" t="s">
        <v>59</v>
      </c>
      <c r="I11" s="1" t="s">
        <v>100</v>
      </c>
      <c r="J11" s="1" t="s">
        <v>100</v>
      </c>
      <c r="K11" s="1" t="s">
        <v>101</v>
      </c>
      <c r="L11" s="1" t="s">
        <v>101</v>
      </c>
      <c r="M11" s="1" t="s">
        <v>102</v>
      </c>
      <c r="N11" s="1" t="s">
        <v>103</v>
      </c>
      <c r="O11" s="1" t="s">
        <v>104</v>
      </c>
      <c r="P11" s="1" t="s">
        <v>59</v>
      </c>
      <c r="Q11" s="1" t="s">
        <v>59</v>
      </c>
    </row>
    <row r="12" spans="1:17" ht="15.75" customHeight="1">
      <c r="A12" s="1" t="s">
        <v>60</v>
      </c>
      <c r="B12" s="27">
        <v>-75.768289809999999</v>
      </c>
      <c r="C12" s="27">
        <v>-75.777055430000004</v>
      </c>
      <c r="D12" s="28">
        <f t="shared" ref="D12:D17" si="8">(C12-B12)*27.2114</f>
        <v>-0.23852479206814883</v>
      </c>
      <c r="E12" s="27">
        <v>0.1215</v>
      </c>
      <c r="F12" s="14">
        <f t="shared" ref="F12:F17" si="9">D12-E12</f>
        <v>-0.36002479206814886</v>
      </c>
      <c r="G12" s="27">
        <v>8.8770000000000002E-2</v>
      </c>
      <c r="H12" s="14">
        <f t="shared" ref="H12:H17" si="10">D12-G12</f>
        <v>-0.32729479206814882</v>
      </c>
      <c r="I12" s="20">
        <v>1.6976356829999999</v>
      </c>
      <c r="J12" s="20">
        <v>2.2525044319999998</v>
      </c>
      <c r="K12" s="20">
        <v>0.53036399999999995</v>
      </c>
      <c r="L12" s="20">
        <v>1.999986</v>
      </c>
      <c r="M12" s="20">
        <f t="shared" ref="M12:M17" si="11">(L12-0)/(L12-K12)</f>
        <v>1.3608846356410014</v>
      </c>
      <c r="N12" s="20">
        <f t="shared" ref="N12:N16" si="12">(M12*B12)+(1-M12)*C12</f>
        <v>-75.765126432420132</v>
      </c>
      <c r="O12" s="20">
        <f t="shared" ref="O12:O17" si="13">(C12-N12)*27.2114</f>
        <v>-0.32460472474493446</v>
      </c>
      <c r="P12" s="41">
        <f t="shared" ref="P12:P17" si="14">O12-E12</f>
        <v>-0.44610472474493446</v>
      </c>
      <c r="Q12" s="20">
        <f t="shared" ref="Q12:Q17" si="15">O12-G12</f>
        <v>-0.41337472474493447</v>
      </c>
    </row>
    <row r="13" spans="1:17" ht="15.75" customHeight="1">
      <c r="A13" s="1" t="s">
        <v>61</v>
      </c>
      <c r="B13" s="27">
        <v>-75.77271897</v>
      </c>
      <c r="C13" s="27">
        <v>-75.777948440000003</v>
      </c>
      <c r="D13" s="28">
        <f t="shared" si="8"/>
        <v>-0.14230119995808951</v>
      </c>
      <c r="E13" s="27">
        <v>0.1215</v>
      </c>
      <c r="F13" s="14">
        <f t="shared" si="9"/>
        <v>-0.26380119995808948</v>
      </c>
      <c r="G13" s="27">
        <v>8.8770000000000002E-2</v>
      </c>
      <c r="H13" s="14">
        <f t="shared" si="10"/>
        <v>-0.2310711999580895</v>
      </c>
      <c r="I13" s="20">
        <v>0.76724251499999996</v>
      </c>
      <c r="J13" s="20">
        <v>2.00418444</v>
      </c>
      <c r="K13" s="20">
        <v>0.364842</v>
      </c>
      <c r="L13" s="20">
        <v>2.0013369999999999</v>
      </c>
      <c r="M13" s="20">
        <f t="shared" si="11"/>
        <v>1.2229411027836932</v>
      </c>
      <c r="N13" s="20">
        <f t="shared" si="12"/>
        <v>-75.77155310619122</v>
      </c>
      <c r="O13" s="20">
        <f t="shared" si="13"/>
        <v>-0.17402598640431136</v>
      </c>
      <c r="P13" s="41">
        <f t="shared" si="14"/>
        <v>-0.29552598640431138</v>
      </c>
      <c r="Q13" s="20">
        <f t="shared" si="15"/>
        <v>-0.26279598640431134</v>
      </c>
    </row>
    <row r="14" spans="1:17" ht="15.75" customHeight="1">
      <c r="A14" s="1" t="s">
        <v>62</v>
      </c>
      <c r="B14" s="27">
        <v>-75.773287190000005</v>
      </c>
      <c r="C14" s="27">
        <v>-75.771561640000002</v>
      </c>
      <c r="D14" s="28">
        <f t="shared" si="8"/>
        <v>4.695463127008967E-2</v>
      </c>
      <c r="E14" s="27">
        <v>0.1215</v>
      </c>
      <c r="F14" s="14">
        <f t="shared" si="9"/>
        <v>-7.4545368729910327E-2</v>
      </c>
      <c r="G14" s="27">
        <v>8.8770000000000002E-2</v>
      </c>
      <c r="H14" s="14">
        <f t="shared" si="10"/>
        <v>-4.1815368729910332E-2</v>
      </c>
      <c r="I14" s="20">
        <v>0.73711197299999998</v>
      </c>
      <c r="J14" s="20">
        <v>2.002260675</v>
      </c>
      <c r="K14" s="20">
        <v>0.451519</v>
      </c>
      <c r="L14" s="20">
        <v>2.00136</v>
      </c>
      <c r="M14" s="20">
        <f t="shared" si="11"/>
        <v>1.291332465717451</v>
      </c>
      <c r="N14" s="20">
        <f t="shared" si="12"/>
        <v>-75.773789898736226</v>
      </c>
      <c r="O14" s="20">
        <f t="shared" si="13"/>
        <v>6.0634039774889029E-2</v>
      </c>
      <c r="P14" s="41">
        <f t="shared" si="14"/>
        <v>-6.0865960225110968E-2</v>
      </c>
      <c r="Q14" s="20">
        <f t="shared" si="15"/>
        <v>-2.8135960225110973E-2</v>
      </c>
    </row>
    <row r="15" spans="1:17" ht="15.75" customHeight="1">
      <c r="A15" s="1" t="s">
        <v>40</v>
      </c>
      <c r="B15" s="27">
        <v>-75.778792640000006</v>
      </c>
      <c r="C15" s="27">
        <v>-75.777830309999999</v>
      </c>
      <c r="D15" s="28">
        <f t="shared" si="8"/>
        <v>2.6186346562196677E-2</v>
      </c>
      <c r="E15" s="27">
        <v>0.1215</v>
      </c>
      <c r="F15" s="14">
        <f t="shared" si="9"/>
        <v>-9.531365343780332E-2</v>
      </c>
      <c r="G15" s="27">
        <v>8.8770000000000002E-2</v>
      </c>
      <c r="H15" s="14">
        <f t="shared" si="10"/>
        <v>-6.2583653437803324E-2</v>
      </c>
      <c r="I15" s="20">
        <v>0.88976840999999995</v>
      </c>
      <c r="J15" s="20">
        <v>2.0029449540000002</v>
      </c>
      <c r="K15" s="20">
        <v>0.505521</v>
      </c>
      <c r="L15" s="20">
        <v>2.0013730000000001</v>
      </c>
      <c r="M15" s="20">
        <f t="shared" si="11"/>
        <v>1.3379485403636187</v>
      </c>
      <c r="N15" s="20">
        <f t="shared" si="12"/>
        <v>-75.77911785801885</v>
      </c>
      <c r="O15" s="20">
        <f t="shared" si="13"/>
        <v>3.5035984160168239E-2</v>
      </c>
      <c r="P15" s="41">
        <f t="shared" si="14"/>
        <v>-8.6464015839831765E-2</v>
      </c>
      <c r="Q15" s="20">
        <f t="shared" si="15"/>
        <v>-5.3734015839831763E-2</v>
      </c>
    </row>
    <row r="16" spans="1:17" ht="15.75" customHeight="1">
      <c r="A16" s="1" t="s">
        <v>63</v>
      </c>
      <c r="B16" s="27">
        <v>-75.77884315</v>
      </c>
      <c r="C16" s="27">
        <v>-75.778345619999996</v>
      </c>
      <c r="D16" s="28">
        <f t="shared" si="8"/>
        <v>1.3538487842110918E-2</v>
      </c>
      <c r="E16" s="27">
        <v>0.1215</v>
      </c>
      <c r="F16" s="14">
        <f t="shared" si="9"/>
        <v>-0.10796151215788907</v>
      </c>
      <c r="G16" s="27">
        <v>8.8770000000000002E-2</v>
      </c>
      <c r="H16" s="14">
        <f t="shared" si="10"/>
        <v>-7.5231512157889091E-2</v>
      </c>
      <c r="I16" s="20">
        <v>1.0322268029999999</v>
      </c>
      <c r="J16" s="20">
        <v>2.0053710069999999</v>
      </c>
      <c r="K16" s="20">
        <v>0.53987200000000002</v>
      </c>
      <c r="L16" s="20">
        <v>2.0013930000000002</v>
      </c>
      <c r="M16" s="20">
        <f t="shared" si="11"/>
        <v>1.3693905185077737</v>
      </c>
      <c r="N16" s="20">
        <f t="shared" si="12"/>
        <v>-75.779026932864667</v>
      </c>
      <c r="O16" s="20">
        <f t="shared" si="13"/>
        <v>1.8539476885714248E-2</v>
      </c>
      <c r="P16" s="41">
        <f t="shared" si="14"/>
        <v>-0.10296052311428575</v>
      </c>
      <c r="Q16" s="20">
        <f t="shared" si="15"/>
        <v>-7.0230523114285751E-2</v>
      </c>
    </row>
    <row r="17" spans="1:17" ht="15.75" customHeight="1">
      <c r="A17" s="1" t="s">
        <v>64</v>
      </c>
      <c r="B17" s="27">
        <v>-75.771120659999994</v>
      </c>
      <c r="C17" s="27">
        <v>-75.778865019999998</v>
      </c>
      <c r="D17" s="28">
        <f t="shared" si="8"/>
        <v>-0.21073487770410287</v>
      </c>
      <c r="E17" s="27">
        <v>0.1215</v>
      </c>
      <c r="F17" s="14">
        <f t="shared" si="9"/>
        <v>-0.33223487770410287</v>
      </c>
      <c r="G17" s="27">
        <v>8.8770000000000002E-2</v>
      </c>
      <c r="H17" s="14">
        <f t="shared" si="10"/>
        <v>-0.29950487770410289</v>
      </c>
      <c r="I17" s="20">
        <v>1.080844618</v>
      </c>
      <c r="J17" s="20">
        <v>2.0069734869999998</v>
      </c>
      <c r="K17" s="20">
        <v>0.43565799999999999</v>
      </c>
      <c r="L17" s="20">
        <v>2.0013390000000002</v>
      </c>
      <c r="M17" s="20">
        <f t="shared" si="11"/>
        <v>1.2782546380776161</v>
      </c>
      <c r="N17" s="20">
        <f>(M17*B17)+((1-M17)*C17)</f>
        <v>-75.76896575591104</v>
      </c>
      <c r="O17" s="20">
        <f t="shared" si="13"/>
        <v>-0.26937283483026336</v>
      </c>
      <c r="P17" s="41">
        <f t="shared" si="14"/>
        <v>-0.39087283483026336</v>
      </c>
      <c r="Q17" s="20">
        <f t="shared" si="15"/>
        <v>-0.35814283483026338</v>
      </c>
    </row>
    <row r="18" spans="1:17" ht="15.75" customHeight="1">
      <c r="P18" s="1" t="s">
        <v>105</v>
      </c>
    </row>
    <row r="19" spans="1:17" ht="15.75" customHeight="1">
      <c r="P19" s="1" t="s">
        <v>106</v>
      </c>
    </row>
    <row r="21" spans="1:17" ht="15.75" customHeight="1">
      <c r="A21" s="16" t="s">
        <v>68</v>
      </c>
      <c r="B21" s="1" t="s">
        <v>50</v>
      </c>
      <c r="C21" s="1" t="s">
        <v>50</v>
      </c>
      <c r="D21" s="1" t="s">
        <v>51</v>
      </c>
      <c r="E21" s="1" t="s">
        <v>52</v>
      </c>
      <c r="G21" s="1" t="s">
        <v>53</v>
      </c>
      <c r="I21" s="1" t="s">
        <v>78</v>
      </c>
      <c r="J21" s="1" t="s">
        <v>67</v>
      </c>
      <c r="K21" s="1" t="s">
        <v>78</v>
      </c>
      <c r="L21" s="1" t="s">
        <v>67</v>
      </c>
      <c r="P21" s="1" t="s">
        <v>99</v>
      </c>
      <c r="Q21" s="1" t="s">
        <v>28</v>
      </c>
    </row>
    <row r="22" spans="1:17" ht="15.75" customHeight="1">
      <c r="A22" s="1" t="s">
        <v>54</v>
      </c>
      <c r="B22" s="1" t="s">
        <v>55</v>
      </c>
      <c r="C22" s="1" t="s">
        <v>56</v>
      </c>
      <c r="D22" s="1" t="s">
        <v>57</v>
      </c>
      <c r="E22" s="1" t="s">
        <v>69</v>
      </c>
      <c r="F22" s="1" t="s">
        <v>59</v>
      </c>
      <c r="G22" s="1" t="s">
        <v>28</v>
      </c>
      <c r="H22" s="1" t="s">
        <v>59</v>
      </c>
      <c r="I22" s="1" t="s">
        <v>100</v>
      </c>
      <c r="J22" s="1" t="s">
        <v>100</v>
      </c>
      <c r="K22" s="1" t="s">
        <v>101</v>
      </c>
      <c r="L22" s="1" t="s">
        <v>101</v>
      </c>
      <c r="M22" s="1" t="s">
        <v>102</v>
      </c>
      <c r="N22" s="1" t="s">
        <v>103</v>
      </c>
      <c r="O22" s="1" t="s">
        <v>104</v>
      </c>
      <c r="P22" s="1" t="s">
        <v>59</v>
      </c>
      <c r="Q22" s="1" t="s">
        <v>59</v>
      </c>
    </row>
    <row r="23" spans="1:17" ht="15.75" customHeight="1">
      <c r="A23" s="1" t="s">
        <v>60</v>
      </c>
      <c r="B23" s="27">
        <v>-39.060714140000002</v>
      </c>
      <c r="C23" s="27">
        <v>-39.077096930000003</v>
      </c>
      <c r="D23" s="28">
        <f t="shared" ref="D23:D28" si="16">(B23-C23)*27.2114</f>
        <v>0.44579865180604178</v>
      </c>
      <c r="E23" s="27">
        <f t="shared" ref="E23:E28" si="17">(10.18/627.5)*27.2114</f>
        <v>0.44145346932270918</v>
      </c>
      <c r="F23" s="14">
        <f t="shared" ref="F23:F28" si="18">D23-E23</f>
        <v>4.3451824833325992E-3</v>
      </c>
      <c r="G23" s="27">
        <f t="shared" ref="G23:G28" si="19">(8.99/627.5)*27.2114</f>
        <v>0.38984938007968128</v>
      </c>
      <c r="H23" s="14">
        <f t="shared" ref="H23:H28" si="20">D23-G23</f>
        <v>5.5949271726360494E-2</v>
      </c>
      <c r="I23" s="20">
        <v>0.72053041399999995</v>
      </c>
      <c r="J23" s="20">
        <v>2.0162746930000002</v>
      </c>
      <c r="K23" s="20">
        <v>0.49952800000000003</v>
      </c>
      <c r="L23" s="20">
        <v>2.0003630000000001</v>
      </c>
      <c r="M23" s="20">
        <f t="shared" ref="M23:M28" si="21">(L23-0)/(L23-K23)</f>
        <v>1.3328333894132265</v>
      </c>
      <c r="N23" s="20">
        <f t="shared" ref="N23:N27" si="22">(M23*B23)+(1-M23)*C23</f>
        <v>-39.055261400476255</v>
      </c>
      <c r="O23" s="20">
        <f t="shared" ref="O23:O28" si="23">(N23-C23)*27.2114</f>
        <v>0.5941753280825347</v>
      </c>
      <c r="P23" s="42">
        <f t="shared" ref="P23:P28" si="24">O23-E23</f>
        <v>0.15272185875982552</v>
      </c>
      <c r="Q23" s="20">
        <f t="shared" ref="Q23:Q28" si="25">O23-G23</f>
        <v>0.20432594800285342</v>
      </c>
    </row>
    <row r="24" spans="1:17" ht="15.75" customHeight="1">
      <c r="A24" s="1" t="s">
        <v>61</v>
      </c>
      <c r="B24" s="27">
        <v>-39.059912310000001</v>
      </c>
      <c r="C24" s="27">
        <v>-39.076261930000001</v>
      </c>
      <c r="D24" s="28">
        <f t="shared" si="16"/>
        <v>0.44489604966799273</v>
      </c>
      <c r="E24" s="27">
        <f t="shared" si="17"/>
        <v>0.44145346932270918</v>
      </c>
      <c r="F24" s="14">
        <f t="shared" si="18"/>
        <v>3.4425803452835524E-3</v>
      </c>
      <c r="G24" s="27">
        <f t="shared" si="19"/>
        <v>0.38984938007968128</v>
      </c>
      <c r="H24" s="14">
        <f t="shared" si="20"/>
        <v>5.5046669588311448E-2</v>
      </c>
      <c r="I24" s="20">
        <v>0.58387232899999997</v>
      </c>
      <c r="J24" s="20">
        <v>2.005257726</v>
      </c>
      <c r="K24" s="20">
        <v>0.49125000000000002</v>
      </c>
      <c r="L24" s="20">
        <v>2.0002949999999999</v>
      </c>
      <c r="M24" s="20">
        <f t="shared" si="21"/>
        <v>1.3255370118187331</v>
      </c>
      <c r="N24" s="20">
        <f t="shared" si="22"/>
        <v>-39.054589903560831</v>
      </c>
      <c r="O24" s="20">
        <f t="shared" si="23"/>
        <v>0.58972618024682122</v>
      </c>
      <c r="P24" s="42">
        <f t="shared" si="24"/>
        <v>0.14827271092411204</v>
      </c>
      <c r="Q24" s="20">
        <f t="shared" si="25"/>
        <v>0.19987680016713993</v>
      </c>
    </row>
    <row r="25" spans="1:17" ht="15.75" customHeight="1">
      <c r="A25" s="1" t="s">
        <v>62</v>
      </c>
      <c r="B25" s="27">
        <v>-39.056762620000001</v>
      </c>
      <c r="C25" s="27">
        <v>-39.073186509999999</v>
      </c>
      <c r="D25" s="28">
        <f t="shared" si="16"/>
        <v>0.44691704034596369</v>
      </c>
      <c r="E25" s="27">
        <f t="shared" si="17"/>
        <v>0.44145346932270918</v>
      </c>
      <c r="F25" s="14">
        <f t="shared" si="18"/>
        <v>5.4635710232545098E-3</v>
      </c>
      <c r="G25" s="27">
        <f t="shared" si="19"/>
        <v>0.38984938007968128</v>
      </c>
      <c r="H25" s="14">
        <f t="shared" si="20"/>
        <v>5.7067660266282405E-2</v>
      </c>
      <c r="I25" s="20">
        <v>0.550091836</v>
      </c>
      <c r="J25" s="20">
        <v>2.0045606130000002</v>
      </c>
      <c r="K25" s="20">
        <v>0.48974800000000002</v>
      </c>
      <c r="L25" s="20">
        <v>2.0002909999999998</v>
      </c>
      <c r="M25" s="20">
        <f t="shared" si="21"/>
        <v>1.3242198335300619</v>
      </c>
      <c r="N25" s="20">
        <f t="shared" si="22"/>
        <v>-39.051437669118286</v>
      </c>
      <c r="O25" s="20">
        <f t="shared" si="23"/>
        <v>0.59181640876865194</v>
      </c>
      <c r="P25" s="42">
        <f t="shared" si="24"/>
        <v>0.15036293944594276</v>
      </c>
      <c r="Q25" s="20">
        <f t="shared" si="25"/>
        <v>0.20196702868897065</v>
      </c>
    </row>
    <row r="26" spans="1:17" ht="15.75" customHeight="1">
      <c r="A26" s="1" t="s">
        <v>40</v>
      </c>
      <c r="B26" s="27">
        <v>-39.05982968</v>
      </c>
      <c r="C26" s="27">
        <v>-39.076171629999997</v>
      </c>
      <c r="D26" s="28">
        <f t="shared" si="16"/>
        <v>0.44468733822993189</v>
      </c>
      <c r="E26" s="27">
        <f t="shared" si="17"/>
        <v>0.44145346932270918</v>
      </c>
      <c r="F26" s="14">
        <f t="shared" si="18"/>
        <v>3.2338689072227145E-3</v>
      </c>
      <c r="G26" s="27">
        <f t="shared" si="19"/>
        <v>0.38984938007968128</v>
      </c>
      <c r="H26" s="14">
        <f t="shared" si="20"/>
        <v>5.483795815025061E-2</v>
      </c>
      <c r="I26" s="20">
        <v>0.655971941</v>
      </c>
      <c r="J26" s="20">
        <v>2.0061206519999999</v>
      </c>
      <c r="K26" s="20">
        <v>0.49540299999999998</v>
      </c>
      <c r="L26" s="20">
        <v>2.0003009999999999</v>
      </c>
      <c r="M26" s="20">
        <f t="shared" si="21"/>
        <v>1.3291937393763564</v>
      </c>
      <c r="N26" s="20">
        <f t="shared" si="22"/>
        <v>-39.0544500123708</v>
      </c>
      <c r="O26" s="20">
        <f t="shared" si="23"/>
        <v>0.59107562595513119</v>
      </c>
      <c r="P26" s="42">
        <f t="shared" si="24"/>
        <v>0.14962215663242201</v>
      </c>
      <c r="Q26" s="20">
        <f t="shared" si="25"/>
        <v>0.20122624587544991</v>
      </c>
    </row>
    <row r="27" spans="1:17" ht="15.75" customHeight="1">
      <c r="A27" s="1" t="s">
        <v>63</v>
      </c>
      <c r="B27" s="27">
        <v>-39.060104940000002</v>
      </c>
      <c r="C27" s="27">
        <v>-39.076497930000002</v>
      </c>
      <c r="D27" s="28">
        <f t="shared" si="16"/>
        <v>0.4460762080859984</v>
      </c>
      <c r="E27" s="27">
        <f t="shared" si="17"/>
        <v>0.44145346932270918</v>
      </c>
      <c r="F27" s="14">
        <f t="shared" si="18"/>
        <v>4.6227387632892247E-3</v>
      </c>
      <c r="G27" s="27">
        <f t="shared" si="19"/>
        <v>0.38984938007968128</v>
      </c>
      <c r="H27" s="14">
        <f t="shared" si="20"/>
        <v>5.622682800631712E-2</v>
      </c>
      <c r="I27" s="20">
        <v>0.74440758299999998</v>
      </c>
      <c r="J27" s="20">
        <v>2.010104514</v>
      </c>
      <c r="K27" s="20">
        <v>0.50581600000000004</v>
      </c>
      <c r="L27" s="20">
        <v>2.0003250000000001</v>
      </c>
      <c r="M27" s="20">
        <f t="shared" si="21"/>
        <v>1.3384496179012639</v>
      </c>
      <c r="N27" s="20">
        <f t="shared" si="22"/>
        <v>-39.05455673879824</v>
      </c>
      <c r="O27" s="20">
        <f t="shared" si="23"/>
        <v>0.59705053026762567</v>
      </c>
      <c r="P27" s="42">
        <f t="shared" si="24"/>
        <v>0.15559706094491649</v>
      </c>
      <c r="Q27" s="20">
        <f t="shared" si="25"/>
        <v>0.20720115018794438</v>
      </c>
    </row>
    <row r="28" spans="1:17" ht="15.75" customHeight="1">
      <c r="A28" s="1" t="s">
        <v>64</v>
      </c>
      <c r="B28" s="27">
        <v>-39.060365529999999</v>
      </c>
      <c r="C28" s="27">
        <v>-39.076753189999998</v>
      </c>
      <c r="D28" s="28">
        <f t="shared" si="16"/>
        <v>0.44593117132398563</v>
      </c>
      <c r="E28" s="27">
        <f t="shared" si="17"/>
        <v>0.44145346932270918</v>
      </c>
      <c r="F28" s="14">
        <f t="shared" si="18"/>
        <v>4.4777020012764512E-3</v>
      </c>
      <c r="G28" s="27">
        <f t="shared" si="19"/>
        <v>0.38984938007968128</v>
      </c>
      <c r="H28" s="14">
        <f t="shared" si="20"/>
        <v>5.6081791244304346E-2</v>
      </c>
      <c r="I28" s="20">
        <v>0.74398347399999998</v>
      </c>
      <c r="J28" s="20">
        <v>2.010212047</v>
      </c>
      <c r="K28" s="20">
        <v>0.50478199999999995</v>
      </c>
      <c r="L28" s="20">
        <v>2.0003280000000001</v>
      </c>
      <c r="M28" s="20">
        <f t="shared" si="21"/>
        <v>1.3375235532708456</v>
      </c>
      <c r="N28" s="20">
        <f>(M28*B28)+((1-M28)*C28)</f>
        <v>-39.054834308766999</v>
      </c>
      <c r="O28" s="20">
        <f t="shared" si="23"/>
        <v>0.59644344478362632</v>
      </c>
      <c r="P28" s="42">
        <f t="shared" si="24"/>
        <v>0.15498997546091714</v>
      </c>
      <c r="Q28" s="20">
        <f t="shared" si="25"/>
        <v>0.20659406470394504</v>
      </c>
    </row>
    <row r="29" spans="1:17" ht="15.75" customHeight="1">
      <c r="P29" s="1" t="s">
        <v>107</v>
      </c>
    </row>
    <row r="30" spans="1:17" ht="15.75" customHeight="1">
      <c r="P30" s="1" t="s">
        <v>106</v>
      </c>
    </row>
    <row r="32" spans="1:17" ht="15.75" customHeight="1">
      <c r="A32" s="16" t="s">
        <v>70</v>
      </c>
      <c r="B32" s="1" t="s">
        <v>50</v>
      </c>
      <c r="C32" s="1" t="s">
        <v>50</v>
      </c>
      <c r="D32" s="1" t="s">
        <v>51</v>
      </c>
      <c r="E32" s="1" t="s">
        <v>52</v>
      </c>
      <c r="G32" s="1" t="s">
        <v>53</v>
      </c>
      <c r="I32" s="1" t="s">
        <v>78</v>
      </c>
      <c r="J32" s="1" t="s">
        <v>67</v>
      </c>
      <c r="K32" s="1" t="s">
        <v>78</v>
      </c>
      <c r="L32" s="1" t="s">
        <v>67</v>
      </c>
      <c r="P32" s="1" t="s">
        <v>99</v>
      </c>
      <c r="Q32" s="1" t="s">
        <v>28</v>
      </c>
    </row>
    <row r="33" spans="1:17" ht="15.75" customHeight="1">
      <c r="A33" s="1" t="s">
        <v>54</v>
      </c>
      <c r="B33" s="1" t="s">
        <v>55</v>
      </c>
      <c r="C33" s="1" t="s">
        <v>56</v>
      </c>
      <c r="D33" s="1" t="s">
        <v>57</v>
      </c>
      <c r="E33" s="1" t="s">
        <v>71</v>
      </c>
      <c r="F33" s="1" t="s">
        <v>59</v>
      </c>
      <c r="G33" s="1" t="s">
        <v>28</v>
      </c>
      <c r="H33" s="1" t="s">
        <v>59</v>
      </c>
      <c r="I33" s="1" t="s">
        <v>100</v>
      </c>
      <c r="J33" s="1" t="s">
        <v>100</v>
      </c>
      <c r="K33" s="1" t="s">
        <v>101</v>
      </c>
      <c r="L33" s="1" t="s">
        <v>101</v>
      </c>
      <c r="M33" s="1" t="s">
        <v>102</v>
      </c>
      <c r="N33" s="1" t="s">
        <v>103</v>
      </c>
      <c r="O33" s="1" t="s">
        <v>104</v>
      </c>
      <c r="P33" s="1" t="s">
        <v>59</v>
      </c>
      <c r="Q33" s="1" t="s">
        <v>59</v>
      </c>
    </row>
    <row r="34" spans="1:17" ht="15.75" customHeight="1">
      <c r="A34" s="1" t="s">
        <v>60</v>
      </c>
      <c r="B34" s="27">
        <v>-154.23115010000001</v>
      </c>
      <c r="C34" s="27">
        <v>-154.24906666000001</v>
      </c>
      <c r="D34" s="28">
        <f t="shared" ref="D34:D39" si="26">(B34-C34)*27.2114</f>
        <v>0.48753468078408985</v>
      </c>
      <c r="E34" s="27">
        <v>1.53121</v>
      </c>
      <c r="F34" s="14">
        <f t="shared" ref="F34:F39" si="27">D34-E34</f>
        <v>-1.0436753192159101</v>
      </c>
      <c r="G34" s="27">
        <v>1.4177599999999999</v>
      </c>
      <c r="H34" s="14">
        <f t="shared" ref="H34:H39" si="28">D34-G34</f>
        <v>-0.93022531921591001</v>
      </c>
      <c r="I34" s="20">
        <v>1.013578104</v>
      </c>
      <c r="J34" s="20">
        <v>2.0215004680000002</v>
      </c>
      <c r="K34" s="20">
        <v>1.3844590000000001</v>
      </c>
      <c r="L34" s="20">
        <v>2.0007769999999998</v>
      </c>
      <c r="M34" s="20">
        <f t="shared" ref="M34:M39" si="29">(L34-0)/(L34-K34)</f>
        <v>3.2463387407150219</v>
      </c>
      <c r="N34" s="20">
        <f t="shared" ref="N34:N38" si="30">(M34*B34)+(1-M34)*C34</f>
        <v>-154.19090343717164</v>
      </c>
      <c r="O34" s="20">
        <f t="shared" ref="O34:O39" si="31">(N34-C34)*27.2114</f>
        <v>1.5827027216718939</v>
      </c>
      <c r="P34" s="41">
        <f t="shared" ref="P34:P39" si="32">O34-E34</f>
        <v>5.1492721671893893E-2</v>
      </c>
      <c r="Q34" s="20">
        <f t="shared" ref="Q34:Q39" si="33">O34-G34</f>
        <v>0.16494272167189394</v>
      </c>
    </row>
    <row r="35" spans="1:17" ht="15.75" customHeight="1">
      <c r="A35" s="1" t="s">
        <v>61</v>
      </c>
      <c r="B35" s="27">
        <v>-154.23073535</v>
      </c>
      <c r="C35" s="27">
        <v>-154.24801237</v>
      </c>
      <c r="D35" s="28">
        <f t="shared" si="26"/>
        <v>0.47013190202785132</v>
      </c>
      <c r="E35" s="27">
        <v>1.53121</v>
      </c>
      <c r="F35" s="14">
        <f t="shared" si="27"/>
        <v>-1.0610780979721486</v>
      </c>
      <c r="G35" s="27">
        <v>1.4177599999999999</v>
      </c>
      <c r="H35" s="14">
        <f t="shared" si="28"/>
        <v>-0.94762809797214853</v>
      </c>
      <c r="I35" s="20">
        <v>1.004275096</v>
      </c>
      <c r="J35" s="20">
        <v>2.0064557669999998</v>
      </c>
      <c r="K35" s="20">
        <v>1.397691</v>
      </c>
      <c r="L35" s="20">
        <v>2.0008059999999999</v>
      </c>
      <c r="M35" s="20">
        <f t="shared" si="29"/>
        <v>3.3174535536340506</v>
      </c>
      <c r="N35" s="20">
        <f t="shared" si="30"/>
        <v>-154.19069665860479</v>
      </c>
      <c r="O35" s="20">
        <f t="shared" si="31"/>
        <v>1.5596407490594806</v>
      </c>
      <c r="P35" s="41">
        <f t="shared" si="32"/>
        <v>2.843074905948062E-2</v>
      </c>
      <c r="Q35" s="20">
        <f t="shared" si="33"/>
        <v>0.14188074905948067</v>
      </c>
    </row>
    <row r="36" spans="1:17" ht="15.75" customHeight="1">
      <c r="A36" s="1" t="s">
        <v>62</v>
      </c>
      <c r="B36" s="27">
        <v>-154.22519283</v>
      </c>
      <c r="C36" s="27">
        <v>-154.2419745</v>
      </c>
      <c r="D36" s="28">
        <f t="shared" si="26"/>
        <v>0.4566527350380083</v>
      </c>
      <c r="E36" s="27">
        <v>1.53121</v>
      </c>
      <c r="F36" s="14">
        <f t="shared" si="27"/>
        <v>-1.0745572649619917</v>
      </c>
      <c r="G36" s="27">
        <v>1.4177599999999999</v>
      </c>
      <c r="H36" s="14">
        <f t="shared" si="28"/>
        <v>-0.96110726496199161</v>
      </c>
      <c r="I36" s="20">
        <v>1.001383857</v>
      </c>
      <c r="J36" s="20">
        <v>2.0037616800000002</v>
      </c>
      <c r="K36" s="20">
        <v>1.408561</v>
      </c>
      <c r="L36" s="20">
        <v>2.000839</v>
      </c>
      <c r="M36" s="20">
        <f t="shared" si="29"/>
        <v>3.3782092193193058</v>
      </c>
      <c r="N36" s="20">
        <f t="shared" si="30"/>
        <v>-154.18528250769049</v>
      </c>
      <c r="O36" s="20">
        <f t="shared" si="31"/>
        <v>1.5426684795309988</v>
      </c>
      <c r="P36" s="41">
        <f t="shared" si="32"/>
        <v>1.1458479530998877E-2</v>
      </c>
      <c r="Q36" s="20">
        <f t="shared" si="33"/>
        <v>0.12490847953099893</v>
      </c>
    </row>
    <row r="37" spans="1:17" ht="15.75" customHeight="1">
      <c r="A37" s="1" t="s">
        <v>40</v>
      </c>
      <c r="B37" s="27">
        <v>-154.23095687</v>
      </c>
      <c r="C37" s="27">
        <v>-154.24815224</v>
      </c>
      <c r="D37" s="28">
        <f t="shared" si="26"/>
        <v>0.46791009121789245</v>
      </c>
      <c r="E37" s="27">
        <v>1.53121</v>
      </c>
      <c r="F37" s="14">
        <f t="shared" si="27"/>
        <v>-1.0632999087821076</v>
      </c>
      <c r="G37" s="27">
        <v>1.4177599999999999</v>
      </c>
      <c r="H37" s="14">
        <f t="shared" si="28"/>
        <v>-0.94984990878210751</v>
      </c>
      <c r="I37" s="20">
        <v>1.0035871139999999</v>
      </c>
      <c r="J37" s="20">
        <v>2.0049006149999999</v>
      </c>
      <c r="K37" s="20">
        <v>1.397011</v>
      </c>
      <c r="L37" s="20">
        <v>2.0008279999999998</v>
      </c>
      <c r="M37" s="20">
        <f t="shared" si="29"/>
        <v>3.313633104069611</v>
      </c>
      <c r="N37" s="20">
        <f t="shared" si="30"/>
        <v>-154.19117309273128</v>
      </c>
      <c r="O37" s="20">
        <f t="shared" si="31"/>
        <v>1.5504823679880475</v>
      </c>
      <c r="P37" s="41">
        <f t="shared" si="32"/>
        <v>1.9272367988047545E-2</v>
      </c>
      <c r="Q37" s="20">
        <f t="shared" si="33"/>
        <v>0.1327223679880476</v>
      </c>
    </row>
    <row r="38" spans="1:17" ht="15.75" customHeight="1">
      <c r="A38" s="1" t="s">
        <v>63</v>
      </c>
      <c r="B38" s="27">
        <v>-154.23070466999999</v>
      </c>
      <c r="C38" s="27">
        <v>-154.24830309999999</v>
      </c>
      <c r="D38" s="28">
        <f t="shared" si="26"/>
        <v>0.47887791810179603</v>
      </c>
      <c r="E38" s="27">
        <v>1.53121</v>
      </c>
      <c r="F38" s="14">
        <f t="shared" si="27"/>
        <v>-1.052332081898204</v>
      </c>
      <c r="G38" s="27">
        <v>1.4177599999999999</v>
      </c>
      <c r="H38" s="14">
        <f t="shared" si="28"/>
        <v>-0.93888208189820388</v>
      </c>
      <c r="I38" s="20">
        <v>1.0066181350000001</v>
      </c>
      <c r="J38" s="20">
        <v>2.0116928000000001</v>
      </c>
      <c r="K38" s="20">
        <v>1.388949</v>
      </c>
      <c r="L38" s="20">
        <v>2.0008219999999999</v>
      </c>
      <c r="M38" s="20">
        <f t="shared" si="29"/>
        <v>3.2699955709763304</v>
      </c>
      <c r="N38" s="20">
        <f t="shared" si="30"/>
        <v>-154.19075631184393</v>
      </c>
      <c r="O38" s="20">
        <f t="shared" si="31"/>
        <v>1.5659286712298071</v>
      </c>
      <c r="P38" s="41">
        <f t="shared" si="32"/>
        <v>3.4718671229807097E-2</v>
      </c>
      <c r="Q38" s="20">
        <f t="shared" si="33"/>
        <v>0.14816867122980715</v>
      </c>
    </row>
    <row r="39" spans="1:17" ht="15.75" customHeight="1">
      <c r="A39" s="1" t="s">
        <v>64</v>
      </c>
      <c r="B39" s="27">
        <v>-154.23097035999999</v>
      </c>
      <c r="C39" s="27">
        <v>-154.24865535000001</v>
      </c>
      <c r="D39" s="28">
        <f t="shared" si="26"/>
        <v>0.48123333688656228</v>
      </c>
      <c r="E39" s="27">
        <v>1.53121</v>
      </c>
      <c r="F39" s="14">
        <f t="shared" si="27"/>
        <v>-1.0499766631134377</v>
      </c>
      <c r="G39" s="27">
        <v>1.4177599999999999</v>
      </c>
      <c r="H39" s="14">
        <f t="shared" si="28"/>
        <v>-0.93652666311343769</v>
      </c>
      <c r="I39" s="20">
        <v>1.0079824180000001</v>
      </c>
      <c r="J39" s="20">
        <v>2.0133987809999998</v>
      </c>
      <c r="K39" s="20">
        <v>1.3888670000000001</v>
      </c>
      <c r="L39" s="20">
        <v>2.0007990000000002</v>
      </c>
      <c r="M39" s="20">
        <f t="shared" si="29"/>
        <v>3.2696427053986388</v>
      </c>
      <c r="N39" s="20">
        <f>(M39*B39)+((1-M39)*C39)</f>
        <v>-154.19083175145136</v>
      </c>
      <c r="O39" s="20">
        <f t="shared" si="31"/>
        <v>1.5734610695467752</v>
      </c>
      <c r="P39" s="41">
        <f t="shared" si="32"/>
        <v>4.2251069546775266E-2</v>
      </c>
      <c r="Q39" s="20">
        <f t="shared" si="33"/>
        <v>0.15570106954677532</v>
      </c>
    </row>
    <row r="40" spans="1:17" ht="15.75" customHeight="1">
      <c r="P40" s="1" t="s">
        <v>105</v>
      </c>
    </row>
    <row r="41" spans="1:17" ht="15.75" customHeight="1">
      <c r="P41" s="1" t="s">
        <v>108</v>
      </c>
    </row>
    <row r="43" spans="1:17" ht="15.75" customHeight="1">
      <c r="A43" s="16" t="s">
        <v>72</v>
      </c>
      <c r="B43" s="1" t="s">
        <v>50</v>
      </c>
      <c r="C43" s="1" t="s">
        <v>50</v>
      </c>
      <c r="D43" s="1" t="s">
        <v>51</v>
      </c>
      <c r="E43" s="1" t="s">
        <v>52</v>
      </c>
      <c r="G43" s="1" t="s">
        <v>53</v>
      </c>
      <c r="I43" s="1" t="s">
        <v>78</v>
      </c>
      <c r="J43" s="1" t="s">
        <v>67</v>
      </c>
      <c r="K43" s="1" t="s">
        <v>78</v>
      </c>
      <c r="L43" s="1" t="s">
        <v>67</v>
      </c>
      <c r="P43" s="1" t="s">
        <v>99</v>
      </c>
      <c r="Q43" s="1" t="s">
        <v>28</v>
      </c>
    </row>
    <row r="44" spans="1:17" ht="15.75" customHeight="1">
      <c r="A44" s="1" t="s">
        <v>54</v>
      </c>
      <c r="B44" s="1" t="s">
        <v>66</v>
      </c>
      <c r="C44" s="1" t="s">
        <v>73</v>
      </c>
      <c r="D44" s="1" t="s">
        <v>57</v>
      </c>
      <c r="E44" s="1" t="s">
        <v>74</v>
      </c>
      <c r="F44" s="1" t="s">
        <v>59</v>
      </c>
      <c r="G44" s="1" t="s">
        <v>75</v>
      </c>
      <c r="H44" s="1" t="s">
        <v>59</v>
      </c>
      <c r="I44" s="1" t="s">
        <v>100</v>
      </c>
      <c r="J44" s="1" t="s">
        <v>100</v>
      </c>
      <c r="K44" s="1" t="s">
        <v>101</v>
      </c>
      <c r="L44" s="1" t="s">
        <v>101</v>
      </c>
      <c r="M44" s="1" t="s">
        <v>102</v>
      </c>
      <c r="N44" s="1" t="s">
        <v>103</v>
      </c>
      <c r="O44" s="1" t="s">
        <v>104</v>
      </c>
      <c r="P44" s="1" t="s">
        <v>59</v>
      </c>
      <c r="Q44" s="1" t="s">
        <v>59</v>
      </c>
    </row>
    <row r="45" spans="1:17" ht="15.75" customHeight="1">
      <c r="A45" s="1" t="s">
        <v>60</v>
      </c>
      <c r="B45" s="27">
        <v>-99.359383039999997</v>
      </c>
      <c r="C45" s="27">
        <v>-99.375656849999999</v>
      </c>
      <c r="D45" s="28">
        <f t="shared" ref="D45:D50" si="34">(C45-B45)*27.2114</f>
        <v>-0.44283315343403473</v>
      </c>
      <c r="E45" s="27">
        <v>0.54447690000000004</v>
      </c>
      <c r="F45" s="14">
        <f t="shared" ref="F45:F50" si="35">D45-E45</f>
        <v>-0.98731005343403477</v>
      </c>
      <c r="G45" s="27"/>
      <c r="H45" s="14">
        <f t="shared" ref="H45:H50" si="36">D45-G45</f>
        <v>-0.44283315343403473</v>
      </c>
      <c r="I45" s="20">
        <v>1.0191907090000001</v>
      </c>
      <c r="J45" s="20">
        <v>2.0049831249999999</v>
      </c>
      <c r="K45" s="20">
        <v>1.087404</v>
      </c>
      <c r="L45" s="20">
        <v>2.0002689999999999</v>
      </c>
      <c r="M45" s="20">
        <f t="shared" ref="M45:M50" si="37">(L45-0)/(L45-K45)</f>
        <v>2.1911991367836432</v>
      </c>
      <c r="N45" s="20">
        <f t="shared" ref="N45:N49" si="38">(M45*B45)+(1-M45)*C45</f>
        <v>-99.339997691575817</v>
      </c>
      <c r="O45" s="20">
        <f t="shared" ref="O45:O50" si="39">(C45-N45)*27.2114</f>
        <v>-0.97033562354376468</v>
      </c>
      <c r="P45" s="41">
        <f t="shared" ref="P45:P50" si="40">O45-E45</f>
        <v>-1.5148125235437648</v>
      </c>
      <c r="Q45" s="20"/>
    </row>
    <row r="46" spans="1:17" ht="15.75" customHeight="1">
      <c r="A46" s="1" t="s">
        <v>61</v>
      </c>
      <c r="B46" s="27">
        <v>-99.393630000000002</v>
      </c>
      <c r="C46" s="27">
        <v>-99.3741409</v>
      </c>
      <c r="D46" s="28">
        <f t="shared" si="34"/>
        <v>0.5303256957400343</v>
      </c>
      <c r="E46" s="27">
        <v>0.54447690000000004</v>
      </c>
      <c r="F46" s="14">
        <f t="shared" si="35"/>
        <v>-1.4151204259965744E-2</v>
      </c>
      <c r="G46" s="27"/>
      <c r="H46" s="14">
        <f t="shared" si="36"/>
        <v>0.5303256957400343</v>
      </c>
      <c r="I46" s="20">
        <v>4.9108828E-2</v>
      </c>
      <c r="J46" s="20">
        <v>2.0019853589999999</v>
      </c>
      <c r="K46" s="20">
        <v>-1.616E-3</v>
      </c>
      <c r="L46" s="20">
        <v>2.0002770000000001</v>
      </c>
      <c r="M46" s="20">
        <f t="shared" si="37"/>
        <v>0.99919276404882784</v>
      </c>
      <c r="N46" s="20">
        <f t="shared" si="38"/>
        <v>-99.393614267697828</v>
      </c>
      <c r="O46" s="20">
        <f t="shared" si="39"/>
        <v>0.52989759777265977</v>
      </c>
      <c r="P46" s="41">
        <f t="shared" si="40"/>
        <v>-1.4579302227340274E-2</v>
      </c>
      <c r="Q46" s="20"/>
    </row>
    <row r="47" spans="1:17" ht="15.75" customHeight="1">
      <c r="A47" s="1" t="s">
        <v>62</v>
      </c>
      <c r="B47" s="27">
        <v>-99.388125799999997</v>
      </c>
      <c r="C47" s="27">
        <v>-99.368074829999998</v>
      </c>
      <c r="D47" s="28">
        <f t="shared" si="34"/>
        <v>0.54561496505799401</v>
      </c>
      <c r="E47" s="27">
        <v>0.54447690000000004</v>
      </c>
      <c r="F47" s="14">
        <f t="shared" si="35"/>
        <v>1.1380650579939644E-3</v>
      </c>
      <c r="G47" s="27"/>
      <c r="H47" s="14">
        <f t="shared" si="36"/>
        <v>0.54561496505799401</v>
      </c>
      <c r="I47" s="20">
        <v>0</v>
      </c>
      <c r="J47" s="20">
        <v>2.0015117280000001</v>
      </c>
      <c r="K47" s="20">
        <v>0</v>
      </c>
      <c r="L47" s="20">
        <v>2.0002779999999998</v>
      </c>
      <c r="M47" s="20">
        <f t="shared" si="37"/>
        <v>1</v>
      </c>
      <c r="N47" s="20">
        <f t="shared" si="38"/>
        <v>-99.388125799999997</v>
      </c>
      <c r="O47" s="20">
        <f t="shared" si="39"/>
        <v>0.54561496505799401</v>
      </c>
      <c r="P47" s="41">
        <f t="shared" si="40"/>
        <v>1.1380650579939644E-3</v>
      </c>
      <c r="Q47" s="20"/>
    </row>
    <row r="48" spans="1:17" ht="15.75" customHeight="1">
      <c r="A48" s="1" t="s">
        <v>40</v>
      </c>
      <c r="B48" s="27">
        <v>-99.393596509999995</v>
      </c>
      <c r="C48" s="27">
        <v>-99.374022409999995</v>
      </c>
      <c r="D48" s="28">
        <f t="shared" si="34"/>
        <v>0.53263866473999499</v>
      </c>
      <c r="E48" s="27">
        <v>0.54447690000000004</v>
      </c>
      <c r="F48" s="14">
        <f t="shared" si="35"/>
        <v>-1.1838235260005048E-2</v>
      </c>
      <c r="G48" s="27"/>
      <c r="H48" s="14">
        <f t="shared" si="36"/>
        <v>0.53263866473999499</v>
      </c>
      <c r="I48" s="20">
        <v>7.1706662000000004E-2</v>
      </c>
      <c r="J48" s="20">
        <v>2.0024689769999999</v>
      </c>
      <c r="K48" s="20">
        <v>-1.3309999999999999E-3</v>
      </c>
      <c r="L48" s="20">
        <v>2.0002819999999999</v>
      </c>
      <c r="M48" s="20">
        <f t="shared" si="37"/>
        <v>0.99933503629322951</v>
      </c>
      <c r="N48" s="20">
        <f t="shared" si="38"/>
        <v>-99.393583493933903</v>
      </c>
      <c r="O48" s="20">
        <f t="shared" si="39"/>
        <v>0.5322844793591498</v>
      </c>
      <c r="P48" s="41">
        <f t="shared" si="40"/>
        <v>-1.2192420640850243E-2</v>
      </c>
      <c r="Q48" s="20"/>
    </row>
    <row r="49" spans="1:17" ht="15.75" customHeight="1">
      <c r="A49" s="1" t="s">
        <v>63</v>
      </c>
      <c r="B49" s="27">
        <v>-99.393383130000004</v>
      </c>
      <c r="C49" s="27">
        <v>-99.374556029999994</v>
      </c>
      <c r="D49" s="28">
        <f t="shared" si="34"/>
        <v>0.51231174894027154</v>
      </c>
      <c r="E49" s="27">
        <v>0.54447690000000004</v>
      </c>
      <c r="F49" s="14">
        <f t="shared" si="35"/>
        <v>-3.2165151059728503E-2</v>
      </c>
      <c r="G49" s="27"/>
      <c r="H49" s="14">
        <f t="shared" si="36"/>
        <v>0.51231174894027154</v>
      </c>
      <c r="I49" s="20">
        <v>0.17002540599999999</v>
      </c>
      <c r="J49" s="20">
        <v>2.0041326549999998</v>
      </c>
      <c r="K49" s="20">
        <v>-5.1009999999999996E-3</v>
      </c>
      <c r="L49" s="20">
        <v>2.0002789999999999</v>
      </c>
      <c r="M49" s="20">
        <f t="shared" si="37"/>
        <v>0.99745634243883963</v>
      </c>
      <c r="N49" s="20">
        <f t="shared" si="38"/>
        <v>-99.393335240304737</v>
      </c>
      <c r="O49" s="20">
        <f t="shared" si="39"/>
        <v>0.51100860328647912</v>
      </c>
      <c r="P49" s="41">
        <f t="shared" si="40"/>
        <v>-3.3468296713520918E-2</v>
      </c>
      <c r="Q49" s="20"/>
    </row>
    <row r="50" spans="1:17" ht="15.75" customHeight="1">
      <c r="A50" s="1" t="s">
        <v>64</v>
      </c>
      <c r="B50" s="27">
        <v>-99.393711170000003</v>
      </c>
      <c r="C50" s="27">
        <v>-99.374995049999995</v>
      </c>
      <c r="D50" s="28">
        <f t="shared" si="34"/>
        <v>0.50929182776820858</v>
      </c>
      <c r="E50" s="27">
        <v>0.54447690000000004</v>
      </c>
      <c r="F50" s="14">
        <f t="shared" si="35"/>
        <v>-3.5185072231791459E-2</v>
      </c>
      <c r="G50" s="27"/>
      <c r="H50" s="14">
        <f t="shared" si="36"/>
        <v>0.50929182776820858</v>
      </c>
      <c r="I50" s="20">
        <v>0.15489134299999999</v>
      </c>
      <c r="J50" s="20">
        <v>2.0037943130000002</v>
      </c>
      <c r="K50" s="20">
        <v>-7.1989999999999997E-3</v>
      </c>
      <c r="L50" s="20">
        <v>2.0002759999999999</v>
      </c>
      <c r="M50" s="20">
        <f t="shared" si="37"/>
        <v>0.99641390303739774</v>
      </c>
      <c r="N50" s="20">
        <f>(M50*B50)+((1-M50)*C50)</f>
        <v>-99.393644052178928</v>
      </c>
      <c r="O50" s="20">
        <f t="shared" si="39"/>
        <v>0.50746545789180397</v>
      </c>
      <c r="P50" s="41">
        <f t="shared" si="40"/>
        <v>-3.7011442108196069E-2</v>
      </c>
      <c r="Q50" s="20"/>
    </row>
    <row r="51" spans="1:17" ht="15.75" customHeight="1">
      <c r="A51" s="29"/>
      <c r="P51" s="1" t="s">
        <v>105</v>
      </c>
    </row>
    <row r="52" spans="1:17" ht="15.75" customHeight="1">
      <c r="A52" s="43"/>
      <c r="B52" s="44"/>
      <c r="P52" s="1" t="s">
        <v>106</v>
      </c>
    </row>
    <row r="54" spans="1:17" ht="15.75" customHeight="1">
      <c r="A54" s="16" t="s">
        <v>76</v>
      </c>
      <c r="B54" s="1" t="s">
        <v>50</v>
      </c>
      <c r="C54" s="1" t="s">
        <v>50</v>
      </c>
      <c r="D54" s="1" t="s">
        <v>51</v>
      </c>
      <c r="E54" s="1" t="s">
        <v>52</v>
      </c>
      <c r="G54" s="1" t="s">
        <v>53</v>
      </c>
      <c r="I54" s="1" t="s">
        <v>78</v>
      </c>
      <c r="J54" s="1" t="s">
        <v>67</v>
      </c>
      <c r="K54" s="1" t="s">
        <v>78</v>
      </c>
      <c r="L54" s="1" t="s">
        <v>67</v>
      </c>
      <c r="P54" s="1" t="s">
        <v>99</v>
      </c>
      <c r="Q54" s="1" t="s">
        <v>28</v>
      </c>
    </row>
    <row r="55" spans="1:17" ht="15.75" customHeight="1">
      <c r="A55" s="1" t="s">
        <v>54</v>
      </c>
      <c r="B55" s="1" t="s">
        <v>66</v>
      </c>
      <c r="C55" s="1" t="s">
        <v>73</v>
      </c>
      <c r="D55" s="1" t="s">
        <v>57</v>
      </c>
      <c r="E55" s="1" t="s">
        <v>74</v>
      </c>
      <c r="F55" s="1" t="s">
        <v>59</v>
      </c>
      <c r="G55" s="1" t="s">
        <v>75</v>
      </c>
      <c r="H55" s="1" t="s">
        <v>59</v>
      </c>
      <c r="I55" s="1" t="s">
        <v>100</v>
      </c>
      <c r="J55" s="1" t="s">
        <v>100</v>
      </c>
      <c r="K55" s="1" t="s">
        <v>101</v>
      </c>
      <c r="L55" s="1" t="s">
        <v>101</v>
      </c>
      <c r="M55" s="1" t="s">
        <v>102</v>
      </c>
      <c r="N55" s="1" t="s">
        <v>103</v>
      </c>
      <c r="O55" s="1" t="s">
        <v>104</v>
      </c>
      <c r="P55" s="1" t="s">
        <v>59</v>
      </c>
      <c r="Q55" s="1" t="s">
        <v>59</v>
      </c>
    </row>
    <row r="56" spans="1:17" ht="15.75" customHeight="1">
      <c r="A56" s="1" t="s">
        <v>60</v>
      </c>
      <c r="B56" s="27">
        <v>-92.044863449999994</v>
      </c>
      <c r="C56" s="27">
        <v>-92.05527755</v>
      </c>
      <c r="D56" s="28">
        <f t="shared" ref="D56:D61" si="41">(C56-B56)*27.2114</f>
        <v>-0.28338224074015056</v>
      </c>
      <c r="E56" s="27">
        <v>9.9026199999999995E-2</v>
      </c>
      <c r="F56" s="14">
        <f t="shared" ref="F56:F61" si="42">D56-E56</f>
        <v>-0.38240844074015057</v>
      </c>
      <c r="G56" s="27"/>
      <c r="H56" s="14">
        <f t="shared" ref="H56:H61" si="43">D56-G56</f>
        <v>-0.28338224074015056</v>
      </c>
      <c r="I56" s="20">
        <v>1.64736886</v>
      </c>
      <c r="J56" s="20">
        <v>2.3093366720000001</v>
      </c>
      <c r="K56" s="20">
        <v>0.49426300000000001</v>
      </c>
      <c r="L56" s="20">
        <v>2.0026730000000001</v>
      </c>
      <c r="M56" s="20">
        <f t="shared" ref="M56:M61" si="44">(L56-0)/(L56-K56)</f>
        <v>1.327671521668512</v>
      </c>
      <c r="N56" s="20">
        <f t="shared" ref="N56:N60" si="45">(M56*B56)+(1-M56)*C56</f>
        <v>-92.041451046006188</v>
      </c>
      <c r="O56" s="20">
        <f t="shared" ref="O56:O61" si="46">(C56-N56)*27.2114</f>
        <v>-0.37623853077721348</v>
      </c>
      <c r="P56" s="41">
        <f t="shared" ref="P56:P61" si="47">O56-E56</f>
        <v>-0.47526473077721348</v>
      </c>
      <c r="Q56" s="20"/>
    </row>
    <row r="57" spans="1:17" ht="15.75" customHeight="1">
      <c r="A57" s="1" t="s">
        <v>61</v>
      </c>
      <c r="B57" s="27">
        <v>-92.050099380000006</v>
      </c>
      <c r="C57" s="27">
        <v>-92.055498360000001</v>
      </c>
      <c r="D57" s="28">
        <f t="shared" si="41"/>
        <v>-0.14691380437187457</v>
      </c>
      <c r="E57" s="27">
        <v>9.9026199999999995E-2</v>
      </c>
      <c r="F57" s="14">
        <f t="shared" si="42"/>
        <v>-0.24594000437187458</v>
      </c>
      <c r="G57" s="27"/>
      <c r="H57" s="14">
        <f t="shared" si="43"/>
        <v>-0.14691380437187457</v>
      </c>
      <c r="I57" s="20">
        <v>0.95403582899999995</v>
      </c>
      <c r="J57" s="20">
        <v>2.0051577360000001</v>
      </c>
      <c r="K57" s="20">
        <v>0.435865</v>
      </c>
      <c r="L57" s="20">
        <v>2.0015360000000002</v>
      </c>
      <c r="M57" s="20">
        <f t="shared" si="44"/>
        <v>1.2783886269848517</v>
      </c>
      <c r="N57" s="20">
        <f t="shared" si="45"/>
        <v>-92.048596365370685</v>
      </c>
      <c r="O57" s="20">
        <f t="shared" si="46"/>
        <v>-0.18781293665618934</v>
      </c>
      <c r="P57" s="41">
        <f t="shared" si="47"/>
        <v>-0.28683913665618932</v>
      </c>
      <c r="Q57" s="20"/>
    </row>
    <row r="58" spans="1:17" ht="15.75" customHeight="1">
      <c r="A58" s="1" t="s">
        <v>62</v>
      </c>
      <c r="B58" s="27">
        <v>-92.052407049999999</v>
      </c>
      <c r="C58" s="27">
        <v>-92.049194700000001</v>
      </c>
      <c r="D58" s="28">
        <f t="shared" si="41"/>
        <v>8.7412540789954002E-2</v>
      </c>
      <c r="E58" s="27">
        <v>9.9026199999999995E-2</v>
      </c>
      <c r="F58" s="14">
        <f t="shared" si="42"/>
        <v>-1.1613659210045993E-2</v>
      </c>
      <c r="G58" s="27"/>
      <c r="H58" s="14">
        <f t="shared" si="43"/>
        <v>8.7412540789954002E-2</v>
      </c>
      <c r="I58" s="20">
        <v>0.61571105800000003</v>
      </c>
      <c r="J58" s="20">
        <v>2.002816412</v>
      </c>
      <c r="K58" s="20">
        <v>0.30362299999999998</v>
      </c>
      <c r="L58" s="20">
        <v>2.0015269999999998</v>
      </c>
      <c r="M58" s="20">
        <f t="shared" si="44"/>
        <v>1.178822242011327</v>
      </c>
      <c r="N58" s="20">
        <f t="shared" si="45"/>
        <v>-92.052981489629133</v>
      </c>
      <c r="O58" s="20">
        <f t="shared" si="46"/>
        <v>0.10304384731415445</v>
      </c>
      <c r="P58" s="41">
        <f t="shared" si="47"/>
        <v>4.0176473141544516E-3</v>
      </c>
      <c r="Q58" s="20"/>
    </row>
    <row r="59" spans="1:17" ht="15.75" customHeight="1">
      <c r="A59" s="1" t="s">
        <v>40</v>
      </c>
      <c r="B59" s="27">
        <v>-92.057869940000003</v>
      </c>
      <c r="C59" s="27">
        <v>-92.055382809999998</v>
      </c>
      <c r="D59" s="28">
        <f t="shared" si="41"/>
        <v>6.7678289282157203E-2</v>
      </c>
      <c r="E59" s="27">
        <v>9.9026199999999995E-2</v>
      </c>
      <c r="F59" s="14">
        <f t="shared" si="42"/>
        <v>-3.1347910717842792E-2</v>
      </c>
      <c r="G59" s="27"/>
      <c r="H59" s="14">
        <f t="shared" si="43"/>
        <v>6.7678289282157203E-2</v>
      </c>
      <c r="I59" s="20">
        <v>0.798137286</v>
      </c>
      <c r="J59" s="20">
        <v>2.0041703480000002</v>
      </c>
      <c r="K59" s="20">
        <v>0.34655399999999997</v>
      </c>
      <c r="L59" s="20">
        <v>2.0015619999999998</v>
      </c>
      <c r="M59" s="20">
        <f t="shared" si="44"/>
        <v>1.2093971751193953</v>
      </c>
      <c r="N59" s="20">
        <f t="shared" si="45"/>
        <v>-92.058390737996163</v>
      </c>
      <c r="O59" s="20">
        <f t="shared" si="46"/>
        <v>8.1849931874856507E-2</v>
      </c>
      <c r="P59" s="41">
        <f t="shared" si="47"/>
        <v>-1.7176268125143487E-2</v>
      </c>
      <c r="Q59" s="20"/>
    </row>
    <row r="60" spans="1:17" ht="15.75" customHeight="1">
      <c r="A60" s="1" t="s">
        <v>63</v>
      </c>
      <c r="B60" s="27">
        <v>-92.048495029999998</v>
      </c>
      <c r="C60" s="27">
        <v>-92.055826940000003</v>
      </c>
      <c r="D60" s="28">
        <f t="shared" si="41"/>
        <v>-0.19951153577413286</v>
      </c>
      <c r="E60" s="27">
        <v>9.9026199999999995E-2</v>
      </c>
      <c r="F60" s="14">
        <f t="shared" si="42"/>
        <v>-0.29853773577413284</v>
      </c>
      <c r="G60" s="27"/>
      <c r="H60" s="14">
        <f t="shared" si="43"/>
        <v>-0.19951153577413286</v>
      </c>
      <c r="I60" s="20">
        <v>0.93696977800000003</v>
      </c>
      <c r="J60" s="20">
        <v>2.0127178080000001</v>
      </c>
      <c r="K60" s="20">
        <v>0.38206899999999999</v>
      </c>
      <c r="L60" s="20">
        <v>2.0017390000000002</v>
      </c>
      <c r="M60" s="20">
        <f t="shared" si="44"/>
        <v>1.2358931140294009</v>
      </c>
      <c r="N60" s="20">
        <f t="shared" si="45"/>
        <v>-92.046765482918318</v>
      </c>
      <c r="O60" s="20">
        <f t="shared" si="46"/>
        <v>-0.24657493323257343</v>
      </c>
      <c r="P60" s="41">
        <f t="shared" si="47"/>
        <v>-0.34560113323257341</v>
      </c>
      <c r="Q60" s="20"/>
    </row>
    <row r="61" spans="1:17" ht="15.75" customHeight="1">
      <c r="A61" s="1" t="s">
        <v>64</v>
      </c>
      <c r="B61" s="27">
        <v>-92.047903529999999</v>
      </c>
      <c r="C61" s="27">
        <v>-92.056168920000005</v>
      </c>
      <c r="D61" s="28">
        <f t="shared" si="41"/>
        <v>-0.22491283344614607</v>
      </c>
      <c r="E61" s="27">
        <v>9.9026199999999995E-2</v>
      </c>
      <c r="F61" s="14">
        <f t="shared" si="42"/>
        <v>-0.32393903344614605</v>
      </c>
      <c r="G61" s="27"/>
      <c r="H61" s="14">
        <f t="shared" si="43"/>
        <v>-0.22491283344614607</v>
      </c>
      <c r="I61" s="20">
        <v>1.0789332869999999</v>
      </c>
      <c r="J61" s="20">
        <v>2.0263632239999998</v>
      </c>
      <c r="K61" s="20">
        <v>0.40570499999999998</v>
      </c>
      <c r="L61" s="20">
        <v>2.001868</v>
      </c>
      <c r="M61" s="20">
        <f t="shared" si="44"/>
        <v>1.2541751688267426</v>
      </c>
      <c r="N61" s="20">
        <f>(M61*B61)+((1-M61)*C61)</f>
        <v>-92.045802673101335</v>
      </c>
      <c r="O61" s="20">
        <f t="shared" si="46"/>
        <v>-0.28208009085846419</v>
      </c>
      <c r="P61" s="41">
        <f t="shared" si="47"/>
        <v>-0.3811062908584642</v>
      </c>
      <c r="Q61" s="20"/>
    </row>
    <row r="62" spans="1:17" ht="15.75" customHeight="1">
      <c r="A62" s="29"/>
      <c r="P62" s="1" t="s">
        <v>105</v>
      </c>
    </row>
    <row r="63" spans="1:17" ht="15.75" customHeight="1">
      <c r="P63" s="1" t="s">
        <v>106</v>
      </c>
    </row>
    <row r="65" spans="1:17" ht="15.75" customHeight="1">
      <c r="A65" s="16" t="s">
        <v>77</v>
      </c>
      <c r="B65" s="1" t="s">
        <v>50</v>
      </c>
      <c r="C65" s="1" t="s">
        <v>50</v>
      </c>
      <c r="D65" s="1" t="s">
        <v>51</v>
      </c>
      <c r="E65" s="1" t="s">
        <v>52</v>
      </c>
      <c r="G65" s="1" t="s">
        <v>53</v>
      </c>
      <c r="I65" s="1" t="s">
        <v>78</v>
      </c>
      <c r="J65" s="1" t="s">
        <v>67</v>
      </c>
      <c r="K65" s="1" t="s">
        <v>78</v>
      </c>
      <c r="L65" s="1" t="s">
        <v>67</v>
      </c>
      <c r="P65" s="1" t="s">
        <v>99</v>
      </c>
      <c r="Q65" s="1" t="s">
        <v>28</v>
      </c>
    </row>
    <row r="66" spans="1:17" ht="15.75" customHeight="1">
      <c r="A66" s="1" t="s">
        <v>54</v>
      </c>
      <c r="B66" s="1" t="s">
        <v>78</v>
      </c>
      <c r="C66" s="1" t="s">
        <v>56</v>
      </c>
      <c r="D66" s="1" t="s">
        <v>57</v>
      </c>
      <c r="E66" s="1" t="s">
        <v>79</v>
      </c>
      <c r="F66" s="1" t="s">
        <v>59</v>
      </c>
      <c r="H66" s="1" t="s">
        <v>59</v>
      </c>
      <c r="I66" s="1" t="s">
        <v>100</v>
      </c>
      <c r="J66" s="1" t="s">
        <v>100</v>
      </c>
      <c r="K66" s="1" t="s">
        <v>101</v>
      </c>
      <c r="L66" s="1" t="s">
        <v>101</v>
      </c>
      <c r="M66" s="1" t="s">
        <v>102</v>
      </c>
      <c r="N66" s="1" t="s">
        <v>103</v>
      </c>
      <c r="O66" s="1" t="s">
        <v>104</v>
      </c>
      <c r="P66" s="1" t="s">
        <v>59</v>
      </c>
      <c r="Q66" s="1" t="s">
        <v>59</v>
      </c>
    </row>
    <row r="67" spans="1:17" ht="15.75" customHeight="1">
      <c r="A67" s="1" t="s">
        <v>60</v>
      </c>
      <c r="B67" s="27">
        <v>-150.110198</v>
      </c>
      <c r="C67" s="27">
        <v>-150.12779602000001</v>
      </c>
      <c r="D67" s="28">
        <f t="shared" ref="D67:D72" si="48">(B67-C67)*27.2114</f>
        <v>0.47886676142822637</v>
      </c>
      <c r="E67" s="14">
        <v>1.089</v>
      </c>
      <c r="F67" s="14">
        <f t="shared" ref="F67:F72" si="49">D67-E67</f>
        <v>-0.6101332385717736</v>
      </c>
      <c r="G67" s="27">
        <v>0.98199999999999998</v>
      </c>
      <c r="H67" s="14">
        <f t="shared" ref="H67:H72" si="50">D67-G67</f>
        <v>-0.50313323857177361</v>
      </c>
      <c r="I67" s="20">
        <v>1.0192115660000001</v>
      </c>
      <c r="J67" s="20">
        <v>2.0451927649999999</v>
      </c>
      <c r="K67" s="20">
        <v>1.1810389999999999</v>
      </c>
      <c r="L67" s="20">
        <v>2.0007540000000001</v>
      </c>
      <c r="M67" s="20">
        <f t="shared" ref="M67:M72" si="51">(L67-0)/(L67-K67)</f>
        <v>2.44079222656655</v>
      </c>
      <c r="N67" s="20">
        <f t="shared" ref="N67:N71" si="52">(M67*B67)+(1-M67)*C67</f>
        <v>-150.084842909581</v>
      </c>
      <c r="O67" s="20">
        <f t="shared" ref="O67:O72" si="53">(N67-C67)*27.2114</f>
        <v>1.1688142688557448</v>
      </c>
      <c r="P67" s="41">
        <f t="shared" ref="P67:P72" si="54">O67-E67</f>
        <v>7.981426885574483E-2</v>
      </c>
      <c r="Q67" s="20">
        <f t="shared" ref="Q67:Q72" si="55">O67-G67</f>
        <v>0.18681426885574481</v>
      </c>
    </row>
    <row r="68" spans="1:17" ht="15.75" customHeight="1">
      <c r="A68" s="1" t="s">
        <v>61</v>
      </c>
      <c r="B68" s="27">
        <v>-150.11025692999999</v>
      </c>
      <c r="C68" s="27">
        <v>-150.12644950000001</v>
      </c>
      <c r="D68" s="28">
        <f t="shared" si="48"/>
        <v>0.4406224992984189</v>
      </c>
      <c r="E68" s="14">
        <v>1.089</v>
      </c>
      <c r="F68" s="14">
        <f t="shared" si="49"/>
        <v>-0.64837750070158107</v>
      </c>
      <c r="G68" s="27">
        <v>0.98399999999999999</v>
      </c>
      <c r="H68" s="14">
        <f t="shared" si="50"/>
        <v>-0.54337750070158108</v>
      </c>
      <c r="I68" s="20">
        <v>1.004911637</v>
      </c>
      <c r="J68" s="20">
        <v>2.008583974</v>
      </c>
      <c r="K68" s="20">
        <v>1.1882539999999999</v>
      </c>
      <c r="L68" s="20">
        <v>2.0007820000000001</v>
      </c>
      <c r="M68" s="20">
        <f t="shared" si="51"/>
        <v>2.46241606443101</v>
      </c>
      <c r="N68" s="20">
        <f t="shared" si="52"/>
        <v>-150.08657665550751</v>
      </c>
      <c r="O68" s="20">
        <f t="shared" si="53"/>
        <v>1.0849959206230169</v>
      </c>
      <c r="P68" s="41">
        <f t="shared" si="54"/>
        <v>-4.0040793769831051E-3</v>
      </c>
      <c r="Q68" s="20">
        <f t="shared" si="55"/>
        <v>0.10099592062301688</v>
      </c>
    </row>
    <row r="69" spans="1:17" ht="15.75" customHeight="1">
      <c r="A69" s="1" t="s">
        <v>62</v>
      </c>
      <c r="B69" s="27">
        <v>-150.10403557000001</v>
      </c>
      <c r="C69" s="27">
        <v>-150.12014318999999</v>
      </c>
      <c r="D69" s="28">
        <f t="shared" si="48"/>
        <v>0.43831089086760394</v>
      </c>
      <c r="E69" s="14">
        <v>1.089</v>
      </c>
      <c r="F69" s="14">
        <f t="shared" si="49"/>
        <v>-0.65068910913239608</v>
      </c>
      <c r="G69" s="27">
        <v>0.98399999999999999</v>
      </c>
      <c r="H69" s="14">
        <f t="shared" si="50"/>
        <v>-0.5456891091323961</v>
      </c>
      <c r="I69" s="20">
        <v>1.001082456</v>
      </c>
      <c r="J69" s="20">
        <v>2.0033708909999999</v>
      </c>
      <c r="K69" s="20">
        <v>1.193881</v>
      </c>
      <c r="L69" s="20">
        <v>2.0007760000000001</v>
      </c>
      <c r="M69" s="20">
        <f t="shared" si="51"/>
        <v>2.4795989564937195</v>
      </c>
      <c r="N69" s="20">
        <f t="shared" si="52"/>
        <v>-150.08020275225641</v>
      </c>
      <c r="O69" s="20">
        <f t="shared" si="53"/>
        <v>1.0868352276156927</v>
      </c>
      <c r="P69" s="41">
        <f t="shared" si="54"/>
        <v>-2.1647723843072342E-3</v>
      </c>
      <c r="Q69" s="20">
        <f t="shared" si="55"/>
        <v>0.10283522761569275</v>
      </c>
    </row>
    <row r="70" spans="1:17" ht="15.75" customHeight="1">
      <c r="A70" s="1" t="s">
        <v>40</v>
      </c>
      <c r="B70" s="27">
        <v>-150.11033269999999</v>
      </c>
      <c r="C70" s="27">
        <v>-150.12648884999999</v>
      </c>
      <c r="D70" s="28">
        <f t="shared" si="48"/>
        <v>0.43963146011001308</v>
      </c>
      <c r="E70" s="14">
        <v>1.089</v>
      </c>
      <c r="F70" s="14">
        <f t="shared" si="49"/>
        <v>-0.64936853988998688</v>
      </c>
      <c r="G70" s="27">
        <v>0.98399999999999999</v>
      </c>
      <c r="H70" s="14">
        <f t="shared" si="50"/>
        <v>-0.5443685398899869</v>
      </c>
      <c r="I70" s="20">
        <v>1.0025681230000001</v>
      </c>
      <c r="J70" s="20">
        <v>2.004429987</v>
      </c>
      <c r="K70" s="20">
        <v>1.1901090000000001</v>
      </c>
      <c r="L70" s="20">
        <v>2.0007730000000001</v>
      </c>
      <c r="M70" s="20">
        <f t="shared" si="51"/>
        <v>2.468066917983283</v>
      </c>
      <c r="N70" s="20">
        <f t="shared" si="52"/>
        <v>-150.08661439066299</v>
      </c>
      <c r="O70" s="20">
        <f t="shared" si="53"/>
        <v>1.0850398628028346</v>
      </c>
      <c r="P70" s="41">
        <f t="shared" si="54"/>
        <v>-3.9601371971653698E-3</v>
      </c>
      <c r="Q70" s="20">
        <f t="shared" si="55"/>
        <v>0.10103986280283461</v>
      </c>
    </row>
    <row r="71" spans="1:17" ht="15.75" customHeight="1">
      <c r="A71" s="1" t="s">
        <v>63</v>
      </c>
      <c r="B71" s="27">
        <v>-150.11048951000001</v>
      </c>
      <c r="C71" s="27">
        <v>-150.12677597000001</v>
      </c>
      <c r="D71" s="28">
        <f t="shared" si="48"/>
        <v>0.44317737764409376</v>
      </c>
      <c r="E71" s="14">
        <v>1.089</v>
      </c>
      <c r="F71" s="14">
        <f t="shared" si="49"/>
        <v>-0.64582262235590626</v>
      </c>
      <c r="G71" s="27">
        <v>0.98399999999999999</v>
      </c>
      <c r="H71" s="14">
        <f t="shared" si="50"/>
        <v>-0.54082262235590628</v>
      </c>
      <c r="I71" s="20">
        <v>1.005475404</v>
      </c>
      <c r="J71" s="20">
        <v>2.0090193159999998</v>
      </c>
      <c r="K71" s="20">
        <v>1.186609</v>
      </c>
      <c r="L71" s="20">
        <v>2.0008050000000002</v>
      </c>
      <c r="M71" s="20">
        <f t="shared" si="51"/>
        <v>2.457399692457344</v>
      </c>
      <c r="N71" s="20">
        <f t="shared" si="52"/>
        <v>-150.08675362820478</v>
      </c>
      <c r="O71" s="20">
        <f t="shared" si="53"/>
        <v>1.0890639515268881</v>
      </c>
      <c r="P71" s="41">
        <f t="shared" si="54"/>
        <v>6.3951526888095245E-5</v>
      </c>
      <c r="Q71" s="20">
        <f t="shared" si="55"/>
        <v>0.10506395152688808</v>
      </c>
    </row>
    <row r="72" spans="1:17" ht="15.75" customHeight="1">
      <c r="A72" s="1" t="s">
        <v>64</v>
      </c>
      <c r="B72" s="27">
        <v>-150.11093259</v>
      </c>
      <c r="C72" s="27">
        <v>-150.12723854999999</v>
      </c>
      <c r="D72" s="28">
        <f t="shared" si="48"/>
        <v>0.44370799994352744</v>
      </c>
      <c r="E72" s="14">
        <v>1.089</v>
      </c>
      <c r="F72" s="14">
        <f t="shared" si="49"/>
        <v>-0.64529200005647258</v>
      </c>
      <c r="G72" s="27">
        <v>0.98399999999999999</v>
      </c>
      <c r="H72" s="14">
        <f t="shared" si="50"/>
        <v>-0.5402920000564726</v>
      </c>
      <c r="I72" s="20">
        <v>1.0090411930000001</v>
      </c>
      <c r="J72" s="20">
        <v>2.014727454</v>
      </c>
      <c r="K72" s="20">
        <v>1.1842109999999999</v>
      </c>
      <c r="L72" s="20">
        <v>2.000791</v>
      </c>
      <c r="M72" s="20">
        <f t="shared" si="51"/>
        <v>2.4502081853584459</v>
      </c>
      <c r="N72" s="20">
        <f>(M72*B72)+((1-M72)*C72)</f>
        <v>-150.08728555333792</v>
      </c>
      <c r="O72" s="20">
        <f t="shared" si="53"/>
        <v>1.0871769733701482</v>
      </c>
      <c r="P72" s="41">
        <f t="shared" si="54"/>
        <v>-1.8230266298517872E-3</v>
      </c>
      <c r="Q72" s="20">
        <f t="shared" si="55"/>
        <v>0.1031769733701482</v>
      </c>
    </row>
    <row r="73" spans="1:17" ht="15.75" customHeight="1">
      <c r="P73" s="1" t="s">
        <v>105</v>
      </c>
    </row>
    <row r="74" spans="1:17" ht="15.75" customHeight="1">
      <c r="P74" s="1" t="s">
        <v>108</v>
      </c>
    </row>
    <row r="76" spans="1:17" ht="15.75" customHeight="1">
      <c r="A76" s="16" t="s">
        <v>80</v>
      </c>
      <c r="B76" s="1" t="s">
        <v>50</v>
      </c>
      <c r="C76" s="1" t="s">
        <v>50</v>
      </c>
      <c r="D76" s="1" t="s">
        <v>51</v>
      </c>
      <c r="E76" s="1" t="s">
        <v>52</v>
      </c>
      <c r="G76" s="1" t="s">
        <v>53</v>
      </c>
      <c r="I76" s="1" t="s">
        <v>78</v>
      </c>
      <c r="J76" s="1" t="s">
        <v>67</v>
      </c>
      <c r="K76" s="1" t="s">
        <v>78</v>
      </c>
      <c r="L76" s="1" t="s">
        <v>67</v>
      </c>
      <c r="P76" s="1" t="s">
        <v>99</v>
      </c>
      <c r="Q76" s="1" t="s">
        <v>28</v>
      </c>
    </row>
    <row r="77" spans="1:17" ht="15.75" customHeight="1">
      <c r="A77" s="1" t="s">
        <v>54</v>
      </c>
      <c r="B77" s="1" t="s">
        <v>78</v>
      </c>
      <c r="C77" s="1" t="s">
        <v>56</v>
      </c>
      <c r="D77" s="1" t="s">
        <v>57</v>
      </c>
      <c r="E77" s="1" t="s">
        <v>81</v>
      </c>
      <c r="F77" s="1" t="s">
        <v>59</v>
      </c>
      <c r="G77" s="1" t="s">
        <v>28</v>
      </c>
      <c r="H77" s="1" t="s">
        <v>59</v>
      </c>
      <c r="I77" s="1" t="s">
        <v>100</v>
      </c>
      <c r="J77" s="1" t="s">
        <v>100</v>
      </c>
      <c r="K77" s="1" t="s">
        <v>101</v>
      </c>
      <c r="L77" s="1" t="s">
        <v>101</v>
      </c>
      <c r="M77" s="1" t="s">
        <v>102</v>
      </c>
      <c r="N77" s="1" t="s">
        <v>103</v>
      </c>
      <c r="O77" s="1" t="s">
        <v>104</v>
      </c>
      <c r="P77" s="1" t="s">
        <v>59</v>
      </c>
      <c r="Q77" s="1" t="s">
        <v>59</v>
      </c>
    </row>
    <row r="78" spans="1:17" ht="15.75" customHeight="1">
      <c r="A78" s="1" t="s">
        <v>60</v>
      </c>
      <c r="B78" s="27">
        <v>-55.125020020000001</v>
      </c>
      <c r="C78" s="27">
        <v>-55.140919959999998</v>
      </c>
      <c r="D78" s="28">
        <f t="shared" ref="D78:D83" si="56">(B78-C78)*27.2114</f>
        <v>0.43265962731592</v>
      </c>
      <c r="E78" s="14">
        <f t="shared" ref="E78:E83" si="57">(41/627.5)*27.2114</f>
        <v>1.7779560159362551</v>
      </c>
      <c r="F78" s="14">
        <f t="shared" ref="F78:F83" si="58">D78-E78</f>
        <v>-1.3452963886203351</v>
      </c>
      <c r="G78" s="14">
        <f t="shared" ref="G78:G83" si="59">(36/627.5)*27.2114</f>
        <v>1.5611321115537848</v>
      </c>
      <c r="H78" s="14">
        <f t="shared" ref="H78:H83" si="60">D78-G78</f>
        <v>-1.1284724842378648</v>
      </c>
      <c r="I78" s="20">
        <v>1.010607432</v>
      </c>
      <c r="J78" s="20">
        <v>2.01563494</v>
      </c>
      <c r="K78" s="20">
        <v>1.528116</v>
      </c>
      <c r="L78" s="20">
        <v>2.0003220000000002</v>
      </c>
      <c r="M78" s="20">
        <f t="shared" ref="M78:M83" si="61">(L78-0)/(L78-K78)</f>
        <v>4.2361215232335034</v>
      </c>
      <c r="N78" s="20">
        <f t="shared" ref="N78:N82" si="62">(M78*B78)+(1-M78)*C78</f>
        <v>-55.0735658819479</v>
      </c>
      <c r="O78" s="20">
        <f t="shared" ref="O78:O83" si="63">(N78-C78)*27.2114</f>
        <v>1.8327987595068604</v>
      </c>
      <c r="P78" s="41">
        <f t="shared" ref="P78:P83" si="64">O78-E78</f>
        <v>5.4842743570605368E-2</v>
      </c>
      <c r="Q78" s="20">
        <f t="shared" ref="Q78:Q83" si="65">O78-G78</f>
        <v>0.2716666479530756</v>
      </c>
    </row>
    <row r="79" spans="1:17" ht="15.75" customHeight="1">
      <c r="A79" s="1" t="s">
        <v>61</v>
      </c>
      <c r="B79" s="27">
        <v>-55.125215869999998</v>
      </c>
      <c r="C79" s="27">
        <v>-55.140099919999997</v>
      </c>
      <c r="D79" s="28">
        <f t="shared" si="56"/>
        <v>0.40501583816997688</v>
      </c>
      <c r="E79" s="14">
        <f t="shared" si="57"/>
        <v>1.7779560159362551</v>
      </c>
      <c r="F79" s="14">
        <f t="shared" si="58"/>
        <v>-1.3729401777662782</v>
      </c>
      <c r="G79" s="14">
        <f t="shared" si="59"/>
        <v>1.5611321115537848</v>
      </c>
      <c r="H79" s="14">
        <f t="shared" si="60"/>
        <v>-1.156116273383808</v>
      </c>
      <c r="I79" s="20">
        <v>1.0036020349999999</v>
      </c>
      <c r="J79" s="20">
        <v>2.0052649850000002</v>
      </c>
      <c r="K79" s="20">
        <v>1.5564979999999999</v>
      </c>
      <c r="L79" s="20">
        <v>2.0002550000000001</v>
      </c>
      <c r="M79" s="20">
        <f t="shared" si="61"/>
        <v>4.5075457964606738</v>
      </c>
      <c r="N79" s="20">
        <f t="shared" si="62"/>
        <v>-55.073009382988204</v>
      </c>
      <c r="O79" s="20">
        <f t="shared" si="63"/>
        <v>1.8256274388427196</v>
      </c>
      <c r="P79" s="41">
        <f t="shared" si="64"/>
        <v>4.7671422906464533E-2</v>
      </c>
      <c r="Q79" s="20">
        <f t="shared" si="65"/>
        <v>0.26449532728893477</v>
      </c>
    </row>
    <row r="80" spans="1:17" ht="15.75" customHeight="1">
      <c r="A80" s="1" t="s">
        <v>62</v>
      </c>
      <c r="B80" s="27">
        <v>-55.122671789999998</v>
      </c>
      <c r="C80" s="27">
        <v>-55.136962789999998</v>
      </c>
      <c r="D80" s="28">
        <f t="shared" si="56"/>
        <v>0.3888781174000015</v>
      </c>
      <c r="E80" s="14">
        <f t="shared" si="57"/>
        <v>1.7779560159362551</v>
      </c>
      <c r="F80" s="14">
        <f t="shared" si="58"/>
        <v>-1.3890778985362535</v>
      </c>
      <c r="G80" s="14">
        <f t="shared" si="59"/>
        <v>1.5611321115537848</v>
      </c>
      <c r="H80" s="14">
        <f t="shared" si="60"/>
        <v>-1.1722539941537833</v>
      </c>
      <c r="I80" s="20">
        <v>1.001465536</v>
      </c>
      <c r="J80" s="20">
        <v>2.0047836569999999</v>
      </c>
      <c r="K80" s="20">
        <v>1.5729089999999999</v>
      </c>
      <c r="L80" s="20">
        <v>2.0002520000000001</v>
      </c>
      <c r="M80" s="20">
        <f t="shared" si="61"/>
        <v>4.6806710300625003</v>
      </c>
      <c r="N80" s="20">
        <f t="shared" si="62"/>
        <v>-55.070071320309381</v>
      </c>
      <c r="O80" s="20">
        <f t="shared" si="63"/>
        <v>1.8202105383392582</v>
      </c>
      <c r="P80" s="41">
        <f t="shared" si="64"/>
        <v>4.2254522403003092E-2</v>
      </c>
      <c r="Q80" s="20">
        <f t="shared" si="65"/>
        <v>0.25907842678547333</v>
      </c>
    </row>
    <row r="81" spans="1:17" ht="15.75" customHeight="1">
      <c r="A81" s="1" t="s">
        <v>40</v>
      </c>
      <c r="B81" s="27">
        <v>-55.125159689999997</v>
      </c>
      <c r="C81" s="27">
        <v>-55.14009051</v>
      </c>
      <c r="D81" s="28">
        <f t="shared" si="56"/>
        <v>0.40628851534809701</v>
      </c>
      <c r="E81" s="14">
        <f t="shared" si="57"/>
        <v>1.7779560159362551</v>
      </c>
      <c r="F81" s="14">
        <f t="shared" si="58"/>
        <v>-1.371667500588158</v>
      </c>
      <c r="G81" s="14">
        <f t="shared" si="59"/>
        <v>1.5611321115537848</v>
      </c>
      <c r="H81" s="14">
        <f t="shared" si="60"/>
        <v>-1.1548435962056878</v>
      </c>
      <c r="I81" s="20">
        <v>1.0038765119999999</v>
      </c>
      <c r="J81" s="20">
        <v>2.0050492329999998</v>
      </c>
      <c r="K81" s="20">
        <v>1.5547420000000001</v>
      </c>
      <c r="L81" s="20">
        <v>2.0002520000000001</v>
      </c>
      <c r="M81" s="20">
        <f t="shared" si="61"/>
        <v>4.4898026980314691</v>
      </c>
      <c r="N81" s="20">
        <f t="shared" si="62"/>
        <v>-55.073054074080176</v>
      </c>
      <c r="O81" s="20">
        <f t="shared" si="63"/>
        <v>1.824155272388714</v>
      </c>
      <c r="P81" s="41">
        <f t="shared" si="64"/>
        <v>4.6199256452458926E-2</v>
      </c>
      <c r="Q81" s="20">
        <f t="shared" si="65"/>
        <v>0.26302316083492916</v>
      </c>
    </row>
    <row r="82" spans="1:17" ht="15.75" customHeight="1">
      <c r="A82" s="1" t="s">
        <v>63</v>
      </c>
      <c r="B82" s="27">
        <v>-55.124771879999997</v>
      </c>
      <c r="C82" s="27">
        <v>-55.140316939999998</v>
      </c>
      <c r="D82" s="28">
        <f t="shared" si="56"/>
        <v>0.42300284568402419</v>
      </c>
      <c r="E82" s="14">
        <f t="shared" si="57"/>
        <v>1.7779560159362551</v>
      </c>
      <c r="F82" s="14">
        <f t="shared" si="58"/>
        <v>-1.3549531702522308</v>
      </c>
      <c r="G82" s="14">
        <f t="shared" si="59"/>
        <v>1.5611321115537848</v>
      </c>
      <c r="H82" s="14">
        <f t="shared" si="60"/>
        <v>-1.1381292658697606</v>
      </c>
      <c r="I82" s="20">
        <v>1.006774619</v>
      </c>
      <c r="J82" s="20">
        <v>2.0086719020000001</v>
      </c>
      <c r="K82" s="20">
        <v>1.53938</v>
      </c>
      <c r="L82" s="20">
        <v>2.0002770000000001</v>
      </c>
      <c r="M82" s="20">
        <f t="shared" si="61"/>
        <v>4.33996532847903</v>
      </c>
      <c r="N82" s="20">
        <f t="shared" si="62"/>
        <v>-55.072851918570876</v>
      </c>
      <c r="O82" s="20">
        <f t="shared" si="63"/>
        <v>1.8358176841164082</v>
      </c>
      <c r="P82" s="41">
        <f t="shared" si="64"/>
        <v>5.7861668180153147E-2</v>
      </c>
      <c r="Q82" s="20">
        <f t="shared" si="65"/>
        <v>0.27468557256262338</v>
      </c>
    </row>
    <row r="83" spans="1:17" ht="15.75" customHeight="1">
      <c r="A83" s="1" t="s">
        <v>64</v>
      </c>
      <c r="B83" s="27">
        <v>-55.124982430000003</v>
      </c>
      <c r="C83" s="27">
        <v>-55.140567769999997</v>
      </c>
      <c r="D83" s="28">
        <f t="shared" si="56"/>
        <v>0.42409892087584</v>
      </c>
      <c r="E83" s="14">
        <f t="shared" si="57"/>
        <v>1.7779560159362551</v>
      </c>
      <c r="F83" s="14">
        <f t="shared" si="58"/>
        <v>-1.3538570950604152</v>
      </c>
      <c r="G83" s="14">
        <f t="shared" si="59"/>
        <v>1.5611321115537848</v>
      </c>
      <c r="H83" s="14">
        <f t="shared" si="60"/>
        <v>-1.1370331906779447</v>
      </c>
      <c r="I83" s="20">
        <v>1.007209577</v>
      </c>
      <c r="J83" s="20">
        <v>2.0091930919999998</v>
      </c>
      <c r="K83" s="20">
        <v>1.5382</v>
      </c>
      <c r="L83" s="20">
        <v>2.0002819999999999</v>
      </c>
      <c r="M83" s="20">
        <f t="shared" si="61"/>
        <v>4.3288463952285534</v>
      </c>
      <c r="N83" s="20">
        <f>(M83*B83)+((1-M83)*C83)</f>
        <v>-55.073101227122606</v>
      </c>
      <c r="O83" s="20">
        <f t="shared" si="63"/>
        <v>1.8358590848538272</v>
      </c>
      <c r="P83" s="41">
        <f t="shared" si="64"/>
        <v>5.7903068917572131E-2</v>
      </c>
      <c r="Q83" s="20">
        <f t="shared" si="65"/>
        <v>0.27472697330004237</v>
      </c>
    </row>
    <row r="84" spans="1:17" ht="15.75" customHeight="1">
      <c r="P84" s="1" t="s">
        <v>105</v>
      </c>
    </row>
    <row r="85" spans="1:17" ht="15.75" customHeight="1">
      <c r="P85" s="1" t="s">
        <v>108</v>
      </c>
    </row>
    <row r="87" spans="1:17" ht="15.75" customHeight="1">
      <c r="A87" s="45"/>
      <c r="B87" s="46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</row>
    <row r="88" spans="1:17" ht="15.75" customHeight="1">
      <c r="B88" s="47"/>
    </row>
    <row r="89" spans="1:17" ht="15.75" customHeight="1">
      <c r="A89" s="16" t="s">
        <v>41</v>
      </c>
      <c r="B89" s="1" t="s">
        <v>55</v>
      </c>
      <c r="C89" s="1" t="s">
        <v>55</v>
      </c>
      <c r="D89" s="1" t="s">
        <v>55</v>
      </c>
      <c r="E89" s="1" t="s">
        <v>56</v>
      </c>
      <c r="F89" s="1" t="s">
        <v>56</v>
      </c>
      <c r="G89" s="1" t="s">
        <v>109</v>
      </c>
      <c r="H89" s="1" t="s">
        <v>110</v>
      </c>
      <c r="I89" s="1" t="s">
        <v>82</v>
      </c>
      <c r="J89" s="1" t="s">
        <v>83</v>
      </c>
    </row>
    <row r="90" spans="1:17" ht="15.75" customHeight="1">
      <c r="A90" s="1" t="s">
        <v>54</v>
      </c>
      <c r="B90" s="1" t="s">
        <v>84</v>
      </c>
      <c r="C90" s="1" t="s">
        <v>85</v>
      </c>
      <c r="D90" s="1" t="s">
        <v>86</v>
      </c>
      <c r="E90" s="1" t="s">
        <v>85</v>
      </c>
      <c r="F90" s="1" t="s">
        <v>86</v>
      </c>
      <c r="G90" s="1" t="s">
        <v>87</v>
      </c>
      <c r="H90" s="1" t="s">
        <v>87</v>
      </c>
      <c r="I90" s="1" t="s">
        <v>87</v>
      </c>
      <c r="J90" s="1" t="s">
        <v>87</v>
      </c>
    </row>
    <row r="91" spans="1:17" ht="15.75" customHeight="1">
      <c r="A91" s="1" t="s">
        <v>60</v>
      </c>
      <c r="B91" s="14">
        <f t="shared" ref="B91:B96" si="66">SQRT(8)</f>
        <v>2.8284271247461903</v>
      </c>
      <c r="C91" s="14">
        <f>SQRT(0.1601)</f>
        <v>0.40012498047485112</v>
      </c>
      <c r="D91" s="31">
        <f t="shared" ref="D91:D96" si="67">C91/B91</f>
        <v>0.14146554350795107</v>
      </c>
      <c r="E91" s="14">
        <f>SQRT(0.0324)</f>
        <v>0.18</v>
      </c>
      <c r="F91" s="31">
        <f t="shared" ref="F91:F96" si="68">E91/B91</f>
        <v>6.3639610306789274E-2</v>
      </c>
      <c r="G91" s="20">
        <v>0</v>
      </c>
      <c r="H91" s="20">
        <v>0</v>
      </c>
      <c r="I91" s="20">
        <v>0</v>
      </c>
      <c r="J91" s="20">
        <v>0</v>
      </c>
    </row>
    <row r="92" spans="1:17" ht="15.75" customHeight="1">
      <c r="A92" s="1" t="s">
        <v>61</v>
      </c>
      <c r="B92" s="14">
        <f t="shared" si="66"/>
        <v>2.8284271247461903</v>
      </c>
      <c r="C92" s="14">
        <f>SQRT(0.0028)</f>
        <v>5.2915026221291808E-2</v>
      </c>
      <c r="D92" s="31">
        <f t="shared" si="67"/>
        <v>1.8708286933869705E-2</v>
      </c>
      <c r="E92" s="14">
        <f>SQRT(0.0019)</f>
        <v>4.3588989435406733E-2</v>
      </c>
      <c r="F92" s="31">
        <f t="shared" si="68"/>
        <v>1.5411035007422439E-2</v>
      </c>
      <c r="G92" s="20">
        <v>0.15745608790000001</v>
      </c>
      <c r="H92" s="20">
        <v>0.1460613402</v>
      </c>
      <c r="I92" s="20">
        <v>0.15296658129999999</v>
      </c>
      <c r="J92" s="20">
        <v>0.1496548603</v>
      </c>
    </row>
    <row r="93" spans="1:17" ht="15.75" customHeight="1">
      <c r="A93" s="1" t="s">
        <v>62</v>
      </c>
      <c r="B93" s="14">
        <f t="shared" si="66"/>
        <v>2.8284271247461903</v>
      </c>
      <c r="C93" s="14">
        <f>SQRT(0.0198)</f>
        <v>0.14071247279470289</v>
      </c>
      <c r="D93" s="31">
        <f t="shared" si="67"/>
        <v>4.9749371855330994E-2</v>
      </c>
      <c r="E93" s="14">
        <f>SQRT(0.0062)</f>
        <v>7.8740078740118111E-2</v>
      </c>
      <c r="F93" s="31">
        <f t="shared" si="68"/>
        <v>2.7838821814150108E-2</v>
      </c>
      <c r="G93" s="20">
        <v>0.28168298650000001</v>
      </c>
      <c r="H93" s="20">
        <v>0.27967161969999998</v>
      </c>
      <c r="I93" s="20">
        <v>0.27557444640000001</v>
      </c>
      <c r="J93" s="20">
        <v>0.26958578480000001</v>
      </c>
    </row>
    <row r="94" spans="1:17" ht="15.75" customHeight="1">
      <c r="A94" s="1" t="s">
        <v>40</v>
      </c>
      <c r="B94" s="14">
        <f t="shared" si="66"/>
        <v>2.8284271247461903</v>
      </c>
      <c r="C94" s="14">
        <f>SQRT(0.0058)</f>
        <v>7.6157731058639086E-2</v>
      </c>
      <c r="D94" s="31">
        <f t="shared" si="67"/>
        <v>2.6925824035672518E-2</v>
      </c>
      <c r="E94" s="14">
        <f>SQRT(0.003)</f>
        <v>5.4772255750516613E-2</v>
      </c>
      <c r="F94" s="31">
        <f t="shared" si="68"/>
        <v>1.9364916731037084E-2</v>
      </c>
      <c r="G94" s="20">
        <v>0.16131468190000001</v>
      </c>
      <c r="H94" s="20">
        <v>0.15752988339999999</v>
      </c>
      <c r="I94" s="20">
        <v>0.15036223870000001</v>
      </c>
      <c r="J94" s="20">
        <v>0.14975445470000001</v>
      </c>
    </row>
    <row r="95" spans="1:17" ht="15.75" customHeight="1">
      <c r="A95" s="1" t="s">
        <v>63</v>
      </c>
      <c r="B95" s="14">
        <f t="shared" si="66"/>
        <v>2.8284271247461903</v>
      </c>
      <c r="C95" s="14">
        <f>SQRT(0.0025)</f>
        <v>0.05</v>
      </c>
      <c r="D95" s="31">
        <f t="shared" si="67"/>
        <v>1.7677669529663688E-2</v>
      </c>
      <c r="E95" s="14">
        <f>SQRT(0.0012)</f>
        <v>3.4641016151377546E-2</v>
      </c>
      <c r="F95" s="31">
        <f t="shared" si="68"/>
        <v>1.2247448713915889E-2</v>
      </c>
      <c r="G95" s="20">
        <v>0.117729102</v>
      </c>
      <c r="H95" s="20">
        <v>0.1257694681</v>
      </c>
      <c r="I95" s="20">
        <v>0.12680140570000001</v>
      </c>
      <c r="J95" s="20">
        <v>0.1157690555</v>
      </c>
    </row>
    <row r="96" spans="1:17" ht="15.75" customHeight="1">
      <c r="A96" s="1" t="s">
        <v>64</v>
      </c>
      <c r="B96" s="14">
        <f t="shared" si="66"/>
        <v>2.8284271247461903</v>
      </c>
      <c r="C96" s="14">
        <f>SQRT(0.0009)</f>
        <v>0.03</v>
      </c>
      <c r="D96" s="31">
        <f t="shared" si="67"/>
        <v>1.0606601717798212E-2</v>
      </c>
      <c r="E96" s="14">
        <f>SQRT(0.0017)</f>
        <v>4.1231056256176603E-2</v>
      </c>
      <c r="F96" s="31">
        <f t="shared" si="68"/>
        <v>1.4577379737113249E-2</v>
      </c>
      <c r="G96" s="20">
        <v>9.0314464920000004E-2</v>
      </c>
      <c r="H96" s="20">
        <v>9.5973998510000005E-2</v>
      </c>
      <c r="I96" s="20">
        <v>9.615789928E-2</v>
      </c>
      <c r="J96" s="20">
        <v>8.8869741089999996E-2</v>
      </c>
    </row>
    <row r="98" spans="1:10" ht="15.75" customHeight="1">
      <c r="A98" s="16" t="s">
        <v>65</v>
      </c>
      <c r="B98" s="1" t="s">
        <v>66</v>
      </c>
      <c r="C98" s="1" t="s">
        <v>66</v>
      </c>
      <c r="D98" s="1" t="s">
        <v>66</v>
      </c>
      <c r="E98" s="1" t="s">
        <v>67</v>
      </c>
      <c r="F98" s="1" t="s">
        <v>67</v>
      </c>
      <c r="G98" s="1" t="s">
        <v>111</v>
      </c>
      <c r="H98" s="1" t="s">
        <v>112</v>
      </c>
      <c r="I98" s="1" t="s">
        <v>88</v>
      </c>
      <c r="J98" s="1" t="s">
        <v>88</v>
      </c>
    </row>
    <row r="99" spans="1:10" ht="15.75" customHeight="1">
      <c r="A99" s="1" t="s">
        <v>54</v>
      </c>
      <c r="B99" s="1" t="s">
        <v>84</v>
      </c>
      <c r="C99" s="1" t="s">
        <v>85</v>
      </c>
      <c r="D99" s="1" t="s">
        <v>86</v>
      </c>
      <c r="E99" s="1" t="s">
        <v>85</v>
      </c>
      <c r="F99" s="1" t="s">
        <v>86</v>
      </c>
      <c r="G99" s="1" t="s">
        <v>87</v>
      </c>
      <c r="H99" s="1" t="s">
        <v>87</v>
      </c>
      <c r="I99" s="1" t="s">
        <v>87</v>
      </c>
      <c r="J99" s="1" t="s">
        <v>87</v>
      </c>
    </row>
    <row r="100" spans="1:10" ht="15.75" customHeight="1">
      <c r="A100" s="1" t="s">
        <v>60</v>
      </c>
      <c r="B100" s="14">
        <f t="shared" ref="B100:B105" si="69">SQRT(8)</f>
        <v>2.8284271247461903</v>
      </c>
      <c r="C100" s="14">
        <f>SQRT(0.166)</f>
        <v>0.40743097574926729</v>
      </c>
      <c r="D100" s="31">
        <f t="shared" ref="D100:D105" si="70">C100/B100</f>
        <v>0.14404860290887933</v>
      </c>
      <c r="E100" s="14">
        <f>SQRT(0.226)</f>
        <v>0.4753945729601885</v>
      </c>
      <c r="F100" s="31">
        <f t="shared" ref="F100:F105" si="71">E100/B100</f>
        <v>0.16807736313971611</v>
      </c>
      <c r="G100" s="20">
        <v>0</v>
      </c>
      <c r="H100" s="20">
        <v>0</v>
      </c>
      <c r="I100" s="20">
        <v>0</v>
      </c>
      <c r="J100" s="20">
        <v>0</v>
      </c>
    </row>
    <row r="101" spans="1:10" ht="15.75" customHeight="1">
      <c r="A101" s="1" t="s">
        <v>61</v>
      </c>
      <c r="B101" s="14">
        <f t="shared" si="69"/>
        <v>2.8284271247461903</v>
      </c>
      <c r="C101" s="14">
        <f>SQRT(0.0124)</f>
        <v>0.11135528725660043</v>
      </c>
      <c r="D101" s="31">
        <f t="shared" si="70"/>
        <v>3.9370039370059048E-2</v>
      </c>
      <c r="E101" s="14">
        <f>SQRT(0.0011)</f>
        <v>3.3166247903553998E-2</v>
      </c>
      <c r="F101" s="31">
        <f t="shared" si="71"/>
        <v>1.1726039399558573E-2</v>
      </c>
      <c r="G101" s="20">
        <v>0.15770903</v>
      </c>
      <c r="H101" s="20">
        <v>0.15770874090000001</v>
      </c>
      <c r="I101" s="20">
        <v>0.15252176640000001</v>
      </c>
      <c r="J101" s="20">
        <v>0.149721354</v>
      </c>
    </row>
    <row r="102" spans="1:10" ht="15.75" customHeight="1">
      <c r="A102" s="1" t="s">
        <v>62</v>
      </c>
      <c r="B102" s="14">
        <f t="shared" si="69"/>
        <v>2.8284271247461903</v>
      </c>
      <c r="C102" s="14">
        <f>SQRT(0.127)</f>
        <v>0.35637059362410922</v>
      </c>
      <c r="D102" s="31">
        <f t="shared" si="70"/>
        <v>0.12599603168354151</v>
      </c>
      <c r="E102" s="14">
        <f>SQRT(0.0029)</f>
        <v>5.3851648071345036E-2</v>
      </c>
      <c r="F102" s="31">
        <f t="shared" si="71"/>
        <v>1.9039432764659768E-2</v>
      </c>
      <c r="G102" s="20">
        <v>0.27910600629999999</v>
      </c>
      <c r="H102" s="20">
        <v>0.2791060065</v>
      </c>
      <c r="I102" s="20">
        <v>0.27121787289999999</v>
      </c>
      <c r="J102" s="20">
        <v>0.26510016520000002</v>
      </c>
    </row>
    <row r="103" spans="1:10" ht="15.75" customHeight="1">
      <c r="A103" s="1" t="s">
        <v>40</v>
      </c>
      <c r="B103" s="14">
        <f t="shared" si="69"/>
        <v>2.8284271247461903</v>
      </c>
      <c r="C103" s="14">
        <f>SQRT(0.1703)</f>
        <v>0.41267420563926699</v>
      </c>
      <c r="D103" s="31">
        <f t="shared" si="70"/>
        <v>0.14590236461414874</v>
      </c>
      <c r="E103" s="14">
        <f>SQRT(0.0011)</f>
        <v>3.3166247903553998E-2</v>
      </c>
      <c r="F103" s="31">
        <f t="shared" si="71"/>
        <v>1.1726039399558573E-2</v>
      </c>
      <c r="G103" s="20">
        <v>0.1610534596</v>
      </c>
      <c r="H103" s="20">
        <v>0.16105346009999999</v>
      </c>
      <c r="I103" s="20">
        <v>0.14944588440000001</v>
      </c>
      <c r="J103" s="20">
        <v>0.15029576059999999</v>
      </c>
    </row>
    <row r="104" spans="1:10" ht="15.75" customHeight="1">
      <c r="A104" s="1" t="s">
        <v>63</v>
      </c>
      <c r="B104" s="14">
        <f t="shared" si="69"/>
        <v>2.8284271247461903</v>
      </c>
      <c r="C104" s="14">
        <f>SQRT(0.2293)</f>
        <v>0.47885279575251516</v>
      </c>
      <c r="D104" s="31">
        <f t="shared" si="70"/>
        <v>0.16930002953337012</v>
      </c>
      <c r="E104" s="14">
        <f>SQRT(0.0008)</f>
        <v>2.8284271247461901E-2</v>
      </c>
      <c r="F104" s="31">
        <f t="shared" si="71"/>
        <v>0.01</v>
      </c>
      <c r="G104" s="20">
        <v>0.12746329810000001</v>
      </c>
      <c r="H104" s="20">
        <v>0.1274633</v>
      </c>
      <c r="I104" s="20">
        <v>0.124877501</v>
      </c>
      <c r="J104" s="20">
        <v>0.11666685039999999</v>
      </c>
    </row>
    <row r="105" spans="1:10" ht="15.75" customHeight="1">
      <c r="A105" s="1" t="s">
        <v>64</v>
      </c>
      <c r="B105" s="14">
        <f t="shared" si="69"/>
        <v>2.8284271247461903</v>
      </c>
      <c r="C105" s="14">
        <f>SQRT(0.0362)</f>
        <v>0.1902629759044045</v>
      </c>
      <c r="D105" s="31">
        <f t="shared" si="70"/>
        <v>6.7268120235368559E-2</v>
      </c>
      <c r="E105" s="14">
        <f>SQRT(0.0006)</f>
        <v>2.4494897427831779E-2</v>
      </c>
      <c r="F105" s="31">
        <f t="shared" si="71"/>
        <v>8.6602540378443848E-3</v>
      </c>
      <c r="G105" s="20">
        <v>9.2646075100000003E-2</v>
      </c>
      <c r="H105" s="20">
        <v>9.2646047640000007E-2</v>
      </c>
      <c r="I105" s="20">
        <v>9.4518002089999997E-2</v>
      </c>
      <c r="J105" s="20">
        <v>8.8974817009999999E-2</v>
      </c>
    </row>
    <row r="107" spans="1:10" ht="15.75" customHeight="1">
      <c r="A107" s="16" t="s">
        <v>68</v>
      </c>
      <c r="C107" s="1" t="s">
        <v>55</v>
      </c>
      <c r="D107" s="1" t="s">
        <v>56</v>
      </c>
      <c r="E107" s="1" t="s">
        <v>55</v>
      </c>
      <c r="F107" s="1" t="s">
        <v>56</v>
      </c>
      <c r="G107" s="1" t="s">
        <v>109</v>
      </c>
      <c r="H107" s="1" t="s">
        <v>110</v>
      </c>
      <c r="I107" s="1" t="s">
        <v>82</v>
      </c>
      <c r="J107" s="1" t="s">
        <v>83</v>
      </c>
    </row>
    <row r="108" spans="1:10" ht="15.75" customHeight="1">
      <c r="A108" s="1" t="s">
        <v>54</v>
      </c>
      <c r="B108" s="1" t="s">
        <v>90</v>
      </c>
      <c r="C108" s="1" t="s">
        <v>91</v>
      </c>
      <c r="D108" s="1" t="s">
        <v>91</v>
      </c>
      <c r="E108" s="1" t="s">
        <v>86</v>
      </c>
      <c r="F108" s="1" t="s">
        <v>86</v>
      </c>
      <c r="G108" s="1" t="s">
        <v>87</v>
      </c>
      <c r="H108" s="1" t="s">
        <v>87</v>
      </c>
      <c r="I108" s="1" t="s">
        <v>87</v>
      </c>
      <c r="J108" s="1" t="s">
        <v>87</v>
      </c>
    </row>
    <row r="109" spans="1:10" ht="15.75" customHeight="1">
      <c r="A109" s="1" t="s">
        <v>60</v>
      </c>
      <c r="B109" s="14">
        <v>8</v>
      </c>
      <c r="C109" s="14">
        <v>2.1299999999999999E-2</v>
      </c>
      <c r="D109" s="1">
        <v>1.4E-3</v>
      </c>
      <c r="E109" s="31">
        <f t="shared" ref="E109:E114" si="72">SQRT(C109)/SQRT(B109)</f>
        <v>5.1599418601375728E-2</v>
      </c>
      <c r="F109" s="31">
        <f t="shared" ref="F109:F114" si="73">SQRT(D109)/SQRT(B109)</f>
        <v>1.3228756555322954E-2</v>
      </c>
      <c r="G109" s="20">
        <v>0</v>
      </c>
      <c r="H109" s="20">
        <v>0</v>
      </c>
      <c r="I109" s="20">
        <v>0</v>
      </c>
      <c r="J109" s="20">
        <v>0</v>
      </c>
    </row>
    <row r="110" spans="1:10" ht="15.75" customHeight="1">
      <c r="A110" s="1" t="s">
        <v>61</v>
      </c>
      <c r="B110" s="14">
        <v>8</v>
      </c>
      <c r="C110" s="14">
        <v>3.7000000000000002E-3</v>
      </c>
      <c r="D110" s="1">
        <v>1.2999999999999999E-3</v>
      </c>
      <c r="E110" s="31">
        <f t="shared" si="72"/>
        <v>2.1505813167606566E-2</v>
      </c>
      <c r="F110" s="31">
        <f t="shared" si="73"/>
        <v>1.274754878398196E-2</v>
      </c>
      <c r="G110" s="20">
        <v>0.1102022709</v>
      </c>
      <c r="H110" s="20">
        <v>0.1102018339</v>
      </c>
      <c r="I110" s="20">
        <v>0.1104779546</v>
      </c>
      <c r="J110" s="20">
        <v>0.1077665136</v>
      </c>
    </row>
    <row r="111" spans="1:10" ht="15.75" customHeight="1">
      <c r="A111" s="1" t="s">
        <v>62</v>
      </c>
      <c r="B111" s="14">
        <v>8</v>
      </c>
      <c r="C111" s="14">
        <v>4.1999999999999997E-3</v>
      </c>
      <c r="D111" s="1">
        <v>3.3999999999999998E-3</v>
      </c>
      <c r="E111" s="31">
        <f t="shared" si="72"/>
        <v>2.2912878474779196E-2</v>
      </c>
      <c r="F111" s="31">
        <f t="shared" si="73"/>
        <v>2.0615528128088301E-2</v>
      </c>
      <c r="G111" s="20">
        <v>0.19352171369999999</v>
      </c>
      <c r="H111" s="20">
        <v>0.1935217142</v>
      </c>
      <c r="I111" s="20">
        <v>0.19107708879999999</v>
      </c>
      <c r="J111" s="20">
        <v>0.1888843714</v>
      </c>
    </row>
    <row r="112" spans="1:10" ht="15.75" customHeight="1">
      <c r="A112" s="1" t="s">
        <v>40</v>
      </c>
      <c r="B112" s="14">
        <v>8</v>
      </c>
      <c r="C112" s="14">
        <v>1.14E-2</v>
      </c>
      <c r="D112" s="1">
        <v>1E-3</v>
      </c>
      <c r="E112" s="31">
        <f t="shared" si="72"/>
        <v>3.7749172176353749E-2</v>
      </c>
      <c r="F112" s="31">
        <f t="shared" si="73"/>
        <v>1.1180339887498947E-2</v>
      </c>
      <c r="G112" s="20">
        <v>0.1104690557</v>
      </c>
      <c r="H112" s="20">
        <v>0.110469056</v>
      </c>
      <c r="I112" s="20">
        <v>0.10708680800000001</v>
      </c>
      <c r="J112" s="20">
        <v>0.109227132</v>
      </c>
    </row>
    <row r="113" spans="1:10" ht="15.75" customHeight="1">
      <c r="A113" s="1" t="s">
        <v>63</v>
      </c>
      <c r="B113" s="14">
        <v>8</v>
      </c>
      <c r="C113" s="14">
        <v>2.8000000000000001E-2</v>
      </c>
      <c r="D113" s="1">
        <v>5.9999999999999995E-4</v>
      </c>
      <c r="E113" s="31">
        <f t="shared" si="72"/>
        <v>5.9160797830996155E-2</v>
      </c>
      <c r="F113" s="31">
        <f t="shared" si="73"/>
        <v>8.6602540378443848E-3</v>
      </c>
      <c r="G113" s="20">
        <v>8.9000078900000001E-2</v>
      </c>
      <c r="H113" s="20">
        <v>8.9000078799999993E-2</v>
      </c>
      <c r="I113" s="20">
        <v>9.024605393E-2</v>
      </c>
      <c r="J113" s="20">
        <v>7.9059425769999997E-2</v>
      </c>
    </row>
    <row r="114" spans="1:10" ht="15.75" customHeight="1">
      <c r="A114" s="1" t="s">
        <v>64</v>
      </c>
      <c r="B114" s="14">
        <v>8</v>
      </c>
      <c r="C114" s="14">
        <v>2.7699999999999999E-2</v>
      </c>
      <c r="D114" s="1">
        <v>2.9999999999999997E-4</v>
      </c>
      <c r="E114" s="31">
        <f t="shared" si="72"/>
        <v>5.8843011479699087E-2</v>
      </c>
      <c r="F114" s="31">
        <f t="shared" si="73"/>
        <v>6.1237243569579446E-3</v>
      </c>
      <c r="G114" s="20">
        <v>6.8222694789999996E-2</v>
      </c>
      <c r="H114" s="20">
        <v>6.8222694799999997E-2</v>
      </c>
      <c r="I114" s="20">
        <v>6.8101141389999995E-2</v>
      </c>
      <c r="J114" s="20">
        <v>6.1620594600000002E-2</v>
      </c>
    </row>
    <row r="116" spans="1:10" ht="15.75" customHeight="1">
      <c r="A116" s="16" t="s">
        <v>70</v>
      </c>
      <c r="C116" s="1" t="s">
        <v>55</v>
      </c>
      <c r="D116" s="1" t="s">
        <v>56</v>
      </c>
      <c r="E116" s="1" t="s">
        <v>55</v>
      </c>
      <c r="F116" s="1" t="s">
        <v>56</v>
      </c>
      <c r="G116" s="1" t="s">
        <v>109</v>
      </c>
      <c r="H116" s="1" t="s">
        <v>110</v>
      </c>
      <c r="I116" s="1" t="s">
        <v>82</v>
      </c>
      <c r="J116" s="1" t="s">
        <v>83</v>
      </c>
    </row>
    <row r="117" spans="1:10" ht="15.75" customHeight="1">
      <c r="A117" s="1" t="s">
        <v>54</v>
      </c>
      <c r="B117" s="1" t="s">
        <v>90</v>
      </c>
      <c r="C117" s="1" t="s">
        <v>91</v>
      </c>
      <c r="D117" s="1" t="s">
        <v>91</v>
      </c>
      <c r="E117" s="1" t="s">
        <v>86</v>
      </c>
      <c r="F117" s="1" t="s">
        <v>86</v>
      </c>
      <c r="G117" s="1" t="s">
        <v>87</v>
      </c>
      <c r="H117" s="1" t="s">
        <v>87</v>
      </c>
      <c r="I117" s="1" t="s">
        <v>87</v>
      </c>
      <c r="J117" s="1" t="s">
        <v>87</v>
      </c>
    </row>
    <row r="118" spans="1:10" ht="15.75" customHeight="1">
      <c r="A118" s="1" t="s">
        <v>60</v>
      </c>
      <c r="B118" s="14">
        <v>12</v>
      </c>
      <c r="C118" s="14">
        <v>1.2699999999999999E-2</v>
      </c>
      <c r="D118" s="1">
        <v>1.3299999999999999E-2</v>
      </c>
      <c r="E118" s="31">
        <f t="shared" ref="E118:E123" si="74">SQRT(C118)/SQRT(B118)</f>
        <v>3.2532035493238562E-2</v>
      </c>
      <c r="F118" s="31">
        <f t="shared" ref="F118:F123" si="75">SQRT(D118)/SQRT(B118)</f>
        <v>3.3291640592396962E-2</v>
      </c>
      <c r="G118" s="20">
        <v>0</v>
      </c>
      <c r="H118" s="20">
        <v>0</v>
      </c>
      <c r="I118" s="20">
        <v>0</v>
      </c>
      <c r="J118" s="20">
        <v>0</v>
      </c>
    </row>
    <row r="119" spans="1:10" ht="15.75" customHeight="1">
      <c r="A119" s="1" t="s">
        <v>61</v>
      </c>
      <c r="B119" s="14">
        <v>12</v>
      </c>
      <c r="C119" s="14">
        <v>2.3E-3</v>
      </c>
      <c r="D119" s="1">
        <v>2.5000000000000001E-3</v>
      </c>
      <c r="E119" s="31">
        <f t="shared" si="74"/>
        <v>1.3844373104863458E-2</v>
      </c>
      <c r="F119" s="31">
        <f t="shared" si="75"/>
        <v>1.4433756729740645E-2</v>
      </c>
      <c r="G119" s="20">
        <v>0.21131529630000001</v>
      </c>
      <c r="H119" s="20">
        <v>0.21131529560000001</v>
      </c>
      <c r="I119" s="20">
        <v>0.20036227270000001</v>
      </c>
      <c r="J119" s="20">
        <v>0.2202854796</v>
      </c>
    </row>
    <row r="120" spans="1:10" ht="15.75" customHeight="1">
      <c r="A120" s="1" t="s">
        <v>62</v>
      </c>
      <c r="B120" s="14">
        <v>12</v>
      </c>
      <c r="C120" s="14">
        <v>1.15E-2</v>
      </c>
      <c r="D120" s="1">
        <v>1.01E-2</v>
      </c>
      <c r="E120" s="31">
        <f t="shared" si="74"/>
        <v>3.0956959368344517E-2</v>
      </c>
      <c r="F120" s="31">
        <f t="shared" si="75"/>
        <v>2.9011491975882021E-2</v>
      </c>
      <c r="G120" s="20">
        <v>0.37566902720000001</v>
      </c>
      <c r="H120" s="20">
        <v>0.37566903080000003</v>
      </c>
      <c r="I120" s="20">
        <v>0.36347671500000001</v>
      </c>
      <c r="J120" s="20">
        <v>0.37927998239999999</v>
      </c>
    </row>
    <row r="121" spans="1:10" ht="15.75" customHeight="1">
      <c r="A121" s="1" t="s">
        <v>40</v>
      </c>
      <c r="B121" s="14">
        <v>12</v>
      </c>
      <c r="C121" s="14">
        <v>5.8999999999999999E-3</v>
      </c>
      <c r="D121" s="1">
        <v>6.1999999999999998E-3</v>
      </c>
      <c r="E121" s="31">
        <f t="shared" si="74"/>
        <v>2.2173557826083452E-2</v>
      </c>
      <c r="F121" s="31">
        <f t="shared" si="75"/>
        <v>2.2730302828309762E-2</v>
      </c>
      <c r="G121" s="20">
        <v>0.2098058048</v>
      </c>
      <c r="H121" s="20">
        <v>0.20980580679999999</v>
      </c>
      <c r="I121" s="20">
        <v>0.194395818</v>
      </c>
      <c r="J121" s="20">
        <v>0.22298185209999999</v>
      </c>
    </row>
    <row r="122" spans="1:10" ht="15.75" customHeight="1">
      <c r="A122" s="1" t="s">
        <v>63</v>
      </c>
      <c r="B122" s="14">
        <v>12</v>
      </c>
      <c r="C122" s="14">
        <v>1.8E-3</v>
      </c>
      <c r="D122" s="1">
        <v>2.5999999999999999E-3</v>
      </c>
      <c r="E122" s="31">
        <f t="shared" si="74"/>
        <v>1.2247448713915893E-2</v>
      </c>
      <c r="F122" s="31">
        <f t="shared" si="75"/>
        <v>1.4719601443879746E-2</v>
      </c>
      <c r="G122" s="20">
        <v>0.18253890789999999</v>
      </c>
      <c r="H122" s="20">
        <v>0.18253890649999999</v>
      </c>
      <c r="I122" s="20">
        <v>0.17582814050000001</v>
      </c>
      <c r="J122" s="20">
        <v>0.18404521339999999</v>
      </c>
    </row>
    <row r="123" spans="1:10" ht="15.75" customHeight="1">
      <c r="A123" s="1" t="s">
        <v>64</v>
      </c>
      <c r="B123" s="14">
        <v>12</v>
      </c>
      <c r="C123" s="14">
        <v>4.0000000000000002E-4</v>
      </c>
      <c r="D123" s="1">
        <v>1.1000000000000001E-3</v>
      </c>
      <c r="E123" s="31">
        <f t="shared" si="74"/>
        <v>5.773502691896258E-3</v>
      </c>
      <c r="F123" s="31">
        <f t="shared" si="75"/>
        <v>9.5742710775633816E-3</v>
      </c>
      <c r="G123" s="20">
        <v>0.13752995849999999</v>
      </c>
      <c r="H123" s="20">
        <v>0.1375299586</v>
      </c>
      <c r="I123" s="20">
        <v>0.13259190169999999</v>
      </c>
      <c r="J123" s="20">
        <v>0.1387901661</v>
      </c>
    </row>
    <row r="125" spans="1:10" ht="15.75" customHeight="1">
      <c r="A125" s="16" t="s">
        <v>72</v>
      </c>
      <c r="C125" s="1" t="s">
        <v>66</v>
      </c>
      <c r="D125" s="1" t="s">
        <v>67</v>
      </c>
      <c r="E125" s="1" t="s">
        <v>66</v>
      </c>
      <c r="F125" s="1" t="s">
        <v>67</v>
      </c>
      <c r="G125" s="1" t="s">
        <v>111</v>
      </c>
      <c r="H125" s="1" t="s">
        <v>112</v>
      </c>
      <c r="I125" s="1" t="s">
        <v>88</v>
      </c>
      <c r="J125" s="1" t="s">
        <v>88</v>
      </c>
    </row>
    <row r="126" spans="1:10" ht="15.75" customHeight="1">
      <c r="A126" s="1" t="s">
        <v>54</v>
      </c>
      <c r="B126" s="1" t="s">
        <v>90</v>
      </c>
      <c r="C126" s="1" t="s">
        <v>91</v>
      </c>
      <c r="D126" s="1" t="s">
        <v>91</v>
      </c>
      <c r="E126" s="1" t="s">
        <v>86</v>
      </c>
      <c r="F126" s="1" t="s">
        <v>86</v>
      </c>
      <c r="G126" s="1" t="s">
        <v>87</v>
      </c>
      <c r="H126" s="1" t="s">
        <v>87</v>
      </c>
      <c r="I126" s="1" t="s">
        <v>87</v>
      </c>
      <c r="J126" s="1" t="s">
        <v>87</v>
      </c>
    </row>
    <row r="127" spans="1:10" ht="15.75" customHeight="1">
      <c r="A127" s="1" t="s">
        <v>60</v>
      </c>
      <c r="B127" s="14">
        <v>8</v>
      </c>
      <c r="C127" s="14">
        <v>5.3E-3</v>
      </c>
      <c r="D127" s="1">
        <v>8.6999999999999994E-3</v>
      </c>
      <c r="E127" s="31">
        <f t="shared" ref="E127:E132" si="76">SQRT(C127)/SQRT(B127)</f>
        <v>2.57390753524675E-2</v>
      </c>
      <c r="F127" s="31">
        <f t="shared" ref="F127:F132" si="77">SQRT(D127)/SQRT(B127)</f>
        <v>3.2977264895682291E-2</v>
      </c>
      <c r="G127" s="20">
        <v>0</v>
      </c>
      <c r="H127" s="20">
        <v>0</v>
      </c>
      <c r="I127" s="20">
        <v>0</v>
      </c>
      <c r="J127" s="20">
        <v>0</v>
      </c>
    </row>
    <row r="128" spans="1:10" ht="15.75" customHeight="1">
      <c r="A128" s="1" t="s">
        <v>61</v>
      </c>
      <c r="B128" s="14">
        <v>8</v>
      </c>
      <c r="C128" s="14">
        <v>1.6899999999999998E-2</v>
      </c>
      <c r="D128" s="1">
        <v>1.5E-3</v>
      </c>
      <c r="E128" s="31">
        <f t="shared" si="76"/>
        <v>4.5961940777125586E-2</v>
      </c>
      <c r="F128" s="31">
        <f t="shared" si="77"/>
        <v>1.3693063937629152E-2</v>
      </c>
      <c r="G128" s="20">
        <v>0.1762444558</v>
      </c>
      <c r="H128" s="20">
        <v>0.17624483390000001</v>
      </c>
      <c r="I128" s="20">
        <v>0.16513084459999999</v>
      </c>
      <c r="J128" s="20">
        <v>0.16238216050000001</v>
      </c>
    </row>
    <row r="129" spans="1:10" ht="15.75" customHeight="1">
      <c r="A129" s="1" t="s">
        <v>62</v>
      </c>
      <c r="B129" s="14">
        <v>8</v>
      </c>
      <c r="C129" s="14">
        <v>2.5000000000000001E-3</v>
      </c>
      <c r="D129" s="1">
        <v>5.8999999999999999E-3</v>
      </c>
      <c r="E129" s="31">
        <f t="shared" si="76"/>
        <v>1.7677669529663688E-2</v>
      </c>
      <c r="F129" s="31">
        <f t="shared" si="77"/>
        <v>2.7156951228000537E-2</v>
      </c>
      <c r="G129" s="20">
        <v>0.3084856352</v>
      </c>
      <c r="H129" s="20">
        <v>0.3084856352</v>
      </c>
      <c r="I129" s="20">
        <v>0.30312485859999999</v>
      </c>
      <c r="J129" s="20">
        <v>0.29745105300000002</v>
      </c>
    </row>
    <row r="130" spans="1:10" ht="15.75" customHeight="1">
      <c r="A130" s="1" t="s">
        <v>40</v>
      </c>
      <c r="B130" s="14">
        <v>8</v>
      </c>
      <c r="C130" s="14">
        <v>2.3599999999999999E-2</v>
      </c>
      <c r="D130" s="1">
        <v>3.8999999999999998E-3</v>
      </c>
      <c r="E130" s="31">
        <f t="shared" si="76"/>
        <v>5.4313902456001074E-2</v>
      </c>
      <c r="F130" s="31">
        <f t="shared" si="77"/>
        <v>2.2079402165819616E-2</v>
      </c>
      <c r="G130" s="20">
        <v>0.1797000265</v>
      </c>
      <c r="H130" s="20">
        <v>0.17970002460000001</v>
      </c>
      <c r="I130" s="20">
        <v>0.1657478225</v>
      </c>
      <c r="J130" s="20">
        <v>0.1628002902</v>
      </c>
    </row>
    <row r="131" spans="1:10" ht="15.75" customHeight="1">
      <c r="A131" s="1" t="s">
        <v>63</v>
      </c>
      <c r="B131" s="14">
        <v>8</v>
      </c>
      <c r="C131" s="14">
        <v>5.21E-2</v>
      </c>
      <c r="D131" s="1">
        <v>1.8E-3</v>
      </c>
      <c r="E131" s="31">
        <f t="shared" si="76"/>
        <v>8.0700061957844862E-2</v>
      </c>
      <c r="F131" s="31">
        <f t="shared" si="77"/>
        <v>1.4999999999999999E-2</v>
      </c>
      <c r="G131" s="20">
        <v>0.1450009988</v>
      </c>
      <c r="H131" s="20">
        <v>0.14500098010000001</v>
      </c>
      <c r="I131" s="20">
        <v>0.1408327885</v>
      </c>
      <c r="J131" s="20">
        <v>0.12744487779999999</v>
      </c>
    </row>
    <row r="132" spans="1:10" ht="15.75" customHeight="1">
      <c r="A132" s="1" t="s">
        <v>64</v>
      </c>
      <c r="B132" s="14">
        <v>8</v>
      </c>
      <c r="C132" s="14">
        <v>4.9500000000000002E-2</v>
      </c>
      <c r="D132" s="1">
        <v>6.9999999999999999E-4</v>
      </c>
      <c r="E132" s="31">
        <f t="shared" si="76"/>
        <v>7.8660663612761361E-2</v>
      </c>
      <c r="F132" s="31">
        <f t="shared" si="77"/>
        <v>9.3541434669348524E-3</v>
      </c>
      <c r="G132" s="20">
        <v>0.1092071575</v>
      </c>
      <c r="H132" s="20">
        <v>0.1092071574</v>
      </c>
      <c r="I132" s="20">
        <v>0.1062430182</v>
      </c>
      <c r="J132" s="20">
        <v>9.8210042519999999E-2</v>
      </c>
    </row>
    <row r="134" spans="1:10" ht="15.75" customHeight="1">
      <c r="A134" s="16" t="s">
        <v>76</v>
      </c>
      <c r="C134" s="1" t="s">
        <v>66</v>
      </c>
      <c r="D134" s="1" t="s">
        <v>67</v>
      </c>
      <c r="E134" s="1" t="s">
        <v>66</v>
      </c>
      <c r="F134" s="1" t="s">
        <v>67</v>
      </c>
      <c r="G134" s="1" t="s">
        <v>111</v>
      </c>
      <c r="H134" s="1" t="s">
        <v>112</v>
      </c>
      <c r="I134" s="1" t="s">
        <v>88</v>
      </c>
      <c r="J134" s="1" t="s">
        <v>88</v>
      </c>
    </row>
    <row r="135" spans="1:10" ht="15.75" customHeight="1">
      <c r="A135" s="1" t="s">
        <v>54</v>
      </c>
      <c r="B135" s="1" t="s">
        <v>90</v>
      </c>
      <c r="C135" s="1" t="s">
        <v>91</v>
      </c>
      <c r="D135" s="1" t="s">
        <v>91</v>
      </c>
      <c r="E135" s="1" t="s">
        <v>86</v>
      </c>
      <c r="F135" s="1" t="s">
        <v>86</v>
      </c>
      <c r="G135" s="1" t="s">
        <v>87</v>
      </c>
      <c r="H135" s="1" t="s">
        <v>87</v>
      </c>
      <c r="I135" s="1" t="s">
        <v>87</v>
      </c>
      <c r="J135" s="1" t="s">
        <v>87</v>
      </c>
    </row>
    <row r="136" spans="1:10" ht="15.75" customHeight="1">
      <c r="A136" s="1" t="s">
        <v>60</v>
      </c>
      <c r="B136" s="14">
        <v>8</v>
      </c>
      <c r="C136" s="14">
        <v>0.16719999999999999</v>
      </c>
      <c r="D136" s="1">
        <v>0.127</v>
      </c>
      <c r="E136" s="31">
        <f t="shared" ref="E136:E141" si="78">SQRT(C136)/SQRT(B136)</f>
        <v>0.14456832294800959</v>
      </c>
      <c r="F136" s="31">
        <f t="shared" ref="F136:F141" si="79">SQRT(D136)/SQRT(B136)</f>
        <v>0.12599603168354151</v>
      </c>
      <c r="G136" s="20">
        <v>0</v>
      </c>
      <c r="H136" s="20">
        <v>0</v>
      </c>
      <c r="I136" s="20">
        <v>0</v>
      </c>
      <c r="J136" s="20">
        <v>0</v>
      </c>
    </row>
    <row r="137" spans="1:10" ht="15.75" customHeight="1">
      <c r="A137" s="1" t="s">
        <v>61</v>
      </c>
      <c r="B137" s="14">
        <v>8</v>
      </c>
      <c r="C137" s="14">
        <v>0.84830000000000005</v>
      </c>
      <c r="D137" s="1">
        <v>1.5E-3</v>
      </c>
      <c r="E137" s="31">
        <f t="shared" si="78"/>
        <v>0.32563399699662809</v>
      </c>
      <c r="F137" s="31">
        <f t="shared" si="79"/>
        <v>1.3693063937629152E-2</v>
      </c>
      <c r="G137" s="20">
        <v>0.1789849137</v>
      </c>
      <c r="H137" s="20">
        <v>0.16893343280000001</v>
      </c>
      <c r="I137" s="20">
        <v>0.17088537409999999</v>
      </c>
      <c r="J137" s="20">
        <v>0.1676831459</v>
      </c>
    </row>
    <row r="138" spans="1:10" ht="15.75" customHeight="1">
      <c r="A138" s="1" t="s">
        <v>62</v>
      </c>
      <c r="B138" s="14">
        <v>8</v>
      </c>
      <c r="C138" s="14">
        <v>0.14080000000000001</v>
      </c>
      <c r="D138" s="1">
        <v>4.7999999999999996E-3</v>
      </c>
      <c r="E138" s="31">
        <f t="shared" si="78"/>
        <v>0.13266499161421599</v>
      </c>
      <c r="F138" s="31">
        <f t="shared" si="79"/>
        <v>2.4494897427831779E-2</v>
      </c>
      <c r="G138" s="20">
        <v>0.31015575350000002</v>
      </c>
      <c r="H138" s="20">
        <v>0.3101557513</v>
      </c>
      <c r="I138" s="20">
        <v>0.30102773189999998</v>
      </c>
      <c r="J138" s="20">
        <v>0.2956044229</v>
      </c>
    </row>
    <row r="139" spans="1:10" ht="15.75" customHeight="1">
      <c r="A139" s="1" t="s">
        <v>40</v>
      </c>
      <c r="B139" s="14">
        <v>8</v>
      </c>
      <c r="C139" s="14">
        <v>0.2</v>
      </c>
      <c r="D139" s="1">
        <v>2.0999999999999999E-3</v>
      </c>
      <c r="E139" s="31">
        <f t="shared" si="78"/>
        <v>0.15811388300841894</v>
      </c>
      <c r="F139" s="31">
        <f t="shared" si="79"/>
        <v>1.6201851746019649E-2</v>
      </c>
      <c r="G139" s="20">
        <v>0.182602607</v>
      </c>
      <c r="H139" s="20">
        <v>0.18260260780000001</v>
      </c>
      <c r="I139" s="20">
        <v>0.16994607749999999</v>
      </c>
      <c r="J139" s="20">
        <v>0.17020423809999999</v>
      </c>
    </row>
    <row r="140" spans="1:10" ht="15.75" customHeight="1">
      <c r="A140" s="1" t="s">
        <v>63</v>
      </c>
      <c r="B140" s="14">
        <v>8</v>
      </c>
      <c r="C140" s="14">
        <v>2.4199999999999999E-2</v>
      </c>
      <c r="D140" s="1">
        <v>2.5000000000000001E-3</v>
      </c>
      <c r="E140" s="31">
        <f t="shared" si="78"/>
        <v>5.5E-2</v>
      </c>
      <c r="F140" s="31">
        <f t="shared" si="79"/>
        <v>1.7677669529663688E-2</v>
      </c>
      <c r="G140" s="20">
        <v>0.14684145200000001</v>
      </c>
      <c r="H140" s="20">
        <v>0.1342618387</v>
      </c>
      <c r="I140" s="20">
        <v>0.14377461899999999</v>
      </c>
      <c r="J140" s="20">
        <v>0.1311318169</v>
      </c>
    </row>
    <row r="141" spans="1:10" ht="15.75" customHeight="1">
      <c r="A141" s="1" t="s">
        <v>64</v>
      </c>
      <c r="B141" s="14">
        <v>8</v>
      </c>
      <c r="C141" s="14">
        <v>4.2799999999999998E-2</v>
      </c>
      <c r="D141" s="1">
        <v>8.0999999999999996E-3</v>
      </c>
      <c r="E141" s="31">
        <f t="shared" si="78"/>
        <v>7.3143694191638964E-2</v>
      </c>
      <c r="F141" s="31">
        <f t="shared" si="79"/>
        <v>3.1819805153394637E-2</v>
      </c>
      <c r="G141" s="20">
        <v>0.10179316250000001</v>
      </c>
      <c r="H141" s="20">
        <v>0.1103912136</v>
      </c>
      <c r="I141" s="20">
        <v>0.10887905019999999</v>
      </c>
      <c r="J141" s="20">
        <v>9.9416130749999998E-2</v>
      </c>
    </row>
    <row r="143" spans="1:10" ht="15.75" customHeight="1">
      <c r="A143" s="16"/>
    </row>
    <row r="144" spans="1:10" ht="15.75" customHeight="1">
      <c r="A144" s="16" t="s">
        <v>77</v>
      </c>
      <c r="C144" s="1" t="s">
        <v>55</v>
      </c>
      <c r="D144" s="1" t="s">
        <v>56</v>
      </c>
      <c r="E144" s="1" t="s">
        <v>55</v>
      </c>
      <c r="F144" s="1" t="s">
        <v>56</v>
      </c>
      <c r="G144" s="1" t="s">
        <v>109</v>
      </c>
      <c r="H144" s="1" t="s">
        <v>110</v>
      </c>
      <c r="I144" s="1" t="s">
        <v>82</v>
      </c>
      <c r="J144" s="1" t="s">
        <v>83</v>
      </c>
    </row>
    <row r="145" spans="1:10" ht="15.75" customHeight="1">
      <c r="A145" s="1" t="s">
        <v>54</v>
      </c>
      <c r="B145" s="1" t="s">
        <v>90</v>
      </c>
      <c r="C145" s="1" t="s">
        <v>91</v>
      </c>
      <c r="D145" s="1" t="s">
        <v>91</v>
      </c>
      <c r="E145" s="1" t="s">
        <v>86</v>
      </c>
      <c r="F145" s="1" t="s">
        <v>86</v>
      </c>
      <c r="G145" s="1" t="s">
        <v>87</v>
      </c>
      <c r="H145" s="1" t="s">
        <v>87</v>
      </c>
      <c r="I145" s="1" t="s">
        <v>87</v>
      </c>
      <c r="J145" s="1" t="s">
        <v>87</v>
      </c>
    </row>
    <row r="146" spans="1:10" ht="15.75" customHeight="1">
      <c r="A146" s="1" t="s">
        <v>60</v>
      </c>
      <c r="B146" s="14">
        <v>12</v>
      </c>
      <c r="C146" s="14">
        <v>0.12790000000000001</v>
      </c>
      <c r="D146" s="1">
        <v>6.7999999999999996E-3</v>
      </c>
      <c r="E146" s="31">
        <f t="shared" ref="E146:E151" si="80">SQRT(C146)/SQRT(B146)</f>
        <v>0.10323920443965721</v>
      </c>
      <c r="F146" s="31">
        <f t="shared" ref="F146:F151" si="81">SQRT(D146)/SQRT(B146)</f>
        <v>2.3804761428476165E-2</v>
      </c>
      <c r="G146" s="20">
        <v>0</v>
      </c>
      <c r="H146" s="20">
        <v>0</v>
      </c>
      <c r="I146" s="20">
        <v>0</v>
      </c>
      <c r="J146" s="20">
        <v>0</v>
      </c>
    </row>
    <row r="147" spans="1:10" ht="15.75" customHeight="1">
      <c r="A147" s="1" t="s">
        <v>61</v>
      </c>
      <c r="B147" s="14">
        <v>12</v>
      </c>
      <c r="C147" s="14">
        <v>8.9999999999999998E-4</v>
      </c>
      <c r="D147" s="1">
        <v>1E-3</v>
      </c>
      <c r="E147" s="31">
        <f t="shared" si="80"/>
        <v>8.6602540378443865E-3</v>
      </c>
      <c r="F147" s="31">
        <f t="shared" si="81"/>
        <v>9.1287092917527683E-3</v>
      </c>
      <c r="G147" s="20">
        <v>0.2158056089</v>
      </c>
      <c r="H147" s="20">
        <v>0.2158056095</v>
      </c>
      <c r="I147" s="20">
        <v>0.1977353225</v>
      </c>
      <c r="J147" s="20">
        <v>0.23128885190000001</v>
      </c>
    </row>
    <row r="148" spans="1:10" ht="15.75" customHeight="1">
      <c r="A148" s="1" t="s">
        <v>62</v>
      </c>
      <c r="B148" s="14">
        <v>12</v>
      </c>
      <c r="C148" s="14">
        <v>2.8999999999999998E-3</v>
      </c>
      <c r="D148" s="1">
        <v>3.3E-3</v>
      </c>
      <c r="E148" s="31">
        <f t="shared" si="80"/>
        <v>1.5545631755148025E-2</v>
      </c>
      <c r="F148" s="31">
        <f t="shared" si="81"/>
        <v>1.6583123951777003E-2</v>
      </c>
      <c r="G148" s="20">
        <v>0.3752397938</v>
      </c>
      <c r="H148" s="20">
        <v>0.37523979060000001</v>
      </c>
      <c r="I148" s="20">
        <v>0.35913711120000003</v>
      </c>
      <c r="J148" s="20">
        <v>0.3845344678</v>
      </c>
    </row>
    <row r="149" spans="1:10" ht="15.75" customHeight="1">
      <c r="A149" s="1" t="s">
        <v>40</v>
      </c>
      <c r="B149" s="14">
        <v>12</v>
      </c>
      <c r="C149" s="14">
        <v>1.1999999999999999E-3</v>
      </c>
      <c r="D149" s="1">
        <v>1.6999999999999999E-3</v>
      </c>
      <c r="E149" s="31">
        <f t="shared" si="80"/>
        <v>0.01</v>
      </c>
      <c r="F149" s="31">
        <f t="shared" si="81"/>
        <v>1.1902380714238082E-2</v>
      </c>
      <c r="G149" s="20">
        <v>0.21150674529999999</v>
      </c>
      <c r="H149" s="20">
        <v>0.21150674320000001</v>
      </c>
      <c r="I149" s="20">
        <v>0.18942353249999999</v>
      </c>
      <c r="J149" s="20">
        <v>0.22969538810000001</v>
      </c>
    </row>
    <row r="150" spans="1:10" ht="15.75" customHeight="1">
      <c r="A150" s="1" t="s">
        <v>63</v>
      </c>
      <c r="B150" s="14">
        <v>12</v>
      </c>
      <c r="C150" s="14">
        <v>5.9999999999999995E-4</v>
      </c>
      <c r="D150" s="1">
        <v>8.0000000000000004E-4</v>
      </c>
      <c r="E150" s="31">
        <f t="shared" si="80"/>
        <v>7.0710678118654753E-3</v>
      </c>
      <c r="F150" s="31">
        <f t="shared" si="81"/>
        <v>8.1649658092772612E-3</v>
      </c>
      <c r="G150" s="20">
        <v>0.18573009909999999</v>
      </c>
      <c r="H150" s="20">
        <v>0.1857300989</v>
      </c>
      <c r="I150" s="20">
        <v>0.17406778580000001</v>
      </c>
      <c r="J150" s="20">
        <v>0.19124963119999999</v>
      </c>
    </row>
    <row r="151" spans="1:10" ht="15.75" customHeight="1">
      <c r="A151" s="1" t="s">
        <v>64</v>
      </c>
      <c r="B151" s="14">
        <v>12</v>
      </c>
      <c r="C151" s="14">
        <v>4.0000000000000002E-4</v>
      </c>
      <c r="D151" s="1">
        <v>2.9999999999999997E-4</v>
      </c>
      <c r="E151" s="31">
        <f t="shared" si="80"/>
        <v>5.773502691896258E-3</v>
      </c>
      <c r="F151" s="31">
        <f t="shared" si="81"/>
        <v>5.0000000000000001E-3</v>
      </c>
      <c r="G151" s="20">
        <v>0.13986926499999999</v>
      </c>
      <c r="H151" s="20">
        <v>0.1398692647</v>
      </c>
      <c r="I151" s="20">
        <v>0.13073179190000001</v>
      </c>
      <c r="J151" s="20">
        <v>0.14452019059999999</v>
      </c>
    </row>
    <row r="153" spans="1:10" ht="15.75" customHeight="1">
      <c r="A153" s="16" t="s">
        <v>80</v>
      </c>
      <c r="C153" s="1" t="s">
        <v>55</v>
      </c>
      <c r="D153" s="1" t="s">
        <v>56</v>
      </c>
      <c r="E153" s="1" t="s">
        <v>55</v>
      </c>
      <c r="F153" s="1" t="s">
        <v>56</v>
      </c>
      <c r="G153" s="1" t="s">
        <v>109</v>
      </c>
      <c r="H153" s="1" t="s">
        <v>110</v>
      </c>
      <c r="I153" s="1" t="s">
        <v>82</v>
      </c>
      <c r="J153" s="1" t="s">
        <v>83</v>
      </c>
    </row>
    <row r="154" spans="1:10" ht="15.75" customHeight="1">
      <c r="A154" s="1" t="s">
        <v>54</v>
      </c>
      <c r="B154" s="1" t="s">
        <v>90</v>
      </c>
      <c r="C154" s="1" t="s">
        <v>91</v>
      </c>
      <c r="D154" s="1" t="s">
        <v>91</v>
      </c>
      <c r="E154" s="1" t="s">
        <v>86</v>
      </c>
      <c r="F154" s="1" t="s">
        <v>86</v>
      </c>
      <c r="G154" s="1" t="s">
        <v>87</v>
      </c>
      <c r="H154" s="1" t="s">
        <v>87</v>
      </c>
      <c r="I154" s="1" t="s">
        <v>87</v>
      </c>
      <c r="J154" s="1" t="s">
        <v>87</v>
      </c>
    </row>
    <row r="155" spans="1:10" ht="15.75" customHeight="1">
      <c r="A155" s="1" t="s">
        <v>60</v>
      </c>
      <c r="B155" s="14">
        <v>6</v>
      </c>
      <c r="C155" s="14">
        <v>5.0000000000000001E-4</v>
      </c>
      <c r="D155" s="1">
        <v>1.1999999999999999E-3</v>
      </c>
      <c r="E155" s="31">
        <f t="shared" ref="E155:E160" si="82">SQRT(C155)/SQRT(B155)</f>
        <v>9.12870929175277E-3</v>
      </c>
      <c r="F155" s="31">
        <f t="shared" ref="F155:F160" si="83">SQRT(D155)/SQRT(B155)</f>
        <v>1.4142135623730952E-2</v>
      </c>
      <c r="G155" s="20">
        <v>0</v>
      </c>
      <c r="H155" s="20">
        <v>0</v>
      </c>
      <c r="I155" s="20">
        <v>0</v>
      </c>
      <c r="J155" s="20">
        <v>0</v>
      </c>
    </row>
    <row r="156" spans="1:10" ht="15.75" customHeight="1">
      <c r="A156" s="1" t="s">
        <v>61</v>
      </c>
      <c r="B156" s="14">
        <v>6</v>
      </c>
      <c r="C156" s="14">
        <v>1.1000000000000001E-3</v>
      </c>
      <c r="D156" s="1">
        <v>8.9999999999999998E-4</v>
      </c>
      <c r="E156" s="31">
        <f t="shared" si="82"/>
        <v>1.3540064007726602E-2</v>
      </c>
      <c r="F156" s="31">
        <f t="shared" si="83"/>
        <v>1.2247448713915891E-2</v>
      </c>
      <c r="G156" s="20">
        <v>0.1237747999</v>
      </c>
      <c r="H156" s="20">
        <v>0.12377478929999999</v>
      </c>
      <c r="I156" s="20">
        <v>0.1220495481</v>
      </c>
      <c r="J156" s="20">
        <v>0.1208473384</v>
      </c>
    </row>
    <row r="157" spans="1:10" ht="15.75" customHeight="1">
      <c r="A157" s="1" t="s">
        <v>62</v>
      </c>
      <c r="B157" s="14">
        <v>6</v>
      </c>
      <c r="C157" s="14">
        <v>2.8999999999999998E-3</v>
      </c>
      <c r="D157" s="1">
        <v>2.3E-3</v>
      </c>
      <c r="E157" s="31">
        <f t="shared" si="82"/>
        <v>2.19848432637882E-2</v>
      </c>
      <c r="F157" s="31">
        <f t="shared" si="83"/>
        <v>1.9578900207451219E-2</v>
      </c>
      <c r="G157" s="20">
        <v>0.22551246180000001</v>
      </c>
      <c r="H157" s="20">
        <v>0.22551267059999999</v>
      </c>
      <c r="I157" s="20">
        <v>0.2185461735</v>
      </c>
      <c r="J157" s="20">
        <v>0.21881021249999999</v>
      </c>
    </row>
    <row r="158" spans="1:10" ht="15.75" customHeight="1">
      <c r="A158" s="1" t="s">
        <v>40</v>
      </c>
      <c r="B158" s="14">
        <v>6</v>
      </c>
      <c r="C158" s="14">
        <v>1.2999999999999999E-3</v>
      </c>
      <c r="D158" s="1">
        <v>1.1000000000000001E-3</v>
      </c>
      <c r="E158" s="31">
        <f t="shared" si="82"/>
        <v>1.4719601443879744E-2</v>
      </c>
      <c r="F158" s="31">
        <f t="shared" si="83"/>
        <v>1.3540064007726602E-2</v>
      </c>
      <c r="G158" s="20">
        <v>0.1176044089</v>
      </c>
      <c r="H158" s="20">
        <v>0.1176044093</v>
      </c>
      <c r="I158" s="20">
        <v>0.1133028588</v>
      </c>
      <c r="J158" s="20">
        <v>0.1172693626</v>
      </c>
    </row>
    <row r="159" spans="1:10" ht="15.75" customHeight="1">
      <c r="A159" s="1" t="s">
        <v>63</v>
      </c>
      <c r="B159" s="14">
        <v>6</v>
      </c>
      <c r="C159" s="14">
        <v>4.0000000000000002E-4</v>
      </c>
      <c r="D159" s="1">
        <v>4.0000000000000002E-4</v>
      </c>
      <c r="E159" s="31">
        <f t="shared" si="82"/>
        <v>8.1649658092772612E-3</v>
      </c>
      <c r="F159" s="31">
        <f t="shared" si="83"/>
        <v>8.1649658092772612E-3</v>
      </c>
      <c r="G159" s="20">
        <v>9.6748419030000005E-2</v>
      </c>
      <c r="H159" s="20">
        <v>9.6748418949999998E-2</v>
      </c>
      <c r="I159" s="20">
        <v>0.10009957379999999</v>
      </c>
      <c r="J159" s="20">
        <v>8.924419921E-2</v>
      </c>
    </row>
    <row r="160" spans="1:10" ht="15.75" customHeight="1">
      <c r="A160" s="1" t="s">
        <v>64</v>
      </c>
      <c r="B160" s="14">
        <v>6</v>
      </c>
      <c r="C160" s="14">
        <v>2.0000000000000001E-4</v>
      </c>
      <c r="D160" s="1">
        <v>2.0000000000000001E-4</v>
      </c>
      <c r="E160" s="31">
        <f t="shared" si="82"/>
        <v>5.773502691896258E-3</v>
      </c>
      <c r="F160" s="31">
        <f t="shared" si="83"/>
        <v>5.773502691896258E-3</v>
      </c>
      <c r="G160" s="20">
        <v>7.3572440259999997E-2</v>
      </c>
      <c r="H160" s="20">
        <v>7.3572433490000005E-2</v>
      </c>
      <c r="I160" s="20">
        <v>7.5252789129999997E-2</v>
      </c>
      <c r="J160" s="20">
        <v>6.9073014279999997E-2</v>
      </c>
    </row>
    <row r="192" spans="1:1" ht="15.75" customHeight="1">
      <c r="A192" s="1"/>
    </row>
    <row r="210" spans="1:1" ht="15.75" customHeight="1">
      <c r="A2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2A6F-61CB-4D6F-B1B4-B1994C517611}">
  <sheetPr>
    <outlinePr summaryBelow="0" summaryRight="0"/>
    <pageSetUpPr fitToPage="1"/>
  </sheetPr>
  <dimension ref="A2:O122"/>
  <sheetViews>
    <sheetView workbookViewId="0">
      <selection activeCell="D25" sqref="D25"/>
    </sheetView>
  </sheetViews>
  <sheetFormatPr defaultColWidth="12.6640625" defaultRowHeight="15.75" customHeight="1"/>
  <cols>
    <col min="1" max="16384" width="12.6640625" style="2"/>
  </cols>
  <sheetData>
    <row r="2" spans="1:15" ht="15.75" customHeight="1">
      <c r="B2" s="1" t="s">
        <v>113</v>
      </c>
      <c r="J2" s="1" t="s">
        <v>114</v>
      </c>
    </row>
    <row r="3" spans="1:15" ht="15.75" customHeight="1">
      <c r="B3" s="1" t="s">
        <v>36</v>
      </c>
      <c r="C3" s="1" t="s">
        <v>38</v>
      </c>
      <c r="D3" s="1" t="s">
        <v>39</v>
      </c>
      <c r="E3" s="1" t="s">
        <v>40</v>
      </c>
      <c r="F3" s="1" t="s">
        <v>63</v>
      </c>
      <c r="G3" s="1" t="s">
        <v>64</v>
      </c>
      <c r="J3" s="1" t="s">
        <v>36</v>
      </c>
      <c r="K3" s="32" t="s">
        <v>38</v>
      </c>
      <c r="L3" s="32" t="s">
        <v>39</v>
      </c>
      <c r="M3" s="32" t="s">
        <v>40</v>
      </c>
      <c r="N3" s="32" t="s">
        <v>63</v>
      </c>
      <c r="O3" s="32" t="s">
        <v>64</v>
      </c>
    </row>
    <row r="4" spans="1:15" ht="15.75" customHeight="1">
      <c r="A4" s="16" t="s">
        <v>41</v>
      </c>
      <c r="B4" s="33">
        <v>0.34200000000000003</v>
      </c>
      <c r="C4" s="31">
        <v>0.31730000000000003</v>
      </c>
      <c r="D4" s="31">
        <v>0.10780000000000001</v>
      </c>
      <c r="E4" s="31">
        <v>0.19850000000000001</v>
      </c>
      <c r="F4" s="31">
        <v>0.31950000000000001</v>
      </c>
      <c r="G4" s="31">
        <v>0.32</v>
      </c>
      <c r="I4" s="34" t="s">
        <v>41</v>
      </c>
      <c r="J4" s="33">
        <v>0.28999999999999998</v>
      </c>
      <c r="K4" s="31">
        <v>0.26500000000000001</v>
      </c>
      <c r="L4" s="31">
        <v>5.6000000000000001E-2</v>
      </c>
      <c r="M4" s="31">
        <v>0.14599999999999999</v>
      </c>
      <c r="N4" s="31">
        <v>0.26700000000000002</v>
      </c>
      <c r="O4" s="31">
        <v>0.26800000000000002</v>
      </c>
    </row>
    <row r="5" spans="1:15" ht="15.75" customHeight="1">
      <c r="A5" s="16" t="s">
        <v>65</v>
      </c>
      <c r="B5" s="33">
        <v>-0.23849999999999999</v>
      </c>
      <c r="C5" s="31">
        <v>-0.14230000000000001</v>
      </c>
      <c r="D5" s="31">
        <v>4.7E-2</v>
      </c>
      <c r="E5" s="31">
        <v>2.6200000000000001E-2</v>
      </c>
      <c r="F5" s="31">
        <v>1.35E-2</v>
      </c>
      <c r="G5" s="31">
        <v>-0.2107</v>
      </c>
      <c r="I5" s="34" t="s">
        <v>65</v>
      </c>
      <c r="J5" s="33">
        <v>-0.36</v>
      </c>
      <c r="K5" s="31">
        <v>-0.26400000000000001</v>
      </c>
      <c r="L5" s="31">
        <v>-7.4999999999999997E-2</v>
      </c>
      <c r="M5" s="31">
        <v>-9.5000000000000001E-2</v>
      </c>
      <c r="N5" s="31">
        <v>-0.108</v>
      </c>
      <c r="O5" s="31">
        <v>-0.33200000000000002</v>
      </c>
    </row>
    <row r="6" spans="1:15" ht="15.75" customHeight="1">
      <c r="A6" s="16" t="s">
        <v>68</v>
      </c>
      <c r="B6" s="33">
        <v>0.44579999999999997</v>
      </c>
      <c r="C6" s="31">
        <v>0.44490000000000002</v>
      </c>
      <c r="D6" s="31">
        <v>0.44690000000000002</v>
      </c>
      <c r="E6" s="31">
        <v>0.44469999999999998</v>
      </c>
      <c r="F6" s="31">
        <v>0.4461</v>
      </c>
      <c r="G6" s="31">
        <v>0.44590000000000002</v>
      </c>
      <c r="I6" s="34" t="s">
        <v>68</v>
      </c>
      <c r="J6" s="33">
        <v>4.0000000000000001E-3</v>
      </c>
      <c r="K6" s="31">
        <v>3.0000000000000001E-3</v>
      </c>
      <c r="L6" s="31">
        <v>5.0000000000000001E-3</v>
      </c>
      <c r="M6" s="31">
        <v>3.0000000000000001E-3</v>
      </c>
      <c r="N6" s="31">
        <v>5.0000000000000001E-3</v>
      </c>
      <c r="O6" s="31">
        <v>4.0000000000000001E-3</v>
      </c>
    </row>
    <row r="7" spans="1:15" ht="15.75" customHeight="1">
      <c r="A7" s="16" t="s">
        <v>70</v>
      </c>
      <c r="B7" s="33">
        <v>0.48749999999999999</v>
      </c>
      <c r="C7" s="31">
        <v>0.47010000000000002</v>
      </c>
      <c r="D7" s="31">
        <v>0.45669999999999999</v>
      </c>
      <c r="E7" s="31">
        <v>0.46789999999999998</v>
      </c>
      <c r="F7" s="31">
        <v>0.47889999999999999</v>
      </c>
      <c r="G7" s="31">
        <v>0.48120000000000002</v>
      </c>
      <c r="I7" s="34" t="s">
        <v>70</v>
      </c>
      <c r="J7" s="33">
        <v>-1.044</v>
      </c>
      <c r="K7" s="31">
        <v>-1.0609999999999999</v>
      </c>
      <c r="L7" s="31">
        <v>-1.075</v>
      </c>
      <c r="M7" s="31">
        <v>-1.0629999999999999</v>
      </c>
      <c r="N7" s="31">
        <v>-1.052</v>
      </c>
      <c r="O7" s="31">
        <v>-1.05</v>
      </c>
    </row>
    <row r="8" spans="1:15" ht="15.75" customHeight="1">
      <c r="A8" s="16" t="s">
        <v>72</v>
      </c>
      <c r="B8" s="33">
        <v>-0.44280000000000003</v>
      </c>
      <c r="C8" s="31">
        <v>0.53029999999999999</v>
      </c>
      <c r="D8" s="31">
        <v>0.54559999999999997</v>
      </c>
      <c r="E8" s="31">
        <v>0.53259999999999996</v>
      </c>
      <c r="F8" s="31">
        <v>0.51229999999999998</v>
      </c>
      <c r="G8" s="31">
        <v>0.50929999999999997</v>
      </c>
      <c r="I8" s="34" t="s">
        <v>72</v>
      </c>
      <c r="J8" s="33">
        <v>-0.98699999999999999</v>
      </c>
      <c r="K8" s="31">
        <v>-1.4E-2</v>
      </c>
      <c r="L8" s="31">
        <v>1E-3</v>
      </c>
      <c r="M8" s="31">
        <v>-1.2E-2</v>
      </c>
      <c r="N8" s="31">
        <v>-3.2000000000000001E-2</v>
      </c>
      <c r="O8" s="31">
        <v>-3.5000000000000003E-2</v>
      </c>
    </row>
    <row r="9" spans="1:15" ht="15.75" customHeight="1">
      <c r="A9" s="16" t="s">
        <v>76</v>
      </c>
      <c r="B9" s="33">
        <v>-0.28339999999999999</v>
      </c>
      <c r="C9" s="31">
        <v>-0.1469</v>
      </c>
      <c r="D9" s="31">
        <v>8.7400000000000005E-2</v>
      </c>
      <c r="E9" s="31">
        <v>6.7699999999999996E-2</v>
      </c>
      <c r="F9" s="31">
        <v>-0.19950000000000001</v>
      </c>
      <c r="G9" s="31">
        <v>-0.22489999999999999</v>
      </c>
      <c r="I9" s="34" t="s">
        <v>76</v>
      </c>
      <c r="J9" s="33">
        <v>-0.38200000000000001</v>
      </c>
      <c r="K9" s="31">
        <v>-0.246</v>
      </c>
      <c r="L9" s="31">
        <v>-1.2E-2</v>
      </c>
      <c r="M9" s="31">
        <v>-3.1E-2</v>
      </c>
      <c r="N9" s="31">
        <v>-0.29899999999999999</v>
      </c>
      <c r="O9" s="31">
        <v>-0.32400000000000001</v>
      </c>
    </row>
    <row r="10" spans="1:15" ht="15.75" customHeight="1">
      <c r="A10" s="16" t="s">
        <v>77</v>
      </c>
      <c r="B10" s="33">
        <v>0.47889999999999999</v>
      </c>
      <c r="C10" s="31">
        <v>0.44059999999999999</v>
      </c>
      <c r="D10" s="31">
        <v>0.43830000000000002</v>
      </c>
      <c r="E10" s="31">
        <v>0.43959999999999999</v>
      </c>
      <c r="F10" s="31">
        <v>0.44319999999999998</v>
      </c>
      <c r="G10" s="31">
        <v>0.44369999999999998</v>
      </c>
      <c r="I10" s="34" t="s">
        <v>77</v>
      </c>
      <c r="J10" s="33">
        <v>-0.61</v>
      </c>
      <c r="K10" s="31">
        <v>-0.64800000000000002</v>
      </c>
      <c r="L10" s="31">
        <v>-0.65100000000000002</v>
      </c>
      <c r="M10" s="31">
        <v>-0.64900000000000002</v>
      </c>
      <c r="N10" s="31">
        <v>-0.64600000000000002</v>
      </c>
      <c r="O10" s="31">
        <v>-0.64500000000000002</v>
      </c>
    </row>
    <row r="11" spans="1:15" ht="15.75" customHeight="1">
      <c r="A11" s="16" t="s">
        <v>80</v>
      </c>
      <c r="B11" s="33">
        <v>0.43269999999999997</v>
      </c>
      <c r="C11" s="31">
        <v>0.40500000000000003</v>
      </c>
      <c r="D11" s="31">
        <v>0.38890000000000002</v>
      </c>
      <c r="E11" s="31">
        <v>0.40629999999999999</v>
      </c>
      <c r="F11" s="31">
        <v>0.42299999999999999</v>
      </c>
      <c r="G11" s="31">
        <v>0.42409999999999998</v>
      </c>
      <c r="I11" s="34" t="s">
        <v>80</v>
      </c>
      <c r="J11" s="33">
        <v>-1.345</v>
      </c>
      <c r="K11" s="31">
        <v>-1.373</v>
      </c>
      <c r="L11" s="31">
        <v>-1.389</v>
      </c>
      <c r="M11" s="31">
        <v>-1.3720000000000001</v>
      </c>
      <c r="N11" s="31">
        <v>-1.355</v>
      </c>
      <c r="O11" s="31">
        <v>-1.3540000000000001</v>
      </c>
    </row>
    <row r="13" spans="1:15" ht="15.75" customHeight="1">
      <c r="B13" s="1" t="s">
        <v>115</v>
      </c>
      <c r="J13" s="1" t="s">
        <v>116</v>
      </c>
    </row>
    <row r="14" spans="1:15" ht="15.75" customHeight="1">
      <c r="B14" s="1" t="s">
        <v>36</v>
      </c>
      <c r="C14" s="1" t="s">
        <v>38</v>
      </c>
      <c r="D14" s="1" t="s">
        <v>39</v>
      </c>
      <c r="E14" s="1" t="s">
        <v>40</v>
      </c>
      <c r="F14" s="1" t="s">
        <v>63</v>
      </c>
      <c r="G14" s="1" t="s">
        <v>64</v>
      </c>
      <c r="J14" s="1" t="s">
        <v>36</v>
      </c>
      <c r="K14" s="1" t="s">
        <v>38</v>
      </c>
      <c r="L14" s="1" t="s">
        <v>39</v>
      </c>
      <c r="M14" s="1" t="s">
        <v>40</v>
      </c>
      <c r="N14" s="1" t="s">
        <v>63</v>
      </c>
      <c r="O14" s="1" t="s">
        <v>64</v>
      </c>
    </row>
    <row r="15" spans="1:15" ht="15.75" customHeight="1">
      <c r="A15" s="1" t="s">
        <v>41</v>
      </c>
      <c r="B15" s="33">
        <v>0.43033785549999998</v>
      </c>
      <c r="C15" s="31">
        <v>0.75457722189999998</v>
      </c>
      <c r="D15" s="31">
        <v>0.15692000789999999</v>
      </c>
      <c r="E15" s="31">
        <v>0.39007823089999999</v>
      </c>
      <c r="F15" s="31">
        <v>0.75533296299999997</v>
      </c>
      <c r="G15" s="31">
        <v>0.75513663350000004</v>
      </c>
      <c r="I15" s="16" t="s">
        <v>41</v>
      </c>
      <c r="J15" s="33">
        <v>0.378</v>
      </c>
      <c r="K15" s="31">
        <v>0.70230000000000004</v>
      </c>
      <c r="L15" s="31">
        <v>0.1046</v>
      </c>
      <c r="M15" s="31">
        <v>0.33779999999999999</v>
      </c>
      <c r="N15" s="31">
        <v>0.70299999999999996</v>
      </c>
      <c r="O15" s="31">
        <v>0.70279999999999998</v>
      </c>
    </row>
    <row r="16" spans="1:15" ht="15.75" customHeight="1">
      <c r="A16" s="1" t="s">
        <v>65</v>
      </c>
      <c r="B16" s="33">
        <v>-0.32460472470000001</v>
      </c>
      <c r="C16" s="31">
        <v>-0.1740259864</v>
      </c>
      <c r="D16" s="31">
        <v>6.0634039770000002E-2</v>
      </c>
      <c r="E16" s="31">
        <v>3.5035984159999999E-2</v>
      </c>
      <c r="F16" s="31">
        <v>1.853947689E-2</v>
      </c>
      <c r="G16" s="31">
        <v>-0.26937283480000002</v>
      </c>
      <c r="I16" s="16" t="s">
        <v>65</v>
      </c>
      <c r="J16" s="33">
        <v>-0.4461</v>
      </c>
      <c r="K16" s="31">
        <v>-0.29549999999999998</v>
      </c>
      <c r="L16" s="31">
        <v>-6.0900000000000003E-2</v>
      </c>
      <c r="M16" s="31">
        <v>-8.6499999999999994E-2</v>
      </c>
      <c r="N16" s="31">
        <v>-0.10299999999999999</v>
      </c>
      <c r="O16" s="31">
        <v>-0.39090000000000003</v>
      </c>
    </row>
    <row r="17" spans="1:15" ht="15.75" customHeight="1">
      <c r="A17" s="1" t="s">
        <v>68</v>
      </c>
      <c r="B17" s="33">
        <v>0.59417532809999996</v>
      </c>
      <c r="C17" s="31">
        <v>0.58972618020000001</v>
      </c>
      <c r="D17" s="31">
        <v>0.59181640879999997</v>
      </c>
      <c r="E17" s="31">
        <v>0.59107562599999997</v>
      </c>
      <c r="F17" s="31">
        <v>0.59705053029999999</v>
      </c>
      <c r="G17" s="31">
        <v>0.5964434448</v>
      </c>
      <c r="I17" s="16" t="s">
        <v>68</v>
      </c>
      <c r="J17" s="33">
        <v>0.1527</v>
      </c>
      <c r="K17" s="31">
        <v>0.14829999999999999</v>
      </c>
      <c r="L17" s="31">
        <v>0.15040000000000001</v>
      </c>
      <c r="M17" s="31">
        <v>0.14960000000000001</v>
      </c>
      <c r="N17" s="31">
        <v>0.15559999999999999</v>
      </c>
      <c r="O17" s="31">
        <v>0.155</v>
      </c>
    </row>
    <row r="18" spans="1:15" ht="15.75" customHeight="1">
      <c r="A18" s="1" t="s">
        <v>70</v>
      </c>
      <c r="B18" s="33">
        <v>1.5827027220000001</v>
      </c>
      <c r="C18" s="31">
        <v>1.5596407489999999</v>
      </c>
      <c r="D18" s="31">
        <v>1.5426684799999999</v>
      </c>
      <c r="E18" s="31">
        <v>1.5504823679999999</v>
      </c>
      <c r="F18" s="31">
        <v>1.565928671</v>
      </c>
      <c r="G18" s="31">
        <v>1.57346107</v>
      </c>
      <c r="I18" s="16" t="s">
        <v>70</v>
      </c>
      <c r="J18" s="33">
        <v>5.1499999999999997E-2</v>
      </c>
      <c r="K18" s="31">
        <v>2.8400000000000002E-2</v>
      </c>
      <c r="L18" s="31">
        <v>1.15E-2</v>
      </c>
      <c r="M18" s="31">
        <v>1.9300000000000001E-2</v>
      </c>
      <c r="N18" s="31">
        <v>3.4700000000000002E-2</v>
      </c>
      <c r="O18" s="31">
        <v>4.2299999999999997E-2</v>
      </c>
    </row>
    <row r="19" spans="1:15" ht="15.75" customHeight="1">
      <c r="A19" s="1" t="s">
        <v>72</v>
      </c>
      <c r="B19" s="33">
        <v>-0.97033562350000002</v>
      </c>
      <c r="C19" s="31">
        <v>0.52989759780000001</v>
      </c>
      <c r="D19" s="31">
        <v>0.54561496509999996</v>
      </c>
      <c r="E19" s="31">
        <v>0.53228447940000001</v>
      </c>
      <c r="F19" s="31">
        <v>0.51100860329999998</v>
      </c>
      <c r="G19" s="31">
        <v>0.50746545789999997</v>
      </c>
      <c r="I19" s="16" t="s">
        <v>72</v>
      </c>
      <c r="J19" s="33">
        <v>-1.5147999999999999</v>
      </c>
      <c r="K19" s="31">
        <v>-1.46E-2</v>
      </c>
      <c r="L19" s="31">
        <v>1.1000000000000001E-3</v>
      </c>
      <c r="M19" s="31">
        <v>-1.2200000000000001E-2</v>
      </c>
      <c r="N19" s="31">
        <v>-3.3500000000000002E-2</v>
      </c>
      <c r="O19" s="31">
        <v>-3.6999999999999998E-2</v>
      </c>
    </row>
    <row r="20" spans="1:15" ht="15.75" customHeight="1">
      <c r="A20" s="1" t="s">
        <v>76</v>
      </c>
      <c r="B20" s="33">
        <v>-0.37623853080000003</v>
      </c>
      <c r="C20" s="31">
        <v>-0.18781293669999999</v>
      </c>
      <c r="D20" s="31">
        <v>0.1030438473</v>
      </c>
      <c r="E20" s="31">
        <v>8.1849931870000003E-2</v>
      </c>
      <c r="F20" s="31">
        <v>-0.24657493320000001</v>
      </c>
      <c r="G20" s="31">
        <v>-0.28208009090000002</v>
      </c>
      <c r="I20" s="16" t="s">
        <v>76</v>
      </c>
      <c r="J20" s="33">
        <v>-0.4753</v>
      </c>
      <c r="K20" s="31">
        <v>-0.2868</v>
      </c>
      <c r="L20" s="31">
        <v>4.0000000000000001E-3</v>
      </c>
      <c r="M20" s="31">
        <v>-1.72E-2</v>
      </c>
      <c r="N20" s="31">
        <v>-0.34560000000000002</v>
      </c>
      <c r="O20" s="31">
        <v>-0.38109999999999999</v>
      </c>
    </row>
    <row r="21" spans="1:15" ht="15.75" customHeight="1">
      <c r="A21" s="1" t="s">
        <v>77</v>
      </c>
      <c r="B21" s="33">
        <v>1.1688142690000001</v>
      </c>
      <c r="C21" s="31">
        <v>1.084995921</v>
      </c>
      <c r="D21" s="31">
        <v>1.086835228</v>
      </c>
      <c r="E21" s="31">
        <v>1.085039863</v>
      </c>
      <c r="F21" s="31">
        <v>1.0890639520000001</v>
      </c>
      <c r="G21" s="31">
        <v>1.087176973</v>
      </c>
      <c r="I21" s="16" t="s">
        <v>77</v>
      </c>
      <c r="J21" s="33">
        <v>0.08</v>
      </c>
      <c r="K21" s="31">
        <v>-4.0000000000000001E-3</v>
      </c>
      <c r="L21" s="31">
        <v>-2E-3</v>
      </c>
      <c r="M21" s="31">
        <v>-4.0000000000000001E-3</v>
      </c>
      <c r="N21" s="31">
        <v>0</v>
      </c>
      <c r="O21" s="31">
        <v>-2E-3</v>
      </c>
    </row>
    <row r="22" spans="1:15" ht="15.75" customHeight="1">
      <c r="A22" s="1" t="s">
        <v>80</v>
      </c>
      <c r="B22" s="33">
        <v>1.83279876</v>
      </c>
      <c r="C22" s="31">
        <v>1.825627439</v>
      </c>
      <c r="D22" s="31">
        <v>1.820210538</v>
      </c>
      <c r="E22" s="31">
        <v>1.824155272</v>
      </c>
      <c r="F22" s="31">
        <v>1.835817684</v>
      </c>
      <c r="G22" s="31">
        <v>1.8358590850000001</v>
      </c>
      <c r="I22" s="16" t="s">
        <v>80</v>
      </c>
      <c r="J22" s="33">
        <v>5.5E-2</v>
      </c>
      <c r="K22" s="31">
        <v>4.8000000000000001E-2</v>
      </c>
      <c r="L22" s="31">
        <v>4.2000000000000003E-2</v>
      </c>
      <c r="M22" s="31">
        <v>4.5999999999999999E-2</v>
      </c>
      <c r="N22" s="31">
        <v>5.8000000000000003E-2</v>
      </c>
      <c r="O22" s="31">
        <v>5.8000000000000003E-2</v>
      </c>
    </row>
    <row r="24" spans="1:15" ht="15.75" customHeight="1">
      <c r="B24" s="1" t="s">
        <v>117</v>
      </c>
      <c r="J24" s="1" t="s">
        <v>95</v>
      </c>
    </row>
    <row r="25" spans="1:15" ht="15.75" customHeight="1">
      <c r="A25" s="32"/>
      <c r="B25" s="1" t="s">
        <v>36</v>
      </c>
      <c r="C25" s="1" t="s">
        <v>38</v>
      </c>
      <c r="D25" s="1" t="s">
        <v>39</v>
      </c>
      <c r="E25" s="1" t="s">
        <v>40</v>
      </c>
      <c r="F25" s="1" t="s">
        <v>63</v>
      </c>
      <c r="G25" s="1" t="s">
        <v>64</v>
      </c>
      <c r="I25" s="32"/>
      <c r="J25" s="1" t="s">
        <v>36</v>
      </c>
      <c r="K25" s="1" t="s">
        <v>38</v>
      </c>
      <c r="L25" s="1" t="s">
        <v>39</v>
      </c>
      <c r="M25" s="1" t="s">
        <v>40</v>
      </c>
      <c r="N25" s="1" t="s">
        <v>63</v>
      </c>
      <c r="O25" s="1" t="s">
        <v>64</v>
      </c>
    </row>
    <row r="26" spans="1:15" ht="15.75" customHeight="1">
      <c r="A26" s="16" t="s">
        <v>41</v>
      </c>
      <c r="B26" s="33">
        <v>0.14099999999999999</v>
      </c>
      <c r="C26" s="31">
        <v>1.9E-2</v>
      </c>
      <c r="D26" s="31">
        <v>0.05</v>
      </c>
      <c r="E26" s="31">
        <v>2.7E-2</v>
      </c>
      <c r="F26" s="31">
        <v>1.7999999999999999E-2</v>
      </c>
      <c r="G26" s="31">
        <v>1.0999999999999999E-2</v>
      </c>
      <c r="H26" s="14"/>
      <c r="I26" s="16" t="s">
        <v>41</v>
      </c>
      <c r="J26" s="33">
        <v>6.4000000000000001E-2</v>
      </c>
      <c r="K26" s="31">
        <v>1.4999999999999999E-2</v>
      </c>
      <c r="L26" s="31">
        <v>2.8000000000000001E-2</v>
      </c>
      <c r="M26" s="31">
        <v>1.9E-2</v>
      </c>
      <c r="N26" s="31">
        <v>1.2E-2</v>
      </c>
      <c r="O26" s="31">
        <v>1.4999999999999999E-2</v>
      </c>
    </row>
    <row r="27" spans="1:15" ht="15.75" customHeight="1">
      <c r="A27" s="16" t="s">
        <v>65</v>
      </c>
      <c r="B27" s="33">
        <v>0.14399999999999999</v>
      </c>
      <c r="C27" s="31">
        <v>3.9E-2</v>
      </c>
      <c r="D27" s="31">
        <v>0.126</v>
      </c>
      <c r="E27" s="31">
        <v>0.14599999999999999</v>
      </c>
      <c r="F27" s="31">
        <v>0.16900000000000001</v>
      </c>
      <c r="G27" s="31">
        <v>6.7000000000000004E-2</v>
      </c>
      <c r="H27" s="14"/>
      <c r="I27" s="16" t="s">
        <v>65</v>
      </c>
      <c r="J27" s="33">
        <v>0.16800000000000001</v>
      </c>
      <c r="K27" s="31">
        <v>1.2E-2</v>
      </c>
      <c r="L27" s="31">
        <v>1.9E-2</v>
      </c>
      <c r="M27" s="31">
        <v>1.2E-2</v>
      </c>
      <c r="N27" s="31">
        <v>0.01</v>
      </c>
      <c r="O27" s="31">
        <v>8.9999999999999993E-3</v>
      </c>
    </row>
    <row r="28" spans="1:15" ht="15.75" customHeight="1">
      <c r="A28" s="16" t="s">
        <v>68</v>
      </c>
      <c r="B28" s="33">
        <v>5.1999999999999998E-2</v>
      </c>
      <c r="C28" s="31">
        <v>2.1999999999999999E-2</v>
      </c>
      <c r="D28" s="31">
        <v>2.3E-2</v>
      </c>
      <c r="E28" s="31">
        <v>3.7999999999999999E-2</v>
      </c>
      <c r="F28" s="31">
        <v>5.8999999999999997E-2</v>
      </c>
      <c r="G28" s="31">
        <v>5.8999999999999997E-2</v>
      </c>
      <c r="H28" s="14"/>
      <c r="I28" s="16" t="s">
        <v>68</v>
      </c>
      <c r="J28" s="33">
        <v>1.2999999999999999E-2</v>
      </c>
      <c r="K28" s="31">
        <v>1.2999999999999999E-2</v>
      </c>
      <c r="L28" s="31">
        <v>2.1000000000000001E-2</v>
      </c>
      <c r="M28" s="31">
        <v>1.0999999999999999E-2</v>
      </c>
      <c r="N28" s="31">
        <v>8.9999999999999993E-3</v>
      </c>
      <c r="O28" s="31">
        <v>6.0000000000000001E-3</v>
      </c>
    </row>
    <row r="29" spans="1:15" ht="15.75" customHeight="1">
      <c r="A29" s="16" t="s">
        <v>70</v>
      </c>
      <c r="B29" s="33">
        <v>3.3000000000000002E-2</v>
      </c>
      <c r="C29" s="31">
        <v>1.4E-2</v>
      </c>
      <c r="D29" s="31">
        <v>3.1E-2</v>
      </c>
      <c r="E29" s="31">
        <v>2.1999999999999999E-2</v>
      </c>
      <c r="F29" s="31">
        <v>1.2E-2</v>
      </c>
      <c r="G29" s="31">
        <v>6.0000000000000001E-3</v>
      </c>
      <c r="H29" s="14"/>
      <c r="I29" s="16" t="s">
        <v>70</v>
      </c>
      <c r="J29" s="33">
        <v>3.3000000000000002E-2</v>
      </c>
      <c r="K29" s="31">
        <v>1.4E-2</v>
      </c>
      <c r="L29" s="31">
        <v>2.9000000000000001E-2</v>
      </c>
      <c r="M29" s="31">
        <v>2.3E-2</v>
      </c>
      <c r="N29" s="31">
        <v>1.4999999999999999E-2</v>
      </c>
      <c r="O29" s="31">
        <v>0.01</v>
      </c>
    </row>
    <row r="30" spans="1:15" ht="15.75" customHeight="1">
      <c r="A30" s="16" t="s">
        <v>72</v>
      </c>
      <c r="B30" s="33">
        <v>2.5999999999999999E-2</v>
      </c>
      <c r="C30" s="31">
        <v>4.5999999999999999E-2</v>
      </c>
      <c r="D30" s="31">
        <v>1.7999999999999999E-2</v>
      </c>
      <c r="E30" s="31">
        <v>5.3999999999999999E-2</v>
      </c>
      <c r="F30" s="31">
        <v>8.1000000000000003E-2</v>
      </c>
      <c r="G30" s="31">
        <v>7.9000000000000001E-2</v>
      </c>
      <c r="H30" s="14"/>
      <c r="I30" s="16" t="s">
        <v>72</v>
      </c>
      <c r="J30" s="33">
        <v>3.2977264895682291E-2</v>
      </c>
      <c r="K30" s="31">
        <v>1.3693063937629152E-2</v>
      </c>
      <c r="L30" s="31">
        <v>2.7156951228000537E-2</v>
      </c>
      <c r="M30" s="31">
        <v>2.2079402165819616E-2</v>
      </c>
      <c r="N30" s="31">
        <v>1.4999999999999999E-2</v>
      </c>
      <c r="O30" s="31">
        <v>9.3541434669348524E-3</v>
      </c>
    </row>
    <row r="31" spans="1:15" ht="15.75" customHeight="1">
      <c r="A31" s="16" t="s">
        <v>76</v>
      </c>
      <c r="B31" s="33">
        <v>0.14499999999999999</v>
      </c>
      <c r="C31" s="31">
        <v>0.32600000000000001</v>
      </c>
      <c r="D31" s="31">
        <v>0.13300000000000001</v>
      </c>
      <c r="E31" s="31">
        <v>0.158</v>
      </c>
      <c r="F31" s="31">
        <v>5.5E-2</v>
      </c>
      <c r="G31" s="31">
        <v>7.2999999999999995E-2</v>
      </c>
      <c r="H31" s="14"/>
      <c r="I31" s="16" t="s">
        <v>76</v>
      </c>
      <c r="J31" s="33">
        <v>0.126</v>
      </c>
      <c r="K31" s="31">
        <v>1.4E-2</v>
      </c>
      <c r="L31" s="31">
        <v>2.4E-2</v>
      </c>
      <c r="M31" s="31">
        <v>1.6E-2</v>
      </c>
      <c r="N31" s="31">
        <v>1.7999999999999999E-2</v>
      </c>
      <c r="O31" s="31">
        <v>3.2000000000000001E-2</v>
      </c>
    </row>
    <row r="32" spans="1:15" ht="15.75" customHeight="1">
      <c r="A32" s="16" t="s">
        <v>77</v>
      </c>
      <c r="B32" s="33">
        <v>0.10299999999999999</v>
      </c>
      <c r="C32" s="31">
        <v>8.9999999999999993E-3</v>
      </c>
      <c r="D32" s="31">
        <v>1.6E-2</v>
      </c>
      <c r="E32" s="31">
        <v>0.01</v>
      </c>
      <c r="F32" s="31">
        <v>7.0000000000000001E-3</v>
      </c>
      <c r="G32" s="31">
        <v>6.0000000000000001E-3</v>
      </c>
      <c r="I32" s="16" t="s">
        <v>77</v>
      </c>
      <c r="J32" s="33">
        <v>2.4E-2</v>
      </c>
      <c r="K32" s="31">
        <v>8.9999999999999993E-3</v>
      </c>
      <c r="L32" s="31">
        <v>1.7000000000000001E-2</v>
      </c>
      <c r="M32" s="31">
        <v>1.2E-2</v>
      </c>
      <c r="N32" s="31">
        <v>8.0000000000000002E-3</v>
      </c>
      <c r="O32" s="31">
        <v>5.0000000000000001E-3</v>
      </c>
    </row>
    <row r="33" spans="1:15" ht="15.75" customHeight="1">
      <c r="A33" s="16" t="s">
        <v>80</v>
      </c>
      <c r="B33" s="33">
        <v>8.9999999999999993E-3</v>
      </c>
      <c r="C33" s="31">
        <v>1.4E-2</v>
      </c>
      <c r="D33" s="31">
        <v>2.1999999999999999E-2</v>
      </c>
      <c r="E33" s="31">
        <v>1.4999999999999999E-2</v>
      </c>
      <c r="F33" s="31">
        <v>8.0000000000000002E-3</v>
      </c>
      <c r="G33" s="31">
        <v>6.0000000000000001E-3</v>
      </c>
      <c r="I33" s="16" t="s">
        <v>80</v>
      </c>
      <c r="J33" s="33">
        <v>1.4E-2</v>
      </c>
      <c r="K33" s="31">
        <v>1.2E-2</v>
      </c>
      <c r="L33" s="31">
        <v>0.02</v>
      </c>
      <c r="M33" s="31">
        <v>1.4E-2</v>
      </c>
      <c r="N33" s="31">
        <v>8.0000000000000002E-3</v>
      </c>
      <c r="O33" s="31">
        <v>6.0000000000000001E-3</v>
      </c>
    </row>
    <row r="34" spans="1:15" ht="15.75" customHeight="1">
      <c r="B34" s="27"/>
      <c r="C34" s="14"/>
      <c r="J34" s="27"/>
      <c r="K34" s="14"/>
    </row>
    <row r="35" spans="1:15" ht="15.75" customHeight="1">
      <c r="B35" s="1" t="s">
        <v>118</v>
      </c>
      <c r="J35" s="1" t="s">
        <v>97</v>
      </c>
    </row>
    <row r="36" spans="1:15" ht="15.75" customHeight="1">
      <c r="B36" s="1" t="s">
        <v>36</v>
      </c>
      <c r="C36" s="1" t="s">
        <v>38</v>
      </c>
      <c r="D36" s="1" t="s">
        <v>39</v>
      </c>
      <c r="E36" s="1" t="s">
        <v>40</v>
      </c>
      <c r="F36" s="1" t="s">
        <v>63</v>
      </c>
      <c r="G36" s="1" t="s">
        <v>64</v>
      </c>
      <c r="J36" s="1" t="s">
        <v>36</v>
      </c>
      <c r="K36" s="1" t="s">
        <v>38</v>
      </c>
      <c r="L36" s="1" t="s">
        <v>39</v>
      </c>
      <c r="M36" s="1" t="s">
        <v>40</v>
      </c>
      <c r="N36" s="1" t="s">
        <v>63</v>
      </c>
      <c r="O36" s="1" t="s">
        <v>64</v>
      </c>
    </row>
    <row r="37" spans="1:15" ht="15.75" customHeight="1">
      <c r="A37" s="16" t="s">
        <v>41</v>
      </c>
      <c r="B37" s="37">
        <v>0</v>
      </c>
      <c r="C37" s="38">
        <v>0.157</v>
      </c>
      <c r="D37" s="38">
        <v>0.28199999999999997</v>
      </c>
      <c r="E37" s="38">
        <v>0.161</v>
      </c>
      <c r="F37" s="38">
        <v>0.11799999999999999</v>
      </c>
      <c r="G37" s="38">
        <v>9.0300000000000005E-2</v>
      </c>
      <c r="I37" s="16" t="s">
        <v>41</v>
      </c>
      <c r="J37" s="37">
        <v>0</v>
      </c>
      <c r="K37" s="38">
        <v>0.153</v>
      </c>
      <c r="L37" s="38">
        <v>0.27600000000000002</v>
      </c>
      <c r="M37" s="38">
        <v>0.15</v>
      </c>
      <c r="N37" s="38">
        <v>0.127</v>
      </c>
      <c r="O37" s="38">
        <v>9.6199999999999994E-2</v>
      </c>
    </row>
    <row r="38" spans="1:15" ht="15.75" customHeight="1">
      <c r="A38" s="16" t="s">
        <v>65</v>
      </c>
      <c r="B38" s="37">
        <v>0</v>
      </c>
      <c r="C38" s="38">
        <v>0.158</v>
      </c>
      <c r="D38" s="38">
        <v>0.27900000000000003</v>
      </c>
      <c r="E38" s="38">
        <v>0.161</v>
      </c>
      <c r="F38" s="38">
        <v>0.127</v>
      </c>
      <c r="G38" s="38">
        <v>9.2600000000000002E-2</v>
      </c>
      <c r="I38" s="16" t="s">
        <v>65</v>
      </c>
      <c r="J38" s="37">
        <v>0</v>
      </c>
      <c r="K38" s="38">
        <v>0.153</v>
      </c>
      <c r="L38" s="38">
        <v>0.27100000000000002</v>
      </c>
      <c r="M38" s="38">
        <v>0.14899999999999999</v>
      </c>
      <c r="N38" s="38">
        <v>0.125</v>
      </c>
      <c r="O38" s="38">
        <v>9.4500000000000001E-2</v>
      </c>
    </row>
    <row r="39" spans="1:15" ht="15.75" customHeight="1">
      <c r="A39" s="16" t="s">
        <v>68</v>
      </c>
      <c r="B39" s="37">
        <v>0</v>
      </c>
      <c r="C39" s="38">
        <v>0.11</v>
      </c>
      <c r="D39" s="38">
        <v>0.19400000000000001</v>
      </c>
      <c r="E39" s="38">
        <v>0.11</v>
      </c>
      <c r="F39" s="38">
        <v>8.8999999999999996E-2</v>
      </c>
      <c r="G39" s="38">
        <v>6.8199999999999997E-2</v>
      </c>
      <c r="I39" s="16" t="s">
        <v>68</v>
      </c>
      <c r="J39" s="37">
        <v>0</v>
      </c>
      <c r="K39" s="38">
        <v>0.11</v>
      </c>
      <c r="L39" s="38">
        <v>0.191</v>
      </c>
      <c r="M39" s="38">
        <v>0.107</v>
      </c>
      <c r="N39" s="38">
        <v>9.0200000000000002E-2</v>
      </c>
      <c r="O39" s="38">
        <v>6.8099999999999994E-2</v>
      </c>
    </row>
    <row r="40" spans="1:15" ht="15.75" customHeight="1">
      <c r="A40" s="16" t="s">
        <v>70</v>
      </c>
      <c r="B40" s="37">
        <v>0</v>
      </c>
      <c r="C40" s="38">
        <v>0.21099999999999999</v>
      </c>
      <c r="D40" s="38">
        <v>0.376</v>
      </c>
      <c r="E40" s="38">
        <v>0.21</v>
      </c>
      <c r="F40" s="38">
        <v>0.183</v>
      </c>
      <c r="G40" s="38">
        <v>0.13800000000000001</v>
      </c>
      <c r="I40" s="16" t="s">
        <v>70</v>
      </c>
      <c r="J40" s="37">
        <v>0</v>
      </c>
      <c r="K40" s="38">
        <v>0.2</v>
      </c>
      <c r="L40" s="38">
        <v>0.36299999999999999</v>
      </c>
      <c r="M40" s="38">
        <v>0.19400000000000001</v>
      </c>
      <c r="N40" s="38">
        <v>0.17599999999999999</v>
      </c>
      <c r="O40" s="38">
        <v>0.13300000000000001</v>
      </c>
    </row>
    <row r="41" spans="1:15" ht="15.75" customHeight="1">
      <c r="A41" s="16" t="s">
        <v>72</v>
      </c>
      <c r="B41" s="37">
        <v>0</v>
      </c>
      <c r="C41" s="38">
        <v>0.17599999999999999</v>
      </c>
      <c r="D41" s="38">
        <v>0.308</v>
      </c>
      <c r="E41" s="38">
        <v>0.18</v>
      </c>
      <c r="F41" s="38">
        <v>0.14499999999999999</v>
      </c>
      <c r="G41" s="38">
        <v>0.109</v>
      </c>
      <c r="I41" s="16" t="s">
        <v>72</v>
      </c>
      <c r="J41" s="37">
        <v>0</v>
      </c>
      <c r="K41" s="38">
        <v>0.16500000000000001</v>
      </c>
      <c r="L41" s="38">
        <v>0.30299999999999999</v>
      </c>
      <c r="M41" s="38">
        <v>0.16600000000000001</v>
      </c>
      <c r="N41" s="38">
        <v>0.14099999999999999</v>
      </c>
      <c r="O41" s="38">
        <v>0.106</v>
      </c>
    </row>
    <row r="42" spans="1:15" ht="15.75" customHeight="1">
      <c r="A42" s="16" t="s">
        <v>76</v>
      </c>
      <c r="B42" s="37">
        <v>0</v>
      </c>
      <c r="C42" s="38">
        <v>0.17899999999999999</v>
      </c>
      <c r="D42" s="38">
        <v>0.31</v>
      </c>
      <c r="E42" s="38">
        <v>0.183</v>
      </c>
      <c r="F42" s="38">
        <v>0.14699999999999999</v>
      </c>
      <c r="G42" s="38">
        <v>0.10199999999999999</v>
      </c>
      <c r="I42" s="16" t="s">
        <v>76</v>
      </c>
      <c r="J42" s="37">
        <v>0</v>
      </c>
      <c r="K42" s="38">
        <v>0.17100000000000001</v>
      </c>
      <c r="L42" s="38">
        <v>0.30099999999999999</v>
      </c>
      <c r="M42" s="38">
        <v>0.17</v>
      </c>
      <c r="N42" s="38">
        <v>0.14399999999999999</v>
      </c>
      <c r="O42" s="38">
        <v>0.109</v>
      </c>
    </row>
    <row r="43" spans="1:15" ht="15.75" customHeight="1">
      <c r="A43" s="16" t="s">
        <v>77</v>
      </c>
      <c r="B43" s="37">
        <v>0</v>
      </c>
      <c r="C43" s="38">
        <v>0.216</v>
      </c>
      <c r="D43" s="38">
        <v>0.375</v>
      </c>
      <c r="E43" s="38">
        <v>0.21199999999999999</v>
      </c>
      <c r="F43" s="38">
        <v>0.186</v>
      </c>
      <c r="G43" s="38">
        <v>0.14000000000000001</v>
      </c>
      <c r="I43" s="16" t="s">
        <v>77</v>
      </c>
      <c r="J43" s="37">
        <v>0</v>
      </c>
      <c r="K43" s="38">
        <v>0.19800000000000001</v>
      </c>
      <c r="L43" s="38">
        <v>0.35899999999999999</v>
      </c>
      <c r="M43" s="38">
        <v>0.189</v>
      </c>
      <c r="N43" s="38">
        <v>0.17399999999999999</v>
      </c>
      <c r="O43" s="38">
        <v>0.13100000000000001</v>
      </c>
    </row>
    <row r="44" spans="1:15" ht="15.75" customHeight="1">
      <c r="A44" s="16" t="s">
        <v>80</v>
      </c>
      <c r="B44" s="37">
        <v>0</v>
      </c>
      <c r="C44" s="38">
        <v>0.124</v>
      </c>
      <c r="D44" s="38">
        <v>0.22600000000000001</v>
      </c>
      <c r="E44" s="38">
        <v>0.11799999999999999</v>
      </c>
      <c r="F44" s="38">
        <v>9.6699999999999994E-2</v>
      </c>
      <c r="G44" s="38">
        <v>7.3599999999999999E-2</v>
      </c>
      <c r="I44" s="16" t="s">
        <v>80</v>
      </c>
      <c r="J44" s="37">
        <v>0</v>
      </c>
      <c r="K44" s="38">
        <v>0.122</v>
      </c>
      <c r="L44" s="38">
        <v>0.219</v>
      </c>
      <c r="M44" s="38">
        <v>0.113</v>
      </c>
      <c r="N44" s="38">
        <v>0.1</v>
      </c>
      <c r="O44" s="38">
        <v>7.5300000000000006E-2</v>
      </c>
    </row>
    <row r="46" spans="1:15" ht="15.75" customHeight="1">
      <c r="B46" s="1" t="s">
        <v>119</v>
      </c>
      <c r="J46" s="1" t="s">
        <v>98</v>
      </c>
    </row>
    <row r="47" spans="1:15" ht="15.75" customHeight="1">
      <c r="B47" s="1" t="s">
        <v>36</v>
      </c>
      <c r="C47" s="1" t="s">
        <v>38</v>
      </c>
      <c r="D47" s="1" t="s">
        <v>39</v>
      </c>
      <c r="E47" s="1" t="s">
        <v>40</v>
      </c>
      <c r="F47" s="1" t="s">
        <v>63</v>
      </c>
      <c r="G47" s="1" t="s">
        <v>64</v>
      </c>
      <c r="J47" s="1" t="s">
        <v>36</v>
      </c>
      <c r="K47" s="1" t="s">
        <v>38</v>
      </c>
      <c r="L47" s="1" t="s">
        <v>39</v>
      </c>
      <c r="M47" s="1" t="s">
        <v>40</v>
      </c>
      <c r="N47" s="1" t="s">
        <v>63</v>
      </c>
      <c r="O47" s="1" t="s">
        <v>64</v>
      </c>
    </row>
    <row r="48" spans="1:15" ht="15.75" customHeight="1">
      <c r="A48" s="16" t="s">
        <v>41</v>
      </c>
      <c r="B48" s="37">
        <v>0</v>
      </c>
      <c r="C48" s="38">
        <v>0.14599999999999999</v>
      </c>
      <c r="D48" s="38">
        <v>0.28000000000000003</v>
      </c>
      <c r="E48" s="38">
        <v>0.158</v>
      </c>
      <c r="F48" s="38">
        <v>0.126</v>
      </c>
      <c r="G48" s="38">
        <v>9.6000000000000002E-2</v>
      </c>
      <c r="H48" s="39"/>
      <c r="I48" s="16" t="s">
        <v>41</v>
      </c>
      <c r="J48" s="37">
        <v>0</v>
      </c>
      <c r="K48" s="38">
        <v>0.15</v>
      </c>
      <c r="L48" s="38">
        <v>0.27</v>
      </c>
      <c r="M48" s="38">
        <v>0.15</v>
      </c>
      <c r="N48" s="38">
        <v>0.11600000000000001</v>
      </c>
      <c r="O48" s="38">
        <v>8.8900000000000007E-2</v>
      </c>
    </row>
    <row r="49" spans="1:15" ht="15.75" customHeight="1">
      <c r="A49" s="16" t="s">
        <v>65</v>
      </c>
      <c r="B49" s="37">
        <v>0</v>
      </c>
      <c r="C49" s="38">
        <v>0.158</v>
      </c>
      <c r="D49" s="38">
        <v>0.27900000000000003</v>
      </c>
      <c r="E49" s="38">
        <v>0.161</v>
      </c>
      <c r="F49" s="38">
        <v>0.127</v>
      </c>
      <c r="G49" s="38">
        <v>9.2600000000000002E-2</v>
      </c>
      <c r="H49" s="39"/>
      <c r="I49" s="16" t="s">
        <v>65</v>
      </c>
      <c r="J49" s="37">
        <v>0</v>
      </c>
      <c r="K49" s="38">
        <v>0.15</v>
      </c>
      <c r="L49" s="38">
        <v>0.26500000000000001</v>
      </c>
      <c r="M49" s="38">
        <v>0.15</v>
      </c>
      <c r="N49" s="38">
        <v>0.11700000000000001</v>
      </c>
      <c r="O49" s="38">
        <v>8.8999999999999996E-2</v>
      </c>
    </row>
    <row r="50" spans="1:15" ht="15.75" customHeight="1">
      <c r="A50" s="16" t="s">
        <v>68</v>
      </c>
      <c r="B50" s="37">
        <v>0</v>
      </c>
      <c r="C50" s="38">
        <v>0.11</v>
      </c>
      <c r="D50" s="38">
        <v>0.19400000000000001</v>
      </c>
      <c r="E50" s="38">
        <v>0.11</v>
      </c>
      <c r="F50" s="38">
        <v>8.8999999999999996E-2</v>
      </c>
      <c r="G50" s="38">
        <v>6.8199999999999997E-2</v>
      </c>
      <c r="H50" s="39"/>
      <c r="I50" s="16" t="s">
        <v>68</v>
      </c>
      <c r="J50" s="37">
        <v>0</v>
      </c>
      <c r="K50" s="38">
        <v>0.108</v>
      </c>
      <c r="L50" s="38">
        <v>0.189</v>
      </c>
      <c r="M50" s="38">
        <v>0.109</v>
      </c>
      <c r="N50" s="38">
        <v>7.9100000000000004E-2</v>
      </c>
      <c r="O50" s="38">
        <v>6.1600000000000002E-2</v>
      </c>
    </row>
    <row r="51" spans="1:15" ht="15.75" customHeight="1">
      <c r="A51" s="16" t="s">
        <v>70</v>
      </c>
      <c r="B51" s="37">
        <v>0</v>
      </c>
      <c r="C51" s="38">
        <v>0.21099999999999999</v>
      </c>
      <c r="D51" s="38">
        <v>0.376</v>
      </c>
      <c r="E51" s="38">
        <v>0.21</v>
      </c>
      <c r="F51" s="38">
        <v>0.183</v>
      </c>
      <c r="G51" s="38">
        <v>0.13800000000000001</v>
      </c>
      <c r="H51" s="39"/>
      <c r="I51" s="16" t="s">
        <v>70</v>
      </c>
      <c r="J51" s="37">
        <v>0</v>
      </c>
      <c r="K51" s="38">
        <v>0.22</v>
      </c>
      <c r="L51" s="38">
        <v>0.379</v>
      </c>
      <c r="M51" s="38">
        <v>0.223</v>
      </c>
      <c r="N51" s="38">
        <v>0.184</v>
      </c>
      <c r="O51" s="38">
        <v>0.13900000000000001</v>
      </c>
    </row>
    <row r="52" spans="1:15" ht="15.75" customHeight="1">
      <c r="A52" s="16" t="s">
        <v>72</v>
      </c>
      <c r="B52" s="37">
        <v>0</v>
      </c>
      <c r="C52" s="38">
        <v>0.17599999999999999</v>
      </c>
      <c r="D52" s="38">
        <v>0.308</v>
      </c>
      <c r="E52" s="38">
        <v>0.18</v>
      </c>
      <c r="F52" s="38">
        <v>0.14499999999999999</v>
      </c>
      <c r="G52" s="38">
        <v>0.109</v>
      </c>
      <c r="H52" s="39"/>
      <c r="I52" s="16" t="s">
        <v>72</v>
      </c>
      <c r="J52" s="37">
        <v>0</v>
      </c>
      <c r="K52" s="38">
        <v>0.16200000000000001</v>
      </c>
      <c r="L52" s="38">
        <v>0.29699999999999999</v>
      </c>
      <c r="M52" s="38">
        <v>0.16300000000000001</v>
      </c>
      <c r="N52" s="38">
        <v>0.127</v>
      </c>
      <c r="O52" s="38">
        <v>9.8199999999999996E-2</v>
      </c>
    </row>
    <row r="53" spans="1:15" ht="15.75" customHeight="1">
      <c r="A53" s="16" t="s">
        <v>76</v>
      </c>
      <c r="B53" s="37">
        <v>0</v>
      </c>
      <c r="C53" s="38">
        <v>0.16900000000000001</v>
      </c>
      <c r="D53" s="38">
        <v>0.31</v>
      </c>
      <c r="E53" s="38">
        <v>0.183</v>
      </c>
      <c r="F53" s="38">
        <v>0.13400000000000001</v>
      </c>
      <c r="G53" s="38">
        <v>0.11</v>
      </c>
      <c r="I53" s="16" t="s">
        <v>76</v>
      </c>
      <c r="J53" s="37">
        <v>0</v>
      </c>
      <c r="K53" s="38">
        <v>0.16800000000000001</v>
      </c>
      <c r="L53" s="38">
        <v>0.29599999999999999</v>
      </c>
      <c r="M53" s="38">
        <v>0.17</v>
      </c>
      <c r="N53" s="38">
        <v>0.13100000000000001</v>
      </c>
      <c r="O53" s="38">
        <v>9.9400000000000002E-2</v>
      </c>
    </row>
    <row r="54" spans="1:15" ht="15.75" customHeight="1">
      <c r="A54" s="16" t="s">
        <v>77</v>
      </c>
      <c r="B54" s="37">
        <v>0</v>
      </c>
      <c r="C54" s="38">
        <v>0.216</v>
      </c>
      <c r="D54" s="38">
        <v>0.375</v>
      </c>
      <c r="E54" s="38">
        <v>0.21199999999999999</v>
      </c>
      <c r="F54" s="38">
        <v>0.186</v>
      </c>
      <c r="G54" s="38">
        <v>0.14000000000000001</v>
      </c>
      <c r="I54" s="16" t="s">
        <v>77</v>
      </c>
      <c r="J54" s="37">
        <v>0</v>
      </c>
      <c r="K54" s="38">
        <v>0.23100000000000001</v>
      </c>
      <c r="L54" s="38">
        <v>0.38500000000000001</v>
      </c>
      <c r="M54" s="38">
        <v>0.23</v>
      </c>
      <c r="N54" s="38">
        <v>0.191</v>
      </c>
      <c r="O54" s="38">
        <v>0.14499999999999999</v>
      </c>
    </row>
    <row r="55" spans="1:15" ht="15.75" customHeight="1">
      <c r="A55" s="16" t="s">
        <v>80</v>
      </c>
      <c r="B55" s="37">
        <v>0</v>
      </c>
      <c r="C55" s="38">
        <v>0.124</v>
      </c>
      <c r="D55" s="38">
        <v>0.22600000000000001</v>
      </c>
      <c r="E55" s="38">
        <v>0.11799999999999999</v>
      </c>
      <c r="F55" s="38">
        <v>9.6699999999999994E-2</v>
      </c>
      <c r="G55" s="38">
        <v>7.3599999999999999E-2</v>
      </c>
      <c r="I55" s="16" t="s">
        <v>80</v>
      </c>
      <c r="J55" s="37">
        <v>0</v>
      </c>
      <c r="K55" s="38">
        <v>0.121</v>
      </c>
      <c r="L55" s="38">
        <v>0.219</v>
      </c>
      <c r="M55" s="38">
        <v>0.11700000000000001</v>
      </c>
      <c r="N55" s="38">
        <v>8.9200000000000002E-2</v>
      </c>
      <c r="O55" s="38">
        <v>6.9099999999999995E-2</v>
      </c>
    </row>
    <row r="56" spans="1:15" ht="15.75" customHeight="1">
      <c r="C56" s="39"/>
    </row>
    <row r="57" spans="1:15" ht="15.75" customHeight="1">
      <c r="B57" s="1" t="s">
        <v>120</v>
      </c>
      <c r="J57" s="1" t="s">
        <v>121</v>
      </c>
    </row>
    <row r="58" spans="1:15" ht="15.75" customHeight="1">
      <c r="B58" s="1" t="s">
        <v>36</v>
      </c>
      <c r="C58" s="1" t="s">
        <v>38</v>
      </c>
      <c r="D58" s="1" t="s">
        <v>39</v>
      </c>
      <c r="E58" s="1" t="s">
        <v>40</v>
      </c>
      <c r="F58" s="1" t="s">
        <v>63</v>
      </c>
      <c r="G58" s="1" t="s">
        <v>64</v>
      </c>
      <c r="J58" s="1" t="s">
        <v>36</v>
      </c>
      <c r="K58" s="1" t="s">
        <v>38</v>
      </c>
      <c r="L58" s="1" t="s">
        <v>39</v>
      </c>
      <c r="M58" s="1" t="s">
        <v>40</v>
      </c>
      <c r="N58" s="1" t="s">
        <v>63</v>
      </c>
      <c r="O58" s="1" t="s">
        <v>64</v>
      </c>
    </row>
    <row r="59" spans="1:15" ht="15.75" customHeight="1">
      <c r="A59" s="16" t="s">
        <v>41</v>
      </c>
      <c r="B59" s="48">
        <v>1.2995651800000001</v>
      </c>
      <c r="C59" s="49">
        <v>1.012908087</v>
      </c>
      <c r="D59" s="49">
        <v>0.48668880599999997</v>
      </c>
      <c r="E59" s="49">
        <v>0.78249442300000005</v>
      </c>
      <c r="F59" s="49">
        <v>1.0224171719999999</v>
      </c>
      <c r="G59" s="49">
        <v>1.027587217</v>
      </c>
      <c r="I59" s="16" t="s">
        <v>41</v>
      </c>
      <c r="J59" s="33">
        <v>2.0555425409999999</v>
      </c>
      <c r="K59" s="31">
        <v>2.0033324480000001</v>
      </c>
      <c r="L59" s="31">
        <v>2.0024669290000001</v>
      </c>
      <c r="M59" s="31">
        <v>2.0038526139999999</v>
      </c>
      <c r="N59" s="31">
        <v>2.0061465520000001</v>
      </c>
      <c r="O59" s="31">
        <v>2.0069675299999998</v>
      </c>
    </row>
    <row r="60" spans="1:15" ht="15.75" customHeight="1">
      <c r="A60" s="16" t="s">
        <v>65</v>
      </c>
      <c r="B60" s="48">
        <v>1.6976356829999999</v>
      </c>
      <c r="C60" s="49">
        <v>0.76724251499999996</v>
      </c>
      <c r="D60" s="49">
        <v>0.73711197299999998</v>
      </c>
      <c r="E60" s="49">
        <v>0.88976840999999995</v>
      </c>
      <c r="F60" s="49">
        <v>1.0322268029999999</v>
      </c>
      <c r="G60" s="49">
        <v>1.080844618</v>
      </c>
      <c r="I60" s="16" t="s">
        <v>65</v>
      </c>
      <c r="J60" s="33">
        <v>2.2525044319999998</v>
      </c>
      <c r="K60" s="31">
        <v>2.00418444</v>
      </c>
      <c r="L60" s="31">
        <v>2.002260675</v>
      </c>
      <c r="M60" s="31">
        <v>2.0029449540000002</v>
      </c>
      <c r="N60" s="31">
        <v>2.0053710069999999</v>
      </c>
      <c r="O60" s="31">
        <v>2.0069734869999998</v>
      </c>
    </row>
    <row r="61" spans="1:15" ht="15.75" customHeight="1">
      <c r="A61" s="16" t="s">
        <v>68</v>
      </c>
      <c r="B61" s="48">
        <v>0.72053041399999995</v>
      </c>
      <c r="C61" s="49">
        <v>0.58387232899999997</v>
      </c>
      <c r="D61" s="49">
        <v>0.550091836</v>
      </c>
      <c r="E61" s="49">
        <v>0.655971941</v>
      </c>
      <c r="F61" s="49">
        <v>0.74440758299999998</v>
      </c>
      <c r="G61" s="49">
        <v>0.74398347399999998</v>
      </c>
      <c r="I61" s="16" t="s">
        <v>68</v>
      </c>
      <c r="J61" s="33">
        <v>2.0162746930000002</v>
      </c>
      <c r="K61" s="31">
        <v>2.005257726</v>
      </c>
      <c r="L61" s="31">
        <v>2.0045606130000002</v>
      </c>
      <c r="M61" s="31">
        <v>2.0061206519999999</v>
      </c>
      <c r="N61" s="31">
        <v>2.010104514</v>
      </c>
      <c r="O61" s="31">
        <v>2.010212047</v>
      </c>
    </row>
    <row r="62" spans="1:15" ht="15.75" customHeight="1">
      <c r="A62" s="16" t="s">
        <v>70</v>
      </c>
      <c r="B62" s="48">
        <v>1.013578104</v>
      </c>
      <c r="C62" s="49">
        <v>1.004275096</v>
      </c>
      <c r="D62" s="49">
        <v>1.001383857</v>
      </c>
      <c r="E62" s="49">
        <v>1.0035871139999999</v>
      </c>
      <c r="F62" s="49">
        <v>1.0066181350000001</v>
      </c>
      <c r="G62" s="49">
        <v>1.0079824180000001</v>
      </c>
      <c r="I62" s="16" t="s">
        <v>70</v>
      </c>
      <c r="J62" s="33">
        <v>2.0215004680000002</v>
      </c>
      <c r="K62" s="31">
        <v>2.0064557669999998</v>
      </c>
      <c r="L62" s="31">
        <v>2.0037616800000002</v>
      </c>
      <c r="M62" s="31">
        <v>2.0049006149999999</v>
      </c>
      <c r="N62" s="31">
        <v>2.0116928000000001</v>
      </c>
      <c r="O62" s="31">
        <v>2.0133987809999998</v>
      </c>
    </row>
    <row r="63" spans="1:15" ht="15.75" customHeight="1">
      <c r="A63" s="16" t="s">
        <v>72</v>
      </c>
      <c r="B63" s="48">
        <v>1.0191907090000001</v>
      </c>
      <c r="C63" s="49">
        <v>4.9108828E-2</v>
      </c>
      <c r="D63" s="49">
        <v>0</v>
      </c>
      <c r="E63" s="49">
        <v>7.1706662000000004E-2</v>
      </c>
      <c r="F63" s="49">
        <v>0.17002540599999999</v>
      </c>
      <c r="G63" s="49">
        <v>0.15489134299999999</v>
      </c>
      <c r="I63" s="16" t="s">
        <v>72</v>
      </c>
      <c r="J63" s="33">
        <v>2.0049831249999999</v>
      </c>
      <c r="K63" s="31">
        <v>2.0019853589999999</v>
      </c>
      <c r="L63" s="31">
        <v>2.0015117280000001</v>
      </c>
      <c r="M63" s="31">
        <v>2.0024689769999999</v>
      </c>
      <c r="N63" s="31">
        <v>2.0041326549999998</v>
      </c>
      <c r="O63" s="31">
        <v>2.0037943130000002</v>
      </c>
    </row>
    <row r="64" spans="1:15" ht="15.75" customHeight="1">
      <c r="A64" s="16" t="s">
        <v>76</v>
      </c>
      <c r="B64" s="48">
        <v>1.64736886</v>
      </c>
      <c r="C64" s="49">
        <v>0.95403582899999995</v>
      </c>
      <c r="D64" s="49">
        <v>0.61571105800000003</v>
      </c>
      <c r="E64" s="49">
        <v>0.798137286</v>
      </c>
      <c r="F64" s="49">
        <v>0.93696977800000003</v>
      </c>
      <c r="G64" s="49">
        <v>1.0789332869999999</v>
      </c>
      <c r="I64" s="16" t="s">
        <v>76</v>
      </c>
      <c r="J64" s="33">
        <v>2.3093366720000001</v>
      </c>
      <c r="K64" s="31">
        <v>2.0051577360000001</v>
      </c>
      <c r="L64" s="31">
        <v>2.002816412</v>
      </c>
      <c r="M64" s="31">
        <v>2.0041703480000002</v>
      </c>
      <c r="N64" s="31">
        <v>2.0127178080000001</v>
      </c>
      <c r="O64" s="31">
        <v>2.0263632239999998</v>
      </c>
    </row>
    <row r="65" spans="1:15" ht="15.75" customHeight="1">
      <c r="A65" s="16" t="s">
        <v>77</v>
      </c>
      <c r="B65" s="48">
        <v>1.0192115660000001</v>
      </c>
      <c r="C65" s="49">
        <v>1.004911637</v>
      </c>
      <c r="D65" s="49">
        <v>1.001082456</v>
      </c>
      <c r="E65" s="49">
        <v>1.0025681230000001</v>
      </c>
      <c r="F65" s="49">
        <v>1.005475404</v>
      </c>
      <c r="G65" s="49">
        <v>1.0090411930000001</v>
      </c>
      <c r="I65" s="16" t="s">
        <v>77</v>
      </c>
      <c r="J65" s="33">
        <v>2.0451927649999999</v>
      </c>
      <c r="K65" s="31">
        <v>2.008583974</v>
      </c>
      <c r="L65" s="31">
        <v>2.0033708909999999</v>
      </c>
      <c r="M65" s="31">
        <v>2.004429987</v>
      </c>
      <c r="N65" s="31">
        <v>2.0090193159999998</v>
      </c>
      <c r="O65" s="31">
        <v>2.014727454</v>
      </c>
    </row>
    <row r="66" spans="1:15" ht="15.75" customHeight="1">
      <c r="A66" s="16" t="s">
        <v>80</v>
      </c>
      <c r="B66" s="48">
        <v>1.010607432</v>
      </c>
      <c r="C66" s="49">
        <v>1.0036020349999999</v>
      </c>
      <c r="D66" s="49">
        <v>1.001465536</v>
      </c>
      <c r="E66" s="49">
        <v>1.0038765119999999</v>
      </c>
      <c r="F66" s="49">
        <v>1.006774619</v>
      </c>
      <c r="G66" s="49">
        <v>1.007209577</v>
      </c>
      <c r="I66" s="16" t="s">
        <v>80</v>
      </c>
      <c r="J66" s="33">
        <v>2.01563494</v>
      </c>
      <c r="K66" s="31">
        <v>2.0052649850000002</v>
      </c>
      <c r="L66" s="31">
        <v>2.0047836569999999</v>
      </c>
      <c r="M66" s="31">
        <v>2.0050492329999998</v>
      </c>
      <c r="N66" s="31">
        <v>2.0086719020000001</v>
      </c>
      <c r="O66" s="31">
        <v>2.0091930919999998</v>
      </c>
    </row>
    <row r="67" spans="1:15" ht="15.75" customHeight="1">
      <c r="B67" s="39"/>
    </row>
    <row r="68" spans="1:15" ht="15.75" customHeight="1">
      <c r="B68" s="1" t="s">
        <v>122</v>
      </c>
      <c r="J68" s="1" t="s">
        <v>123</v>
      </c>
    </row>
    <row r="69" spans="1:15" ht="15.75" customHeight="1">
      <c r="B69" s="1" t="s">
        <v>36</v>
      </c>
      <c r="C69" s="1" t="s">
        <v>38</v>
      </c>
      <c r="D69" s="1" t="s">
        <v>39</v>
      </c>
      <c r="E69" s="1" t="s">
        <v>40</v>
      </c>
      <c r="F69" s="1" t="s">
        <v>63</v>
      </c>
      <c r="G69" s="1" t="s">
        <v>64</v>
      </c>
      <c r="J69" s="1" t="s">
        <v>36</v>
      </c>
      <c r="K69" s="1" t="s">
        <v>38</v>
      </c>
      <c r="L69" s="1" t="s">
        <v>39</v>
      </c>
      <c r="M69" s="1" t="s">
        <v>40</v>
      </c>
      <c r="N69" s="1" t="s">
        <v>63</v>
      </c>
      <c r="O69" s="1" t="s">
        <v>64</v>
      </c>
    </row>
    <row r="70" spans="1:15" ht="15.75" customHeight="1">
      <c r="A70" s="16" t="s">
        <v>41</v>
      </c>
      <c r="B70" s="33">
        <v>0.41081800000000002</v>
      </c>
      <c r="C70" s="31">
        <v>1.1594469999999999</v>
      </c>
      <c r="D70" s="31">
        <v>0.62581200000000003</v>
      </c>
      <c r="E70" s="31">
        <v>0.98252799999999996</v>
      </c>
      <c r="F70" s="31">
        <v>1.1544449999999999</v>
      </c>
      <c r="G70" s="31">
        <v>1.153071</v>
      </c>
      <c r="I70" s="16" t="s">
        <v>41</v>
      </c>
      <c r="J70" s="48">
        <v>2.0010460000000001</v>
      </c>
      <c r="K70" s="49">
        <v>2.0008680000000001</v>
      </c>
      <c r="L70" s="49">
        <v>2.0009030000000001</v>
      </c>
      <c r="M70" s="49">
        <v>2.0009139999999999</v>
      </c>
      <c r="N70" s="49">
        <v>2.0009039999999998</v>
      </c>
      <c r="O70" s="49">
        <v>2.000896</v>
      </c>
    </row>
    <row r="71" spans="1:15" ht="15.75" customHeight="1">
      <c r="A71" s="16" t="s">
        <v>65</v>
      </c>
      <c r="B71" s="33">
        <v>0.53036399999999995</v>
      </c>
      <c r="C71" s="31">
        <v>0.364842</v>
      </c>
      <c r="D71" s="31">
        <v>0.451519</v>
      </c>
      <c r="E71" s="31">
        <v>0.505521</v>
      </c>
      <c r="F71" s="31">
        <v>0.53987200000000002</v>
      </c>
      <c r="G71" s="31">
        <v>0.43565799999999999</v>
      </c>
      <c r="I71" s="16" t="s">
        <v>65</v>
      </c>
      <c r="J71" s="48">
        <v>1.999986</v>
      </c>
      <c r="K71" s="49">
        <v>2.0013369999999999</v>
      </c>
      <c r="L71" s="49">
        <v>2.00136</v>
      </c>
      <c r="M71" s="49">
        <v>2.0013730000000001</v>
      </c>
      <c r="N71" s="49">
        <v>2.0013930000000002</v>
      </c>
      <c r="O71" s="49">
        <v>2.0013390000000002</v>
      </c>
    </row>
    <row r="72" spans="1:15" ht="15.75" customHeight="1">
      <c r="A72" s="16" t="s">
        <v>68</v>
      </c>
      <c r="B72" s="33">
        <v>0.49952800000000003</v>
      </c>
      <c r="C72" s="31">
        <v>0.49125000000000002</v>
      </c>
      <c r="D72" s="31">
        <v>0.48974800000000002</v>
      </c>
      <c r="E72" s="31">
        <v>0.49540299999999998</v>
      </c>
      <c r="F72" s="31">
        <v>0.50581600000000004</v>
      </c>
      <c r="G72" s="31">
        <v>0.50478199999999995</v>
      </c>
      <c r="I72" s="16" t="s">
        <v>68</v>
      </c>
      <c r="J72" s="48">
        <v>2.0003630000000001</v>
      </c>
      <c r="K72" s="49">
        <v>2.0002949999999999</v>
      </c>
      <c r="L72" s="49">
        <v>2.0002909999999998</v>
      </c>
      <c r="M72" s="49">
        <v>2.0003009999999999</v>
      </c>
      <c r="N72" s="49">
        <v>2.0003250000000001</v>
      </c>
      <c r="O72" s="49">
        <v>2.0003280000000001</v>
      </c>
    </row>
    <row r="73" spans="1:15" ht="15.75" customHeight="1">
      <c r="A73" s="16" t="s">
        <v>70</v>
      </c>
      <c r="B73" s="33">
        <v>1.3844590000000001</v>
      </c>
      <c r="C73" s="31">
        <v>1.397691</v>
      </c>
      <c r="D73" s="31">
        <v>1.408561</v>
      </c>
      <c r="E73" s="31">
        <v>1.397011</v>
      </c>
      <c r="F73" s="31">
        <v>1.388949</v>
      </c>
      <c r="G73" s="31">
        <v>1.3888670000000001</v>
      </c>
      <c r="I73" s="16" t="s">
        <v>70</v>
      </c>
      <c r="J73" s="48">
        <v>2.0007769999999998</v>
      </c>
      <c r="K73" s="49">
        <v>2.0008059999999999</v>
      </c>
      <c r="L73" s="49">
        <v>2.000839</v>
      </c>
      <c r="M73" s="49">
        <v>2.0008279999999998</v>
      </c>
      <c r="N73" s="49">
        <v>2.0008219999999999</v>
      </c>
      <c r="O73" s="49">
        <v>2.0007990000000002</v>
      </c>
    </row>
    <row r="74" spans="1:15" ht="15.75" customHeight="1">
      <c r="A74" s="16" t="s">
        <v>72</v>
      </c>
      <c r="B74" s="33">
        <v>1.087404</v>
      </c>
      <c r="C74" s="31">
        <v>-1.616E-3</v>
      </c>
      <c r="D74" s="31">
        <v>0</v>
      </c>
      <c r="E74" s="31">
        <v>-1.3309999999999999E-3</v>
      </c>
      <c r="F74" s="31">
        <v>-5.1009999999999996E-3</v>
      </c>
      <c r="G74" s="31">
        <v>-7.1989999999999997E-3</v>
      </c>
      <c r="I74" s="16" t="s">
        <v>72</v>
      </c>
      <c r="J74" s="48">
        <v>2.0002689999999999</v>
      </c>
      <c r="K74" s="49">
        <v>2.0002770000000001</v>
      </c>
      <c r="L74" s="49">
        <v>2.0002779999999998</v>
      </c>
      <c r="M74" s="49">
        <v>2.0002819999999999</v>
      </c>
      <c r="N74" s="49">
        <v>2.0002789999999999</v>
      </c>
      <c r="O74" s="49">
        <v>2.0002759999999999</v>
      </c>
    </row>
    <row r="75" spans="1:15" ht="15.75" customHeight="1">
      <c r="A75" s="16" t="s">
        <v>76</v>
      </c>
      <c r="B75" s="33">
        <v>0.49426300000000001</v>
      </c>
      <c r="C75" s="31">
        <v>0.435865</v>
      </c>
      <c r="D75" s="31">
        <v>0.30362299999999998</v>
      </c>
      <c r="E75" s="31">
        <v>0.34655399999999997</v>
      </c>
      <c r="F75" s="31">
        <v>0.38206899999999999</v>
      </c>
      <c r="G75" s="31">
        <v>0.40570499999999998</v>
      </c>
      <c r="I75" s="16" t="s">
        <v>76</v>
      </c>
      <c r="J75" s="48">
        <v>2.0026730000000001</v>
      </c>
      <c r="K75" s="49">
        <v>2.0015360000000002</v>
      </c>
      <c r="L75" s="49">
        <v>2.0015269999999998</v>
      </c>
      <c r="M75" s="49">
        <v>2.0015619999999998</v>
      </c>
      <c r="N75" s="49">
        <v>2.0017390000000002</v>
      </c>
      <c r="O75" s="49">
        <v>2.001868</v>
      </c>
    </row>
    <row r="76" spans="1:15" ht="15.75" customHeight="1">
      <c r="A76" s="16" t="s">
        <v>77</v>
      </c>
      <c r="B76" s="33">
        <v>1.1810389999999999</v>
      </c>
      <c r="C76" s="31">
        <v>1.1882539999999999</v>
      </c>
      <c r="D76" s="31">
        <v>1.193881</v>
      </c>
      <c r="E76" s="31">
        <v>1.1901090000000001</v>
      </c>
      <c r="F76" s="31">
        <v>1.186609</v>
      </c>
      <c r="G76" s="31">
        <v>1.1842109999999999</v>
      </c>
      <c r="I76" s="16" t="s">
        <v>77</v>
      </c>
      <c r="J76" s="48">
        <v>2.0007540000000001</v>
      </c>
      <c r="K76" s="49">
        <v>2.0007820000000001</v>
      </c>
      <c r="L76" s="49">
        <v>2.0007760000000001</v>
      </c>
      <c r="M76" s="49">
        <v>2.0007730000000001</v>
      </c>
      <c r="N76" s="49">
        <v>2.0008050000000002</v>
      </c>
      <c r="O76" s="49">
        <v>2.000791</v>
      </c>
    </row>
    <row r="77" spans="1:15" ht="15.75" customHeight="1">
      <c r="A77" s="16" t="s">
        <v>80</v>
      </c>
      <c r="B77" s="33">
        <v>1.528116</v>
      </c>
      <c r="C77" s="31">
        <v>1.5564979999999999</v>
      </c>
      <c r="D77" s="31">
        <v>1.5729089999999999</v>
      </c>
      <c r="E77" s="31">
        <v>1.5547420000000001</v>
      </c>
      <c r="F77" s="31">
        <v>1.53938</v>
      </c>
      <c r="G77" s="31">
        <v>1.5382</v>
      </c>
      <c r="I77" s="16" t="s">
        <v>80</v>
      </c>
      <c r="J77" s="48">
        <v>2.0003220000000002</v>
      </c>
      <c r="K77" s="49">
        <v>2.0002550000000001</v>
      </c>
      <c r="L77" s="49">
        <v>2.0002520000000001</v>
      </c>
      <c r="M77" s="49">
        <v>2.0002520000000001</v>
      </c>
      <c r="N77" s="49">
        <v>2.0002770000000001</v>
      </c>
      <c r="O77" s="49">
        <v>2.0002819999999999</v>
      </c>
    </row>
    <row r="78" spans="1:15" ht="15.75" customHeight="1">
      <c r="B78" s="39"/>
    </row>
    <row r="79" spans="1:15" ht="15.75" customHeight="1">
      <c r="B79" s="39"/>
      <c r="I79" s="39"/>
    </row>
    <row r="80" spans="1:15" ht="15.75" customHeight="1">
      <c r="B80" s="39"/>
      <c r="I80" s="39"/>
    </row>
    <row r="81" spans="2:9" ht="15.75" customHeight="1">
      <c r="B81" s="39"/>
      <c r="I81" s="39"/>
    </row>
    <row r="82" spans="2:9" ht="15.75" customHeight="1">
      <c r="B82" s="39"/>
      <c r="I82" s="39"/>
    </row>
    <row r="83" spans="2:9" ht="15.75" customHeight="1">
      <c r="B83" s="39"/>
      <c r="I83" s="39"/>
    </row>
    <row r="84" spans="2:9" ht="15.75" customHeight="1">
      <c r="B84" s="39"/>
      <c r="I84" s="39"/>
    </row>
    <row r="85" spans="2:9" ht="15.75" customHeight="1">
      <c r="B85" s="39"/>
      <c r="I85" s="39"/>
    </row>
    <row r="86" spans="2:9" ht="15.75" customHeight="1">
      <c r="B86" s="39"/>
    </row>
    <row r="87" spans="2:9" ht="15.75" customHeight="1">
      <c r="B87" s="39"/>
    </row>
    <row r="88" spans="2:9" ht="15.75" customHeight="1">
      <c r="B88" s="39"/>
      <c r="I88" s="39"/>
    </row>
    <row r="89" spans="2:9" ht="15.75" customHeight="1">
      <c r="B89" s="39"/>
      <c r="I89" s="39"/>
    </row>
    <row r="90" spans="2:9" ht="15.75" customHeight="1">
      <c r="B90" s="39"/>
      <c r="I90" s="39"/>
    </row>
    <row r="91" spans="2:9" ht="15.75" customHeight="1">
      <c r="B91" s="39"/>
      <c r="I91" s="39"/>
    </row>
    <row r="92" spans="2:9" ht="15.75" customHeight="1">
      <c r="B92" s="39"/>
      <c r="I92" s="39"/>
    </row>
    <row r="93" spans="2:9" ht="15.75" customHeight="1">
      <c r="I93" s="39"/>
    </row>
    <row r="94" spans="2:9" ht="15.75" customHeight="1">
      <c r="I94" s="39"/>
    </row>
    <row r="99" spans="9:9" ht="15.75" customHeight="1">
      <c r="I99" s="39"/>
    </row>
    <row r="100" spans="9:9" ht="15.75" customHeight="1">
      <c r="I100" s="39"/>
    </row>
    <row r="101" spans="9:9" ht="15.75" customHeight="1">
      <c r="I101" s="39"/>
    </row>
    <row r="102" spans="9:9" ht="15.75" customHeight="1">
      <c r="I102" s="39"/>
    </row>
    <row r="103" spans="9:9" ht="15.75" customHeight="1">
      <c r="I103" s="39"/>
    </row>
    <row r="109" spans="9:9" ht="15.75" customHeight="1">
      <c r="I109" s="39"/>
    </row>
    <row r="110" spans="9:9" ht="15.75" customHeight="1">
      <c r="I110" s="39"/>
    </row>
    <row r="111" spans="9:9" ht="15.75" customHeight="1">
      <c r="I111" s="39"/>
    </row>
    <row r="112" spans="9:9" ht="15.75" customHeight="1">
      <c r="I112" s="39"/>
    </row>
    <row r="113" spans="9:9" ht="15.75" customHeight="1">
      <c r="I113" s="39"/>
    </row>
    <row r="118" spans="9:9" ht="15.75" customHeight="1">
      <c r="I118" s="39"/>
    </row>
    <row r="119" spans="9:9" ht="15.75" customHeight="1">
      <c r="I119" s="39"/>
    </row>
    <row r="120" spans="9:9" ht="15.75" customHeight="1">
      <c r="I120" s="39"/>
    </row>
    <row r="121" spans="9:9" ht="15.75" customHeight="1">
      <c r="I121" s="39"/>
    </row>
    <row r="122" spans="9:9" ht="15.75" customHeight="1">
      <c r="I122" s="39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E37B-C427-4718-A385-C481F8E8E4C6}">
  <sheetPr>
    <outlinePr summaryBelow="0" summaryRight="0"/>
  </sheetPr>
  <dimension ref="A1:S43"/>
  <sheetViews>
    <sheetView topLeftCell="H25" workbookViewId="0">
      <selection activeCell="N44" sqref="N44"/>
    </sheetView>
  </sheetViews>
  <sheetFormatPr defaultColWidth="12.6640625" defaultRowHeight="15.75" customHeight="1"/>
  <cols>
    <col min="1" max="1" width="9.44140625" style="2" customWidth="1"/>
    <col min="2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5.75" customHeight="1">
      <c r="A1" s="1" t="s">
        <v>36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28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5.75" customHeight="1">
      <c r="A2" s="1" t="s">
        <v>128</v>
      </c>
      <c r="B2" s="1" t="s">
        <v>129</v>
      </c>
      <c r="C2" s="14">
        <v>-0.63291373620060598</v>
      </c>
      <c r="D2" s="14">
        <v>-0.55366481634307296</v>
      </c>
      <c r="E2" s="24">
        <f t="shared" ref="E2:F17" si="0">C2*27.2114</f>
        <v>-17.222468841249171</v>
      </c>
      <c r="F2" s="24">
        <f t="shared" si="0"/>
        <v>-15.065994783437896</v>
      </c>
      <c r="G2" s="50">
        <v>0.883871235312091</v>
      </c>
      <c r="H2" s="14">
        <v>-0.586359668010908</v>
      </c>
      <c r="I2" s="24">
        <f t="shared" ref="I2:I36" si="1">H2*27.2114</f>
        <v>-15.955667470112022</v>
      </c>
      <c r="J2" s="50">
        <v>0.90743297530886202</v>
      </c>
      <c r="K2" s="14">
        <v>-0.58027695829550296</v>
      </c>
      <c r="L2" s="24">
        <f t="shared" ref="L2:L36" si="2">K2*27.2114</f>
        <v>-15.79014842296225</v>
      </c>
      <c r="M2" s="50">
        <v>0.90284026469549605</v>
      </c>
      <c r="N2" s="51">
        <v>15.58</v>
      </c>
      <c r="O2" s="14">
        <f t="shared" ref="O2:O36" si="3">-E2-N2</f>
        <v>1.6424688412491708</v>
      </c>
      <c r="P2" s="14">
        <f t="shared" ref="P2:P36" si="4">-F2-N2</f>
        <v>-0.51400521656210429</v>
      </c>
      <c r="Q2" s="14">
        <f t="shared" ref="Q2:Q36" si="5">-I2-N2</f>
        <v>0.37566747011202217</v>
      </c>
      <c r="R2" s="14">
        <f t="shared" ref="R2:R36" si="6">-L2-N2</f>
        <v>0.21014842296225034</v>
      </c>
    </row>
    <row r="3" spans="1:18" ht="15.75" customHeight="1">
      <c r="B3" s="1" t="s">
        <v>130</v>
      </c>
      <c r="C3" s="14">
        <v>-0.61194717172255597</v>
      </c>
      <c r="D3" s="14">
        <v>-0.63049395400230601</v>
      </c>
      <c r="E3" s="24">
        <f t="shared" si="0"/>
        <v>-16.651939268611159</v>
      </c>
      <c r="F3" s="24">
        <f t="shared" si="0"/>
        <v>-17.15662317993835</v>
      </c>
      <c r="G3" s="50">
        <v>0.91478261465574495</v>
      </c>
      <c r="H3" s="14">
        <v>-0.63598608255964595</v>
      </c>
      <c r="I3" s="24">
        <f t="shared" si="1"/>
        <v>-17.306071686963552</v>
      </c>
      <c r="J3" s="50">
        <v>0.91763346704191695</v>
      </c>
      <c r="K3" s="14">
        <v>-0.63542917101393703</v>
      </c>
      <c r="L3" s="24">
        <f t="shared" si="2"/>
        <v>-17.290917344128648</v>
      </c>
      <c r="M3" s="50">
        <v>0.91734303156617303</v>
      </c>
      <c r="N3" s="51">
        <v>16.93</v>
      </c>
      <c r="O3" s="14">
        <f t="shared" si="3"/>
        <v>-0.27806073138884102</v>
      </c>
      <c r="P3" s="14">
        <f t="shared" si="4"/>
        <v>0.22662317993835046</v>
      </c>
      <c r="Q3" s="14">
        <f t="shared" si="5"/>
        <v>0.37607168696355231</v>
      </c>
      <c r="R3" s="14">
        <f t="shared" si="6"/>
        <v>0.36091734412864795</v>
      </c>
    </row>
    <row r="4" spans="1:18" ht="15.75" customHeight="1">
      <c r="B4" s="1" t="s">
        <v>131</v>
      </c>
      <c r="C4" s="14">
        <v>-0.77899786503320301</v>
      </c>
      <c r="D4" s="14">
        <v>-0.66792018201464798</v>
      </c>
      <c r="E4" s="24">
        <f t="shared" si="0"/>
        <v>-21.197622504564499</v>
      </c>
      <c r="F4" s="24">
        <f t="shared" si="0"/>
        <v>-18.175043240873393</v>
      </c>
      <c r="G4" s="50">
        <v>0.84752484836551001</v>
      </c>
      <c r="H4" s="14">
        <v>-0.70686410386753595</v>
      </c>
      <c r="I4" s="24">
        <f t="shared" si="1"/>
        <v>-19.234761875981068</v>
      </c>
      <c r="J4" s="50">
        <v>0.87860215727358104</v>
      </c>
      <c r="K4" s="14">
        <v>-0.69877654904167696</v>
      </c>
      <c r="L4" s="24">
        <f t="shared" si="2"/>
        <v>-19.014688186592689</v>
      </c>
      <c r="M4" s="50">
        <v>0.87168267728578097</v>
      </c>
      <c r="N4" s="51">
        <v>19.75</v>
      </c>
      <c r="O4" s="14">
        <f t="shared" si="3"/>
        <v>1.4476225045644995</v>
      </c>
      <c r="P4" s="14">
        <f t="shared" si="4"/>
        <v>-1.5749567591266072</v>
      </c>
      <c r="Q4" s="14">
        <f t="shared" si="5"/>
        <v>-0.5152381240189321</v>
      </c>
      <c r="R4" s="14">
        <f t="shared" si="6"/>
        <v>-0.73531181340731067</v>
      </c>
    </row>
    <row r="5" spans="1:18" ht="15.75" customHeight="1">
      <c r="A5" s="1" t="s">
        <v>132</v>
      </c>
      <c r="B5" s="1" t="s">
        <v>133</v>
      </c>
      <c r="C5" s="14">
        <v>-0.50316220047126603</v>
      </c>
      <c r="D5" s="14">
        <v>-0.41071833498654697</v>
      </c>
      <c r="E5" s="24">
        <f t="shared" si="0"/>
        <v>-13.69174790190381</v>
      </c>
      <c r="F5" s="24">
        <f t="shared" si="0"/>
        <v>-11.176220900652925</v>
      </c>
      <c r="G5" s="50">
        <v>0.88096802028606802</v>
      </c>
      <c r="H5" s="14">
        <v>-0.45463790622141398</v>
      </c>
      <c r="I5" s="24">
        <f t="shared" si="1"/>
        <v>-12.371333921353385</v>
      </c>
      <c r="J5" s="50">
        <v>0.92125434940150897</v>
      </c>
      <c r="K5" s="14">
        <v>-0.44720304610438</v>
      </c>
      <c r="L5" s="24">
        <f t="shared" si="2"/>
        <v>-12.169020968764727</v>
      </c>
      <c r="M5" s="50">
        <v>0.91386342862391701</v>
      </c>
      <c r="N5" s="51">
        <v>12.62</v>
      </c>
      <c r="O5" s="14">
        <f t="shared" si="3"/>
        <v>1.0717479019038105</v>
      </c>
      <c r="P5" s="14">
        <f t="shared" si="4"/>
        <v>-1.4437790993470738</v>
      </c>
      <c r="Q5" s="14">
        <f t="shared" si="5"/>
        <v>-0.24866607864661461</v>
      </c>
      <c r="R5" s="14">
        <f t="shared" si="6"/>
        <v>-0.45097903123527239</v>
      </c>
    </row>
    <row r="6" spans="1:18" ht="15.75" customHeight="1">
      <c r="A6" s="1" t="s">
        <v>134</v>
      </c>
      <c r="B6" s="1" t="s">
        <v>135</v>
      </c>
      <c r="C6" s="14">
        <v>-0.55416253103326696</v>
      </c>
      <c r="D6" s="14">
        <v>-0.51634943744329598</v>
      </c>
      <c r="E6" s="24">
        <f t="shared" si="0"/>
        <v>-15.079538296958642</v>
      </c>
      <c r="F6" s="24">
        <f t="shared" si="0"/>
        <v>-14.050591082044505</v>
      </c>
      <c r="G6" s="50">
        <v>0.91299064917736295</v>
      </c>
      <c r="H6" s="14">
        <v>-0.52428277502684095</v>
      </c>
      <c r="I6" s="24">
        <f t="shared" si="1"/>
        <v>-14.266468304365381</v>
      </c>
      <c r="J6" s="50">
        <v>0.91196602128745696</v>
      </c>
      <c r="K6" s="14">
        <v>-0.52311417499011703</v>
      </c>
      <c r="L6" s="24">
        <f t="shared" si="2"/>
        <v>-14.234669061326072</v>
      </c>
      <c r="M6" s="50">
        <v>0.91213407232398303</v>
      </c>
      <c r="N6" s="51">
        <v>14.01</v>
      </c>
      <c r="O6" s="14">
        <f t="shared" si="3"/>
        <v>1.0695382969586422</v>
      </c>
      <c r="P6" s="14">
        <f t="shared" si="4"/>
        <v>4.0591082044505455E-2</v>
      </c>
      <c r="Q6" s="14">
        <f t="shared" si="5"/>
        <v>0.25646830436538082</v>
      </c>
      <c r="R6" s="14">
        <f t="shared" si="6"/>
        <v>0.22466906132607178</v>
      </c>
    </row>
    <row r="7" spans="1:18" ht="15.75" customHeight="1">
      <c r="A7" s="1" t="s">
        <v>136</v>
      </c>
      <c r="B7" s="1" t="s">
        <v>137</v>
      </c>
      <c r="C7" s="14">
        <v>-0.42678556201080498</v>
      </c>
      <c r="D7" s="14">
        <v>-0.374126022212944</v>
      </c>
      <c r="E7" s="24">
        <f t="shared" si="0"/>
        <v>-11.613432642100818</v>
      </c>
      <c r="F7" s="24">
        <f t="shared" si="0"/>
        <v>-10.180492840845305</v>
      </c>
      <c r="G7" s="50">
        <v>0.89899093239603001</v>
      </c>
      <c r="H7" s="14">
        <v>-0.395360002816732</v>
      </c>
      <c r="I7" s="24">
        <f t="shared" si="1"/>
        <v>-10.758299180647223</v>
      </c>
      <c r="J7" s="50">
        <v>0.91860860427481394</v>
      </c>
      <c r="K7" s="14">
        <v>-0.39219086549731103</v>
      </c>
      <c r="L7" s="24">
        <f t="shared" si="2"/>
        <v>-10.672062517393529</v>
      </c>
      <c r="M7" s="50">
        <v>0.91555250748047401</v>
      </c>
      <c r="N7" s="51">
        <v>10.8</v>
      </c>
      <c r="O7" s="14">
        <f t="shared" si="3"/>
        <v>0.81343264210081756</v>
      </c>
      <c r="P7" s="14">
        <f t="shared" si="4"/>
        <v>-0.61950715915469523</v>
      </c>
      <c r="Q7" s="14">
        <f t="shared" si="5"/>
        <v>-4.170081935277814E-2</v>
      </c>
      <c r="R7" s="14">
        <f t="shared" si="6"/>
        <v>-0.12793748260647142</v>
      </c>
    </row>
    <row r="8" spans="1:18" ht="15.75" customHeight="1">
      <c r="A8" s="1" t="s">
        <v>138</v>
      </c>
      <c r="B8" s="1" t="s">
        <v>139</v>
      </c>
      <c r="C8" s="14">
        <v>-0.66533287452835399</v>
      </c>
      <c r="D8" s="14">
        <v>-0.52241237894362302</v>
      </c>
      <c r="E8" s="24">
        <f t="shared" si="0"/>
        <v>-18.104638981940852</v>
      </c>
      <c r="F8" s="24">
        <f t="shared" si="0"/>
        <v>-14.215572208386504</v>
      </c>
      <c r="G8" s="50">
        <v>0.87066913431178905</v>
      </c>
      <c r="H8" s="14">
        <v>-0.57579180158934795</v>
      </c>
      <c r="I8" s="24">
        <f t="shared" si="1"/>
        <v>-15.668101029768383</v>
      </c>
      <c r="J8" s="50">
        <v>0.89828088608099599</v>
      </c>
      <c r="K8" s="14">
        <v>-0.56636853901711004</v>
      </c>
      <c r="L8" s="24">
        <f t="shared" si="2"/>
        <v>-15.411680862610188</v>
      </c>
      <c r="M8" s="50">
        <v>0.89318168413226695</v>
      </c>
      <c r="N8" s="51">
        <v>15.87</v>
      </c>
      <c r="O8" s="14">
        <f t="shared" si="3"/>
        <v>2.2346389819408525</v>
      </c>
      <c r="P8" s="14">
        <f t="shared" si="4"/>
        <v>-1.6544277916134948</v>
      </c>
      <c r="Q8" s="14">
        <f t="shared" si="5"/>
        <v>-0.20189897023161585</v>
      </c>
      <c r="R8" s="14">
        <f t="shared" si="6"/>
        <v>-0.458319137389811</v>
      </c>
    </row>
    <row r="9" spans="1:18" ht="15.75" customHeight="1">
      <c r="A9" s="1" t="s">
        <v>140</v>
      </c>
      <c r="B9" s="1" t="s">
        <v>141</v>
      </c>
      <c r="C9" s="14">
        <v>-0.54976999999999998</v>
      </c>
      <c r="D9" s="14">
        <v>-0.41281000000000001</v>
      </c>
      <c r="E9" s="24">
        <f t="shared" si="0"/>
        <v>-14.960011378000001</v>
      </c>
      <c r="F9" s="24">
        <f t="shared" si="0"/>
        <v>-11.233138034000001</v>
      </c>
      <c r="G9" s="50">
        <v>0.81499999999999995</v>
      </c>
      <c r="H9" s="14">
        <v>-0.49931999999999999</v>
      </c>
      <c r="I9" s="24">
        <f t="shared" si="1"/>
        <v>-13.587196248</v>
      </c>
      <c r="J9" s="50">
        <v>0.89900000000000002</v>
      </c>
      <c r="K9" s="14">
        <v>-0.47793000000000002</v>
      </c>
      <c r="L9" s="24">
        <f t="shared" si="2"/>
        <v>-13.005144402000001</v>
      </c>
      <c r="M9" s="50">
        <v>0.87</v>
      </c>
      <c r="N9" s="51">
        <v>12.73</v>
      </c>
      <c r="O9" s="14">
        <f t="shared" si="3"/>
        <v>2.2300113780000004</v>
      </c>
      <c r="P9" s="14">
        <f t="shared" si="4"/>
        <v>-1.4968619659999991</v>
      </c>
      <c r="Q9" s="14">
        <f t="shared" si="5"/>
        <v>0.85719624799999927</v>
      </c>
      <c r="R9" s="14">
        <f t="shared" si="6"/>
        <v>0.27514440200000045</v>
      </c>
    </row>
    <row r="10" spans="1:18" ht="15.75" customHeight="1">
      <c r="A10" s="1" t="s">
        <v>142</v>
      </c>
      <c r="B10" s="1" t="s">
        <v>143</v>
      </c>
      <c r="C10" s="14">
        <v>-0.44215253300264301</v>
      </c>
      <c r="D10" s="14">
        <v>-0.36546393400381799</v>
      </c>
      <c r="E10" s="24">
        <f t="shared" si="0"/>
        <v>-12.031589436548121</v>
      </c>
      <c r="F10" s="24">
        <f t="shared" si="0"/>
        <v>-9.9447852937514938</v>
      </c>
      <c r="G10" s="50">
        <v>0.88267261923798501</v>
      </c>
      <c r="H10" s="14">
        <v>-0.40150239957893102</v>
      </c>
      <c r="I10" s="24">
        <f t="shared" si="1"/>
        <v>-10.925442395902124</v>
      </c>
      <c r="J10" s="50">
        <v>0.91633916302839702</v>
      </c>
      <c r="K10" s="14">
        <v>-0.39545505000464998</v>
      </c>
      <c r="L10" s="24">
        <f t="shared" si="2"/>
        <v>-10.760885547696533</v>
      </c>
      <c r="M10" s="50">
        <v>0.91027956604976301</v>
      </c>
      <c r="N10" s="51">
        <v>10.9</v>
      </c>
      <c r="O10" s="14">
        <f t="shared" si="3"/>
        <v>1.1315894365481203</v>
      </c>
      <c r="P10" s="14">
        <f t="shared" si="4"/>
        <v>-0.95521470624850657</v>
      </c>
      <c r="Q10" s="14">
        <f t="shared" si="5"/>
        <v>2.5442395902123494E-2</v>
      </c>
      <c r="R10" s="14">
        <f t="shared" si="6"/>
        <v>-0.13911445230346686</v>
      </c>
    </row>
    <row r="11" spans="1:18" ht="15.75" customHeight="1">
      <c r="A11" s="1" t="s">
        <v>144</v>
      </c>
      <c r="B11" s="1" t="s">
        <v>130</v>
      </c>
      <c r="C11" s="14">
        <v>-0.40921223976884602</v>
      </c>
      <c r="D11" s="14">
        <v>-0.41616640692559198</v>
      </c>
      <c r="E11" s="24">
        <f t="shared" si="0"/>
        <v>-11.135237941245977</v>
      </c>
      <c r="F11" s="24">
        <f t="shared" si="0"/>
        <v>-11.324470565415053</v>
      </c>
      <c r="G11" s="50">
        <v>0.90590521926466505</v>
      </c>
      <c r="H11" s="14">
        <v>-0.42406958787446702</v>
      </c>
      <c r="I11" s="24">
        <f t="shared" si="1"/>
        <v>-11.539527183487273</v>
      </c>
      <c r="J11" s="50">
        <v>0.91305518243199901</v>
      </c>
      <c r="K11" s="14">
        <v>-0.42305845586889201</v>
      </c>
      <c r="L11" s="24">
        <f t="shared" si="2"/>
        <v>-11.512012866030769</v>
      </c>
      <c r="M11" s="50">
        <v>0.91212628375025595</v>
      </c>
      <c r="N11" s="51">
        <v>11.49</v>
      </c>
      <c r="O11" s="14">
        <f t="shared" si="3"/>
        <v>-0.354762058754023</v>
      </c>
      <c r="P11" s="14">
        <f t="shared" si="4"/>
        <v>-0.16552943458494696</v>
      </c>
      <c r="Q11" s="14">
        <f t="shared" si="5"/>
        <v>4.9527183487272808E-2</v>
      </c>
      <c r="R11" s="14">
        <f t="shared" si="6"/>
        <v>2.2012866030769018E-2</v>
      </c>
    </row>
    <row r="12" spans="1:18" ht="15.75" customHeight="1">
      <c r="A12" s="1" t="s">
        <v>145</v>
      </c>
      <c r="B12" s="1" t="s">
        <v>146</v>
      </c>
      <c r="C12" s="14">
        <v>-0.376351050846086</v>
      </c>
      <c r="D12" s="14">
        <v>-0.379816625413054</v>
      </c>
      <c r="E12" s="24">
        <f t="shared" si="0"/>
        <v>-10.241038984993185</v>
      </c>
      <c r="F12" s="24">
        <f t="shared" si="0"/>
        <v>-10.335342120764778</v>
      </c>
      <c r="G12" s="50">
        <v>0.907995204970513</v>
      </c>
      <c r="H12" s="14">
        <v>-0.38817743695078699</v>
      </c>
      <c r="I12" s="24">
        <f t="shared" si="1"/>
        <v>-10.562851507842646</v>
      </c>
      <c r="J12" s="50">
        <v>0.91481828433201795</v>
      </c>
      <c r="K12" s="14">
        <v>-0.38704207781824301</v>
      </c>
      <c r="L12" s="24">
        <f t="shared" si="2"/>
        <v>-10.531956796343339</v>
      </c>
      <c r="M12" s="50">
        <v>0.91387792014807401</v>
      </c>
      <c r="N12" s="51">
        <v>10.68</v>
      </c>
      <c r="O12" s="14">
        <f t="shared" si="3"/>
        <v>-0.43896101500681439</v>
      </c>
      <c r="P12" s="14">
        <f t="shared" si="4"/>
        <v>-0.34465787923522129</v>
      </c>
      <c r="Q12" s="14">
        <f t="shared" si="5"/>
        <v>-0.11714849215735335</v>
      </c>
      <c r="R12" s="14">
        <f t="shared" si="6"/>
        <v>-0.14804320365666079</v>
      </c>
    </row>
    <row r="13" spans="1:18" ht="15.75" customHeight="1">
      <c r="A13" s="1" t="s">
        <v>147</v>
      </c>
      <c r="B13" s="1" t="s">
        <v>148</v>
      </c>
      <c r="C13" s="14">
        <v>-0.49511338968379298</v>
      </c>
      <c r="D13" s="14">
        <v>-0.50236254107384903</v>
      </c>
      <c r="E13" s="24">
        <f t="shared" si="0"/>
        <v>-13.472728492041565</v>
      </c>
      <c r="F13" s="24">
        <f t="shared" si="0"/>
        <v>-13.669988050176936</v>
      </c>
      <c r="G13" s="50">
        <v>0.90126076453020398</v>
      </c>
      <c r="H13" s="14">
        <v>-0.51285623147000303</v>
      </c>
      <c r="I13" s="24">
        <f t="shared" si="1"/>
        <v>-13.955536057022842</v>
      </c>
      <c r="J13" s="50">
        <v>0.91253554994443398</v>
      </c>
      <c r="K13" s="14">
        <v>-0.511545435707634</v>
      </c>
      <c r="L13" s="24">
        <f t="shared" si="2"/>
        <v>-13.919867469214712</v>
      </c>
      <c r="M13" s="50">
        <v>0.91109135627073301</v>
      </c>
      <c r="N13" s="51">
        <v>13.61</v>
      </c>
      <c r="O13" s="14">
        <f t="shared" si="3"/>
        <v>-0.13727150795843457</v>
      </c>
      <c r="P13" s="14">
        <f t="shared" si="4"/>
        <v>5.998805017693698E-2</v>
      </c>
      <c r="Q13" s="14">
        <f t="shared" si="5"/>
        <v>0.34553605702284251</v>
      </c>
      <c r="R13" s="14">
        <f t="shared" si="6"/>
        <v>0.30986746921471209</v>
      </c>
    </row>
    <row r="14" spans="1:18" ht="15.75" customHeight="1">
      <c r="A14" s="1" t="s">
        <v>149</v>
      </c>
      <c r="B14" s="1" t="s">
        <v>150</v>
      </c>
      <c r="C14" s="14">
        <v>-0.490400412634451</v>
      </c>
      <c r="D14" s="14">
        <v>-0.46852720493213501</v>
      </c>
      <c r="E14" s="24">
        <f t="shared" si="0"/>
        <v>-13.344481788361101</v>
      </c>
      <c r="F14" s="24">
        <f t="shared" si="0"/>
        <v>-12.749281184290298</v>
      </c>
      <c r="G14" s="50">
        <v>0.86877404003262304</v>
      </c>
      <c r="H14" s="14">
        <v>-0.50538536809394896</v>
      </c>
      <c r="I14" s="24">
        <f t="shared" si="1"/>
        <v>-13.752243405351683</v>
      </c>
      <c r="J14" s="50">
        <v>0.90696779100343405</v>
      </c>
      <c r="K14" s="14">
        <v>-0.49920041250995101</v>
      </c>
      <c r="L14" s="24">
        <f t="shared" si="2"/>
        <v>-13.583942104973282</v>
      </c>
      <c r="M14" s="50">
        <v>0.90004985073730004</v>
      </c>
      <c r="N14" s="51">
        <v>12.89</v>
      </c>
      <c r="O14" s="14">
        <f t="shared" si="3"/>
        <v>0.45448178836110031</v>
      </c>
      <c r="P14" s="14">
        <f t="shared" si="4"/>
        <v>-0.14071881570970213</v>
      </c>
      <c r="Q14" s="14">
        <f t="shared" si="5"/>
        <v>0.86224340535168231</v>
      </c>
      <c r="R14" s="14">
        <f t="shared" si="6"/>
        <v>0.69394210497328146</v>
      </c>
    </row>
    <row r="15" spans="1:18" ht="15.75" customHeight="1">
      <c r="A15" s="1" t="s">
        <v>151</v>
      </c>
      <c r="B15" s="1" t="s">
        <v>139</v>
      </c>
      <c r="C15" s="14">
        <v>-0.54276000000000002</v>
      </c>
      <c r="D15" s="14">
        <v>-0.48146</v>
      </c>
      <c r="E15" s="24">
        <f t="shared" si="0"/>
        <v>-14.769259464000001</v>
      </c>
      <c r="F15" s="24">
        <f t="shared" si="0"/>
        <v>-13.101200644</v>
      </c>
      <c r="G15" s="50">
        <v>0.875</v>
      </c>
      <c r="H15" s="14">
        <v>-0.51639999999999997</v>
      </c>
      <c r="I15" s="24">
        <f t="shared" si="1"/>
        <v>-14.05196696</v>
      </c>
      <c r="J15" s="50">
        <v>0.90400000000000003</v>
      </c>
      <c r="K15" s="14">
        <v>-0.51105999999999996</v>
      </c>
      <c r="L15" s="24">
        <f t="shared" si="2"/>
        <v>-13.906658084</v>
      </c>
      <c r="M15" s="50">
        <v>0.89900000000000002</v>
      </c>
      <c r="N15" s="51">
        <v>13.79</v>
      </c>
      <c r="O15" s="14">
        <f t="shared" si="3"/>
        <v>0.97925946400000186</v>
      </c>
      <c r="P15" s="14">
        <f t="shared" si="4"/>
        <v>-0.68879935599999875</v>
      </c>
      <c r="Q15" s="14">
        <f t="shared" si="5"/>
        <v>0.26196696000000053</v>
      </c>
      <c r="R15" s="14">
        <f t="shared" si="6"/>
        <v>0.11665808400000088</v>
      </c>
    </row>
    <row r="16" spans="1:18" ht="15.75" customHeight="1">
      <c r="A16" s="1" t="s">
        <v>60</v>
      </c>
      <c r="B16" s="1" t="s">
        <v>148</v>
      </c>
      <c r="C16" s="14">
        <v>-0.64388968128070101</v>
      </c>
      <c r="D16" s="14">
        <v>-0.53999018274598898</v>
      </c>
      <c r="E16" s="24">
        <f t="shared" si="0"/>
        <v>-17.521139673201667</v>
      </c>
      <c r="F16" s="24">
        <f t="shared" si="0"/>
        <v>-14.693888858774205</v>
      </c>
      <c r="G16" s="50">
        <v>0.89959515285483305</v>
      </c>
      <c r="H16" s="14">
        <v>-0.58674622520461095</v>
      </c>
      <c r="I16" s="24">
        <f t="shared" si="1"/>
        <v>-15.966186232532751</v>
      </c>
      <c r="J16" s="50">
        <v>0.93524975423001799</v>
      </c>
      <c r="K16" s="14">
        <v>-0.57976626042497903</v>
      </c>
      <c r="L16" s="24">
        <f t="shared" si="2"/>
        <v>-15.776251618928274</v>
      </c>
      <c r="M16" s="50">
        <v>0.929551823011741</v>
      </c>
      <c r="N16" s="51">
        <v>16.190000000000001</v>
      </c>
      <c r="O16" s="14">
        <f t="shared" si="3"/>
        <v>1.3311396732016654</v>
      </c>
      <c r="P16" s="14">
        <f t="shared" si="4"/>
        <v>-1.4961111412257964</v>
      </c>
      <c r="Q16" s="14">
        <f t="shared" si="5"/>
        <v>-0.22381376746725046</v>
      </c>
      <c r="R16" s="14">
        <f t="shared" si="6"/>
        <v>-0.41374838107172707</v>
      </c>
    </row>
    <row r="17" spans="1:19" ht="15.75" customHeight="1">
      <c r="A17" s="1" t="s">
        <v>152</v>
      </c>
      <c r="B17" s="1" t="s">
        <v>153</v>
      </c>
      <c r="C17" s="14">
        <v>-0.420361742680537</v>
      </c>
      <c r="D17" s="14">
        <v>-0.38226806054669998</v>
      </c>
      <c r="E17" s="24">
        <f t="shared" si="0"/>
        <v>-11.438631524777165</v>
      </c>
      <c r="F17" s="24">
        <f t="shared" si="0"/>
        <v>-10.402049102760472</v>
      </c>
      <c r="G17" s="50">
        <v>0.87837078852303596</v>
      </c>
      <c r="H17" s="14">
        <v>-0.406070504603743</v>
      </c>
      <c r="I17" s="24">
        <f t="shared" si="1"/>
        <v>-11.049746928974292</v>
      </c>
      <c r="J17" s="50">
        <v>0.89616510975179098</v>
      </c>
      <c r="K17" s="14">
        <v>-0.40271900462967603</v>
      </c>
      <c r="L17" s="24">
        <f t="shared" si="2"/>
        <v>-10.958547922579967</v>
      </c>
      <c r="M17" s="50">
        <v>0.89356017236937801</v>
      </c>
      <c r="N17" s="51">
        <v>10.4</v>
      </c>
      <c r="O17" s="14">
        <f t="shared" si="3"/>
        <v>1.0386315247771645</v>
      </c>
      <c r="P17" s="14">
        <f t="shared" si="4"/>
        <v>2.049102760471655E-3</v>
      </c>
      <c r="Q17" s="14">
        <f t="shared" si="5"/>
        <v>0.64974692897429165</v>
      </c>
      <c r="R17" s="14">
        <f t="shared" si="6"/>
        <v>0.55854792257996699</v>
      </c>
    </row>
    <row r="18" spans="1:19" ht="15.75" customHeight="1">
      <c r="A18" s="1" t="s">
        <v>154</v>
      </c>
      <c r="B18" s="1" t="s">
        <v>155</v>
      </c>
      <c r="C18" s="14">
        <v>-0.54513127612155998</v>
      </c>
      <c r="D18" s="14">
        <v>-0.51817619198943099</v>
      </c>
      <c r="E18" s="24">
        <f t="shared" ref="E18:F33" si="7">C18*27.2114</f>
        <v>-14.833785207054218</v>
      </c>
      <c r="F18" s="24">
        <f t="shared" si="7"/>
        <v>-14.100299630701203</v>
      </c>
      <c r="G18" s="50">
        <v>0.91938422169215395</v>
      </c>
      <c r="H18" s="14">
        <v>-0.52398413974299396</v>
      </c>
      <c r="I18" s="24">
        <f t="shared" si="1"/>
        <v>-14.258342020202507</v>
      </c>
      <c r="J18" s="50">
        <v>0.92349433670251002</v>
      </c>
      <c r="K18" s="14">
        <v>-0.52327862594552299</v>
      </c>
      <c r="L18" s="24">
        <f t="shared" si="2"/>
        <v>-14.239144002054005</v>
      </c>
      <c r="M18" s="50">
        <v>0.92298865263727203</v>
      </c>
      <c r="N18" s="51">
        <v>13.6</v>
      </c>
      <c r="O18" s="14">
        <f t="shared" si="3"/>
        <v>1.2337852070542183</v>
      </c>
      <c r="P18" s="14">
        <f t="shared" si="4"/>
        <v>0.50029963070120331</v>
      </c>
      <c r="Q18" s="14">
        <f t="shared" si="5"/>
        <v>0.65834202020250743</v>
      </c>
      <c r="R18" s="14">
        <f t="shared" si="6"/>
        <v>0.6391440020540049</v>
      </c>
    </row>
    <row r="19" spans="1:19" ht="15.75" customHeight="1">
      <c r="A19" s="1" t="s">
        <v>156</v>
      </c>
      <c r="B19" s="1" t="s">
        <v>157</v>
      </c>
      <c r="C19" s="14">
        <v>-0.48647075326510297</v>
      </c>
      <c r="D19" s="14">
        <v>-0.455976961497505</v>
      </c>
      <c r="E19" s="24">
        <f t="shared" si="7"/>
        <v>-13.237550255398023</v>
      </c>
      <c r="F19" s="24">
        <f t="shared" si="7"/>
        <v>-12.407771490093207</v>
      </c>
      <c r="G19" s="50">
        <v>0.91657327039016301</v>
      </c>
      <c r="H19" s="14">
        <v>-0.46265733309345802</v>
      </c>
      <c r="I19" s="24">
        <f t="shared" si="1"/>
        <v>-12.589553753739324</v>
      </c>
      <c r="J19" s="50">
        <v>0.92073461092340902</v>
      </c>
      <c r="K19" s="14">
        <v>-0.461829297464046</v>
      </c>
      <c r="L19" s="24">
        <f t="shared" si="2"/>
        <v>-12.567021745013141</v>
      </c>
      <c r="M19" s="50">
        <v>0.92021266647408195</v>
      </c>
      <c r="N19" s="51">
        <v>12</v>
      </c>
      <c r="O19" s="14">
        <f t="shared" si="3"/>
        <v>1.2375502553980233</v>
      </c>
      <c r="P19" s="14">
        <f t="shared" si="4"/>
        <v>0.40777149009320723</v>
      </c>
      <c r="Q19" s="14">
        <f t="shared" si="5"/>
        <v>0.58955375373932384</v>
      </c>
      <c r="R19" s="14">
        <f t="shared" si="6"/>
        <v>0.5670217450131414</v>
      </c>
    </row>
    <row r="20" spans="1:19" ht="15.75" customHeight="1">
      <c r="A20" s="52" t="s">
        <v>158</v>
      </c>
      <c r="B20" s="52" t="s">
        <v>159</v>
      </c>
      <c r="C20" s="53">
        <v>-0.52933561621154601</v>
      </c>
      <c r="D20" s="53">
        <v>-0.46867514086269602</v>
      </c>
      <c r="E20" s="54">
        <f t="shared" si="7"/>
        <v>-14.403963186978864</v>
      </c>
      <c r="F20" s="54">
        <f t="shared" si="7"/>
        <v>-12.753306728071166</v>
      </c>
      <c r="G20" s="55">
        <v>0.91075999586844003</v>
      </c>
      <c r="H20" s="53">
        <v>-0.49029139873676397</v>
      </c>
      <c r="I20" s="54">
        <f t="shared" si="1"/>
        <v>-13.341515367585579</v>
      </c>
      <c r="J20" s="55">
        <v>0.92540050050173694</v>
      </c>
      <c r="K20" s="53">
        <v>-0.487394813277924</v>
      </c>
      <c r="L20" s="54">
        <f t="shared" si="2"/>
        <v>-13.262695222030901</v>
      </c>
      <c r="M20" s="55">
        <v>0.92337807223752699</v>
      </c>
      <c r="N20" s="56">
        <v>13.1</v>
      </c>
      <c r="O20" s="53">
        <f t="shared" si="3"/>
        <v>1.3039631869788639</v>
      </c>
      <c r="P20" s="53">
        <f t="shared" si="4"/>
        <v>-0.34669327192883337</v>
      </c>
      <c r="Q20" s="53">
        <f t="shared" si="5"/>
        <v>0.24151536758557945</v>
      </c>
      <c r="R20" s="53">
        <f t="shared" si="6"/>
        <v>0.16269522203090148</v>
      </c>
      <c r="S20" s="1"/>
    </row>
    <row r="21" spans="1:19" ht="15.75" customHeight="1">
      <c r="A21" s="1" t="s">
        <v>48</v>
      </c>
      <c r="B21" s="1" t="s">
        <v>160</v>
      </c>
      <c r="C21" s="14">
        <v>-0.301388058846012</v>
      </c>
      <c r="D21" s="14">
        <v>-0.293882489102327</v>
      </c>
      <c r="E21" s="24">
        <f t="shared" si="7"/>
        <v>-8.2011910244823714</v>
      </c>
      <c r="F21" s="24">
        <f t="shared" si="7"/>
        <v>-7.9969539639590614</v>
      </c>
      <c r="G21" s="50">
        <v>0.92227104888320099</v>
      </c>
      <c r="H21" s="14">
        <v>-0.28875900714835101</v>
      </c>
      <c r="I21" s="24">
        <f t="shared" si="1"/>
        <v>-7.8575368471166387</v>
      </c>
      <c r="J21" s="50">
        <v>0.91740558144249496</v>
      </c>
      <c r="K21" s="14">
        <v>-0.28885796988277401</v>
      </c>
      <c r="L21" s="24">
        <f t="shared" si="2"/>
        <v>-7.8602297616681174</v>
      </c>
      <c r="M21" s="50">
        <v>0.91750399764034696</v>
      </c>
      <c r="N21" s="51">
        <v>7.9</v>
      </c>
      <c r="O21" s="14">
        <f t="shared" si="3"/>
        <v>0.30119102448237101</v>
      </c>
      <c r="P21" s="14">
        <f t="shared" si="4"/>
        <v>9.6953963959061085E-2</v>
      </c>
      <c r="Q21" s="14">
        <f t="shared" si="5"/>
        <v>-4.2463152883361666E-2</v>
      </c>
      <c r="R21" s="14">
        <f t="shared" si="6"/>
        <v>-3.9770238331882979E-2</v>
      </c>
    </row>
    <row r="22" spans="1:19" ht="15.75" customHeight="1">
      <c r="A22" s="1" t="s">
        <v>45</v>
      </c>
      <c r="B22" s="1" t="s">
        <v>161</v>
      </c>
      <c r="C22" s="14">
        <v>-0.18183310070153599</v>
      </c>
      <c r="D22" s="14">
        <v>-0.19125958286689901</v>
      </c>
      <c r="E22" s="24">
        <f t="shared" si="7"/>
        <v>-4.947933236429777</v>
      </c>
      <c r="F22" s="24">
        <f t="shared" si="7"/>
        <v>-5.2044410132243355</v>
      </c>
      <c r="G22" s="50">
        <v>0.92480770612253105</v>
      </c>
      <c r="H22" s="14">
        <v>-0.18674218121782199</v>
      </c>
      <c r="I22" s="24">
        <f t="shared" si="1"/>
        <v>-5.0815161899906416</v>
      </c>
      <c r="J22" s="50">
        <v>0.89579825113091704</v>
      </c>
      <c r="K22" s="14">
        <v>-0.18696451197564501</v>
      </c>
      <c r="L22" s="24">
        <f t="shared" si="2"/>
        <v>-5.087566121174067</v>
      </c>
      <c r="M22" s="50">
        <v>0.89716090071062404</v>
      </c>
      <c r="N22" s="51">
        <v>4.7300000000000004</v>
      </c>
      <c r="O22" s="14">
        <f t="shared" si="3"/>
        <v>0.21793323642977658</v>
      </c>
      <c r="P22" s="14">
        <f t="shared" si="4"/>
        <v>0.47444101322433507</v>
      </c>
      <c r="Q22" s="14">
        <f t="shared" si="5"/>
        <v>0.35151618999064116</v>
      </c>
      <c r="R22" s="14">
        <f t="shared" si="6"/>
        <v>0.35756612117406661</v>
      </c>
    </row>
    <row r="23" spans="1:19" ht="15.75" customHeight="1">
      <c r="A23" s="1" t="s">
        <v>162</v>
      </c>
      <c r="B23" s="1" t="s">
        <v>163</v>
      </c>
      <c r="C23" s="14">
        <v>-0.47369632481448198</v>
      </c>
      <c r="D23" s="14">
        <v>-0.35851055038395402</v>
      </c>
      <c r="E23" s="24">
        <f t="shared" si="7"/>
        <v>-12.889940173056795</v>
      </c>
      <c r="F23" s="24">
        <f t="shared" si="7"/>
        <v>-9.7555739907179273</v>
      </c>
      <c r="G23" s="50">
        <v>0.86343308136749997</v>
      </c>
      <c r="H23" s="14">
        <v>-0.43291099434303398</v>
      </c>
      <c r="I23" s="24">
        <f t="shared" si="1"/>
        <v>-11.780114231466035</v>
      </c>
      <c r="J23" s="50">
        <v>0.96597664977674802</v>
      </c>
      <c r="K23" s="14">
        <v>-0.42037826486410201</v>
      </c>
      <c r="L23" s="24">
        <f t="shared" si="2"/>
        <v>-11.439081116523026</v>
      </c>
      <c r="M23" s="50">
        <v>0.94489730277275097</v>
      </c>
      <c r="N23" s="51">
        <v>11.3</v>
      </c>
      <c r="O23" s="14">
        <f t="shared" si="3"/>
        <v>1.5899401730567941</v>
      </c>
      <c r="P23" s="14">
        <f t="shared" si="4"/>
        <v>-1.5444260092820734</v>
      </c>
      <c r="Q23" s="14">
        <f t="shared" si="5"/>
        <v>0.48011423146603427</v>
      </c>
      <c r="R23" s="14">
        <f t="shared" si="6"/>
        <v>0.13908111652302502</v>
      </c>
    </row>
    <row r="24" spans="1:19" ht="15.75" customHeight="1">
      <c r="A24" s="1" t="s">
        <v>164</v>
      </c>
      <c r="B24" s="1" t="s">
        <v>165</v>
      </c>
      <c r="C24" s="14">
        <v>-0.84572301635812397</v>
      </c>
      <c r="D24" s="14">
        <v>-0.739411117524716</v>
      </c>
      <c r="E24" s="24">
        <f t="shared" si="7"/>
        <v>-23.013307287327457</v>
      </c>
      <c r="F24" s="24">
        <f t="shared" si="7"/>
        <v>-20.120411683412058</v>
      </c>
      <c r="G24" s="50">
        <v>0.92284110497563898</v>
      </c>
      <c r="H24" s="14">
        <v>-0.78047657823727501</v>
      </c>
      <c r="I24" s="24">
        <f t="shared" si="1"/>
        <v>-21.237860361045787</v>
      </c>
      <c r="J24" s="50">
        <v>0.947550320061468</v>
      </c>
      <c r="K24" s="14">
        <v>-0.775456473966052</v>
      </c>
      <c r="L24" s="24">
        <f t="shared" si="2"/>
        <v>-21.101256295679828</v>
      </c>
      <c r="M24" s="50">
        <v>0.94439016629632899</v>
      </c>
      <c r="N24" s="51">
        <v>21.56</v>
      </c>
      <c r="O24" s="14">
        <f t="shared" si="3"/>
        <v>1.4533072873274584</v>
      </c>
      <c r="P24" s="14">
        <f t="shared" si="4"/>
        <v>-1.4395883165879404</v>
      </c>
      <c r="Q24" s="14">
        <f t="shared" si="5"/>
        <v>-0.32213963895421216</v>
      </c>
      <c r="R24" s="14">
        <f t="shared" si="6"/>
        <v>-0.45874370432017031</v>
      </c>
    </row>
    <row r="25" spans="1:19" ht="15.75" customHeight="1">
      <c r="A25" s="1" t="s">
        <v>166</v>
      </c>
      <c r="B25" s="1" t="s">
        <v>167</v>
      </c>
      <c r="C25" s="14">
        <v>-0.49846587680777199</v>
      </c>
      <c r="D25" s="14">
        <v>-0.48693496063828101</v>
      </c>
      <c r="E25" s="24">
        <f t="shared" si="7"/>
        <v>-13.563954360167008</v>
      </c>
      <c r="F25" s="24">
        <f t="shared" si="7"/>
        <v>-13.250181987912521</v>
      </c>
      <c r="G25" s="50">
        <v>0.93931214098567395</v>
      </c>
      <c r="H25" s="14">
        <v>-0.48252267250090303</v>
      </c>
      <c r="I25" s="24">
        <f t="shared" si="1"/>
        <v>-13.130117450491074</v>
      </c>
      <c r="J25" s="50">
        <v>0.93102898675532697</v>
      </c>
      <c r="K25" s="14">
        <v>-0.482841195110077</v>
      </c>
      <c r="L25" s="24">
        <f t="shared" si="2"/>
        <v>-13.13878489661835</v>
      </c>
      <c r="M25" s="50">
        <v>0.93162107972402997</v>
      </c>
      <c r="N25" s="51">
        <v>12.03</v>
      </c>
      <c r="O25" s="14">
        <f t="shared" si="3"/>
        <v>1.5339543601670087</v>
      </c>
      <c r="P25" s="14">
        <f t="shared" si="4"/>
        <v>1.2201819879125217</v>
      </c>
      <c r="Q25" s="14">
        <f t="shared" si="5"/>
        <v>1.1001174504910747</v>
      </c>
      <c r="R25" s="14">
        <f t="shared" si="6"/>
        <v>1.1087848966183511</v>
      </c>
    </row>
    <row r="26" spans="1:19" ht="15.75" customHeight="1">
      <c r="A26" s="1" t="s">
        <v>168</v>
      </c>
      <c r="B26" s="1" t="s">
        <v>160</v>
      </c>
      <c r="C26" s="14">
        <v>-0.40438879967010799</v>
      </c>
      <c r="D26" s="14">
        <v>-0.40502139114966701</v>
      </c>
      <c r="E26" s="24">
        <f t="shared" si="7"/>
        <v>-11.003985383343178</v>
      </c>
      <c r="F26" s="24">
        <f t="shared" si="7"/>
        <v>-11.02119908313005</v>
      </c>
      <c r="G26" s="50">
        <v>0.93978562324903203</v>
      </c>
      <c r="H26" s="14">
        <v>-0.40254813262836803</v>
      </c>
      <c r="I26" s="24">
        <f t="shared" si="1"/>
        <v>-10.953898256203574</v>
      </c>
      <c r="J26" s="50">
        <v>0.93166404494676802</v>
      </c>
      <c r="K26" s="14">
        <v>-0.40275685641931702</v>
      </c>
      <c r="L26" s="24">
        <f t="shared" si="2"/>
        <v>-10.959577922768604</v>
      </c>
      <c r="M26" s="50">
        <v>0.93234416569039402</v>
      </c>
      <c r="N26" s="51">
        <v>11</v>
      </c>
      <c r="O26" s="14">
        <f t="shared" si="3"/>
        <v>3.985383343177773E-3</v>
      </c>
      <c r="P26" s="14">
        <f t="shared" si="4"/>
        <v>2.1199083130049701E-2</v>
      </c>
      <c r="Q26" s="14">
        <f t="shared" si="5"/>
        <v>-4.6101743796425509E-2</v>
      </c>
      <c r="R26" s="14">
        <f t="shared" si="6"/>
        <v>-4.0422077231395903E-2</v>
      </c>
    </row>
    <row r="27" spans="1:19" ht="15.75" customHeight="1">
      <c r="A27" s="1" t="s">
        <v>169</v>
      </c>
      <c r="B27" s="1" t="s">
        <v>170</v>
      </c>
      <c r="C27" s="14">
        <v>-0.40199567748076898</v>
      </c>
      <c r="D27" s="14">
        <v>-0.38996438608981898</v>
      </c>
      <c r="E27" s="24">
        <f t="shared" si="7"/>
        <v>-10.938865178200198</v>
      </c>
      <c r="F27" s="24">
        <f t="shared" si="7"/>
        <v>-10.6114768956445</v>
      </c>
      <c r="G27" s="50">
        <v>0.87630415934816097</v>
      </c>
      <c r="H27" s="14">
        <v>-0.41266481080027101</v>
      </c>
      <c r="I27" s="24">
        <f t="shared" si="1"/>
        <v>-11.229187232610496</v>
      </c>
      <c r="J27" s="50">
        <v>0.89549147409513896</v>
      </c>
      <c r="K27" s="14">
        <v>-0.40906568562771101</v>
      </c>
      <c r="L27" s="24">
        <f t="shared" si="2"/>
        <v>-11.131249997889896</v>
      </c>
      <c r="M27" s="50">
        <v>0.89233065448029902</v>
      </c>
      <c r="N27" s="51">
        <v>10.72</v>
      </c>
      <c r="O27" s="14">
        <f t="shared" si="3"/>
        <v>0.21886517820019691</v>
      </c>
      <c r="P27" s="14">
        <f t="shared" si="4"/>
        <v>-0.10852310435550017</v>
      </c>
      <c r="Q27" s="14">
        <f t="shared" si="5"/>
        <v>0.50918723261049514</v>
      </c>
      <c r="R27" s="14">
        <f t="shared" si="6"/>
        <v>0.41124999788989491</v>
      </c>
    </row>
    <row r="28" spans="1:19" ht="15.75" customHeight="1">
      <c r="A28" s="1" t="s">
        <v>171</v>
      </c>
      <c r="B28" s="1" t="s">
        <v>172</v>
      </c>
      <c r="C28" s="14">
        <v>-0.48586000000000001</v>
      </c>
      <c r="D28" s="14">
        <v>-0.38063000000000002</v>
      </c>
      <c r="E28" s="24">
        <f t="shared" si="7"/>
        <v>-13.220930804000002</v>
      </c>
      <c r="F28" s="24">
        <f t="shared" si="7"/>
        <v>-10.357475182000002</v>
      </c>
      <c r="G28" s="50">
        <v>0.876</v>
      </c>
      <c r="H28" s="14">
        <v>-0.42126000000000002</v>
      </c>
      <c r="I28" s="24">
        <f t="shared" si="1"/>
        <v>-11.463074364000001</v>
      </c>
      <c r="J28" s="50">
        <v>0.90200000000000002</v>
      </c>
      <c r="K28" s="14">
        <v>-0.41431000000000001</v>
      </c>
      <c r="L28" s="24">
        <f t="shared" si="2"/>
        <v>-11.273955134000001</v>
      </c>
      <c r="M28" s="50">
        <v>0.89600000000000002</v>
      </c>
      <c r="N28" s="51">
        <v>11.7</v>
      </c>
      <c r="O28" s="14">
        <f t="shared" si="3"/>
        <v>1.5209308040000025</v>
      </c>
      <c r="P28" s="14">
        <f t="shared" si="4"/>
        <v>-1.3425248179999976</v>
      </c>
      <c r="Q28" s="14">
        <f t="shared" si="5"/>
        <v>-0.23692563599999872</v>
      </c>
      <c r="R28" s="14">
        <f t="shared" si="6"/>
        <v>-0.42604486599999802</v>
      </c>
    </row>
    <row r="29" spans="1:19" ht="15.75" customHeight="1">
      <c r="A29" s="1" t="s">
        <v>173</v>
      </c>
      <c r="B29" s="1" t="s">
        <v>174</v>
      </c>
      <c r="C29" s="14">
        <v>-0.90763022481943301</v>
      </c>
      <c r="D29" s="14">
        <v>-0.89171912645116502</v>
      </c>
      <c r="E29" s="24">
        <f t="shared" si="7"/>
        <v>-24.697889099651519</v>
      </c>
      <c r="F29" s="24">
        <f t="shared" si="7"/>
        <v>-24.264925837513232</v>
      </c>
      <c r="G29" s="50">
        <v>0.967471902739797</v>
      </c>
      <c r="H29" s="14">
        <v>-0.886573666889518</v>
      </c>
      <c r="I29" s="24">
        <f t="shared" si="1"/>
        <v>-24.124910679197431</v>
      </c>
      <c r="J29" s="50">
        <v>0.99359753834848197</v>
      </c>
      <c r="K29" s="14">
        <v>-0.88660292450106604</v>
      </c>
      <c r="L29" s="24">
        <f t="shared" si="2"/>
        <v>-24.125706819768311</v>
      </c>
      <c r="M29" s="50">
        <v>0.96410876546423496</v>
      </c>
      <c r="N29" s="51">
        <v>24.59</v>
      </c>
      <c r="O29" s="14">
        <f t="shared" si="3"/>
        <v>0.10788909965151916</v>
      </c>
      <c r="P29" s="14">
        <f t="shared" si="4"/>
        <v>-0.3250741624867679</v>
      </c>
      <c r="Q29" s="14">
        <f t="shared" si="5"/>
        <v>-0.46508932080256926</v>
      </c>
      <c r="R29" s="14">
        <f t="shared" si="6"/>
        <v>-0.46429318023168875</v>
      </c>
    </row>
    <row r="30" spans="1:19" ht="15.75" customHeight="1">
      <c r="A30" s="1" t="s">
        <v>175</v>
      </c>
      <c r="B30" s="1" t="s">
        <v>172</v>
      </c>
      <c r="C30" s="14">
        <v>-0.39132</v>
      </c>
      <c r="D30" s="14">
        <v>-0.33089000000000002</v>
      </c>
      <c r="E30" s="24">
        <f t="shared" si="7"/>
        <v>-10.648365048</v>
      </c>
      <c r="F30" s="24">
        <f t="shared" si="7"/>
        <v>-9.0039801460000017</v>
      </c>
      <c r="G30" s="50">
        <v>0.89400000000000002</v>
      </c>
      <c r="H30" s="14">
        <v>-0.35319275623478102</v>
      </c>
      <c r="I30" s="24">
        <f t="shared" si="1"/>
        <v>-9.6108693670071208</v>
      </c>
      <c r="J30" s="50">
        <v>0.91097191731298799</v>
      </c>
      <c r="K30" s="14">
        <v>-0.34979767798070999</v>
      </c>
      <c r="L30" s="24">
        <f t="shared" si="2"/>
        <v>-9.5184845346042923</v>
      </c>
      <c r="M30" s="50">
        <v>0.90830689231790696</v>
      </c>
      <c r="N30" s="51">
        <v>8.89</v>
      </c>
      <c r="O30" s="14">
        <f t="shared" si="3"/>
        <v>1.7583650479999999</v>
      </c>
      <c r="P30" s="14">
        <f t="shared" si="4"/>
        <v>0.11398014600000117</v>
      </c>
      <c r="Q30" s="14">
        <f t="shared" si="5"/>
        <v>0.72086936700712023</v>
      </c>
      <c r="R30" s="14">
        <f t="shared" si="6"/>
        <v>0.62848453460429177</v>
      </c>
    </row>
    <row r="31" spans="1:19" ht="15.75" customHeight="1">
      <c r="A31" s="1" t="s">
        <v>176</v>
      </c>
      <c r="B31" s="1" t="s">
        <v>177</v>
      </c>
      <c r="C31" s="14">
        <v>-0.42166409534322502</v>
      </c>
      <c r="D31" s="14">
        <v>-0.40403083567829001</v>
      </c>
      <c r="E31" s="24">
        <f t="shared" si="7"/>
        <v>-11.474070364022634</v>
      </c>
      <c r="F31" s="24">
        <f t="shared" si="7"/>
        <v>-10.994244681976221</v>
      </c>
      <c r="G31" s="14">
        <v>0.88144823109125703</v>
      </c>
      <c r="H31" s="14">
        <v>-0.41789510543324998</v>
      </c>
      <c r="I31" s="24">
        <f t="shared" si="1"/>
        <v>-11.37151087198634</v>
      </c>
      <c r="J31" s="14">
        <v>0.88912127216083403</v>
      </c>
      <c r="K31" s="14">
        <v>-0.41565223247133198</v>
      </c>
      <c r="L31" s="24">
        <f t="shared" si="2"/>
        <v>-11.310479158670404</v>
      </c>
      <c r="M31" s="14">
        <v>0.88787017373579902</v>
      </c>
      <c r="N31" s="57">
        <v>12.54</v>
      </c>
      <c r="O31" s="14">
        <f t="shared" si="3"/>
        <v>-1.0659296359773656</v>
      </c>
      <c r="P31" s="14">
        <f t="shared" si="4"/>
        <v>-1.5457553180237777</v>
      </c>
      <c r="Q31" s="14">
        <f t="shared" si="5"/>
        <v>-1.1684891280136593</v>
      </c>
      <c r="R31" s="14">
        <f t="shared" si="6"/>
        <v>-1.2295208413295953</v>
      </c>
    </row>
    <row r="32" spans="1:19" ht="15.75" customHeight="1">
      <c r="A32" s="1" t="s">
        <v>178</v>
      </c>
      <c r="B32" s="1" t="s">
        <v>179</v>
      </c>
      <c r="C32" s="14">
        <v>-0.47205869784836302</v>
      </c>
      <c r="D32" s="14">
        <v>-0.44881888969012101</v>
      </c>
      <c r="E32" s="24">
        <f t="shared" si="7"/>
        <v>-12.845378050630947</v>
      </c>
      <c r="F32" s="24">
        <f t="shared" si="7"/>
        <v>-12.21299033491376</v>
      </c>
      <c r="G32" s="14">
        <v>0.92436596344869304</v>
      </c>
      <c r="H32" s="14">
        <v>-0.44614173476082702</v>
      </c>
      <c r="I32" s="24">
        <f t="shared" si="1"/>
        <v>-12.140141201270769</v>
      </c>
      <c r="J32" s="14">
        <v>0.91616490752396595</v>
      </c>
      <c r="K32" s="14">
        <v>-0.44640335228896399</v>
      </c>
      <c r="L32" s="24">
        <f t="shared" si="2"/>
        <v>-12.147260180475916</v>
      </c>
      <c r="M32" s="14">
        <v>0.91696040422220404</v>
      </c>
      <c r="N32" s="57">
        <v>11.9</v>
      </c>
      <c r="O32" s="14">
        <f t="shared" si="3"/>
        <v>0.94537805063094638</v>
      </c>
      <c r="P32" s="14">
        <f t="shared" si="4"/>
        <v>0.31299033491375994</v>
      </c>
      <c r="Q32" s="14">
        <f t="shared" si="5"/>
        <v>0.24014120127076843</v>
      </c>
      <c r="R32" s="14">
        <f t="shared" si="6"/>
        <v>0.2472601804759158</v>
      </c>
    </row>
    <row r="33" spans="1:18" ht="15.75" customHeight="1">
      <c r="A33" s="1" t="s">
        <v>180</v>
      </c>
      <c r="B33" s="1" t="s">
        <v>160</v>
      </c>
      <c r="C33" s="14">
        <v>-0.594260441940616</v>
      </c>
      <c r="D33" s="14">
        <v>-0.59950337095481498</v>
      </c>
      <c r="E33" s="24">
        <f t="shared" si="7"/>
        <v>-16.170658589822878</v>
      </c>
      <c r="F33" s="24">
        <f t="shared" si="7"/>
        <v>-16.313326028399853</v>
      </c>
      <c r="G33" s="14">
        <v>0.965229819006585</v>
      </c>
      <c r="H33" s="14">
        <v>-0.59638005368041103</v>
      </c>
      <c r="I33" s="24">
        <f t="shared" si="1"/>
        <v>-16.228336192719137</v>
      </c>
      <c r="J33" s="14">
        <v>0.96114442141986201</v>
      </c>
      <c r="K33" s="14">
        <v>-0.59646365077593699</v>
      </c>
      <c r="L33" s="24">
        <f t="shared" si="2"/>
        <v>-16.230610986724333</v>
      </c>
      <c r="M33" s="14">
        <v>0.961253134574511</v>
      </c>
      <c r="N33" s="57">
        <v>15.43</v>
      </c>
      <c r="O33" s="14">
        <f t="shared" si="3"/>
        <v>0.74065858982287835</v>
      </c>
      <c r="P33" s="14">
        <f t="shared" si="4"/>
        <v>0.88332602839985341</v>
      </c>
      <c r="Q33" s="14">
        <f t="shared" si="5"/>
        <v>0.79833619271913747</v>
      </c>
      <c r="R33" s="14">
        <f t="shared" si="6"/>
        <v>0.80061098672433317</v>
      </c>
    </row>
    <row r="34" spans="1:18" ht="15.75" customHeight="1">
      <c r="A34" s="1" t="s">
        <v>181</v>
      </c>
      <c r="B34" s="1" t="s">
        <v>182</v>
      </c>
      <c r="C34" s="14">
        <v>-0.38829401045059497</v>
      </c>
      <c r="D34" s="14">
        <v>-0.38155106231428898</v>
      </c>
      <c r="E34" s="24">
        <f t="shared" ref="E34:F36" si="8">C34*27.2114</f>
        <v>-10.56602363597532</v>
      </c>
      <c r="F34" s="24">
        <f t="shared" si="8"/>
        <v>-10.382538577059044</v>
      </c>
      <c r="G34" s="14">
        <v>0.92624583913292502</v>
      </c>
      <c r="H34" s="14">
        <v>-0.38010357965862701</v>
      </c>
      <c r="I34" s="24">
        <f t="shared" si="1"/>
        <v>-10.343150547522763</v>
      </c>
      <c r="J34" s="14">
        <v>0.91918436358497901</v>
      </c>
      <c r="K34" s="14">
        <v>-0.38025057412692398</v>
      </c>
      <c r="L34" s="24">
        <f t="shared" si="2"/>
        <v>-10.347150472797379</v>
      </c>
      <c r="M34" s="14">
        <v>0.91989886117655995</v>
      </c>
      <c r="N34" s="57">
        <v>10.59</v>
      </c>
      <c r="O34" s="14">
        <f t="shared" si="3"/>
        <v>-2.3976364024679953E-2</v>
      </c>
      <c r="P34" s="14">
        <f t="shared" si="4"/>
        <v>-0.20746142294095549</v>
      </c>
      <c r="Q34" s="14">
        <f t="shared" si="5"/>
        <v>-0.24684945247723711</v>
      </c>
      <c r="R34" s="14">
        <f t="shared" si="6"/>
        <v>-0.24284952720262076</v>
      </c>
    </row>
    <row r="35" spans="1:18" ht="15.75" customHeight="1">
      <c r="A35" s="1" t="s">
        <v>183</v>
      </c>
      <c r="B35" s="1" t="s">
        <v>184</v>
      </c>
      <c r="C35" s="58">
        <v>-0.370254425218771</v>
      </c>
      <c r="D35" s="58">
        <v>-0.386842904077211</v>
      </c>
      <c r="E35" s="24">
        <f t="shared" si="8"/>
        <v>-10.075141266398065</v>
      </c>
      <c r="F35" s="24">
        <f t="shared" si="8"/>
        <v>-10.52653700000662</v>
      </c>
      <c r="G35" s="59">
        <v>0.90270527434703995</v>
      </c>
      <c r="H35" s="58">
        <v>-0.38786439205068801</v>
      </c>
      <c r="I35" s="24">
        <f t="shared" si="1"/>
        <v>-10.554333117848092</v>
      </c>
      <c r="J35" s="59">
        <v>0.89960648861233705</v>
      </c>
      <c r="K35" s="58">
        <v>-0.387754058574593</v>
      </c>
      <c r="L35" s="24">
        <f t="shared" si="2"/>
        <v>-10.55133078949668</v>
      </c>
      <c r="M35" s="50">
        <v>0.89994306802773505</v>
      </c>
      <c r="N35" s="51">
        <v>10.62</v>
      </c>
      <c r="O35" s="14">
        <f t="shared" si="3"/>
        <v>-0.54485873360193438</v>
      </c>
      <c r="P35" s="14">
        <f t="shared" si="4"/>
        <v>-9.346299999337937E-2</v>
      </c>
      <c r="Q35" s="14">
        <f t="shared" si="5"/>
        <v>-6.5666882151907302E-2</v>
      </c>
      <c r="R35" s="14">
        <f t="shared" si="6"/>
        <v>-6.8669210503319533E-2</v>
      </c>
    </row>
    <row r="36" spans="1:18" ht="15.75" customHeight="1">
      <c r="A36" s="1" t="s">
        <v>185</v>
      </c>
      <c r="B36" s="1" t="s">
        <v>160</v>
      </c>
      <c r="C36" s="58">
        <v>-0.48428412384408198</v>
      </c>
      <c r="D36" s="58">
        <v>-0.40454902783713398</v>
      </c>
      <c r="E36" s="24">
        <f t="shared" si="8"/>
        <v>-13.178049007570854</v>
      </c>
      <c r="F36" s="24">
        <f t="shared" si="8"/>
        <v>-11.008345416087389</v>
      </c>
      <c r="G36" s="59">
        <v>0.83578660086851597</v>
      </c>
      <c r="H36" s="58">
        <v>-0.46298873184807299</v>
      </c>
      <c r="I36" s="24">
        <f t="shared" si="1"/>
        <v>-12.598571577810654</v>
      </c>
      <c r="J36" s="59">
        <v>0.92113579176446903</v>
      </c>
      <c r="K36" s="58">
        <v>-0.44852512584488302</v>
      </c>
      <c r="L36" s="24">
        <f t="shared" si="2"/>
        <v>-12.204996609415451</v>
      </c>
      <c r="M36" s="50">
        <v>0.89641591178842905</v>
      </c>
      <c r="N36" s="51">
        <v>11.88</v>
      </c>
      <c r="O36" s="14">
        <f t="shared" si="3"/>
        <v>1.2980490075708531</v>
      </c>
      <c r="P36" s="14">
        <f t="shared" si="4"/>
        <v>-0.87165458391261197</v>
      </c>
      <c r="Q36" s="14">
        <f t="shared" si="5"/>
        <v>0.71857157781065339</v>
      </c>
      <c r="R36" s="14">
        <f t="shared" si="6"/>
        <v>0.32499660941545017</v>
      </c>
    </row>
    <row r="38" spans="1:18" ht="15.75" customHeight="1">
      <c r="N38" s="1" t="s">
        <v>5</v>
      </c>
      <c r="O38" s="14">
        <f ca="1">IFERROR(__xludf.DUMMYFUNCTION("ARRAYFORMULA(SUM(FILTER(O2:O36, ROW(O2:O36)&lt;&gt;3, ROW(O2:O36)&lt;&gt;4)) / (ROWS(O2:O36)-2))"),0.815058378964611)</f>
        <v>0.81505837896461097</v>
      </c>
      <c r="P38" s="14">
        <f ca="1">IFERROR(__xludf.DUMMYFUNCTION("ARRAYFORMULA(SUM(FILTER(P2:P36, ROW(P2:P36)&lt;&gt;3, ROW(P2:P36)&lt;&gt;4)) / (ROWS(P2:P36)-2))"),-0.400333474541741)</f>
        <v>-0.40033347454174101</v>
      </c>
      <c r="Q38" s="14">
        <f ca="1">IFERROR(__xludf.DUMMYFUNCTION("ARRAYFORMULA(SUM(FILTER(Q2:Q36, ROW(Q2:Q36)&lt;&gt;3, ROW(Q2:Q36)&lt;&gt;4)) / (ROWS(Q2:Q36)-2))"),0.201972922884059)</f>
        <v>0.20197292288405899</v>
      </c>
      <c r="R38" s="14">
        <f ca="1">IFERROR(__xludf.DUMMYFUNCTION("ARRAYFORMULA(SUM(FILTER(R2:R36, ROW(R2:R36)&lt;&gt;3, ROW(R2:R36)&lt;&gt;4)) / (ROWS(R2:R36)-2))"),0.0936191033998893)</f>
        <v>9.3619103399889297E-2</v>
      </c>
    </row>
    <row r="39" spans="1:18" ht="15.75" customHeight="1">
      <c r="N39" s="9" t="s">
        <v>6</v>
      </c>
      <c r="O39" s="31">
        <f ca="1">IFERROR(__xludf.DUMMYFUNCTION("ARRAYFORMULA(SUM(ABS(FILTER(O2:O36, ROW(O2:O36)&lt;&gt;3, ROW(O2:O36)&lt;&gt;4))) / (ROWS(O2:O36)-2))"),0.970558943529657)</f>
        <v>0.97055894352965699</v>
      </c>
      <c r="P39" s="31">
        <f ca="1">IFERROR(__xludf.DUMMYFUNCTION("ARRAYFORMULA(SUM(ABS(FILTER(P2:P36, ROW(P2:P36)&lt;&gt;3, ROW(P2:P36)&lt;&gt;4))) / (ROWS(P2:P36)-2))"),0.650865105651796)</f>
        <v>0.65086510565179601</v>
      </c>
      <c r="Q39" s="31">
        <f ca="1">IFERROR(__xludf.DUMMYFUNCTION("ARRAYFORMULA(SUM(ABS(FILTER(Q2:Q36, ROW(Q2:Q36)&lt;&gt;3, ROW(Q2:Q36)&lt;&gt;4))) / (ROWS(Q2:Q36)-2))"),0.409667049122543)</f>
        <v>0.40966704912254298</v>
      </c>
      <c r="R39" s="31">
        <f ca="1">IFERROR(__xludf.DUMMYFUNCTION("ARRAYFORMULA(SUM(ABS(FILTER(R2:R36, ROW(R2:R36)&lt;&gt;3, ROW(R2:R36)&lt;&gt;4))) / (ROWS(R2:R36)-2))"),0.378980032697712)</f>
        <v>0.37898003269771202</v>
      </c>
    </row>
    <row r="40" spans="1:18" ht="15.75" customHeight="1">
      <c r="N40" s="9" t="s">
        <v>7</v>
      </c>
      <c r="O40" s="31">
        <f ca="1">IFERROR(__xludf.DUMMYFUNCTION("ARRAYFORMULA(sqrt(SUM(ABS(FILTER(O2:O36, ROW(O2:O36)&lt;&gt;3, ROW(O2:O36)&lt;&gt;4))^2) / (ROWS(O2:O36)-2)))"),1.14367053662466)</f>
        <v>1.14367053662466</v>
      </c>
      <c r="P40" s="31">
        <f ca="1">IFERROR(__xludf.DUMMYFUNCTION("ARRAYFORMULA(sqrt(SUM(ABS(FILTER(P2:P36, ROW(P2:P36)&lt;&gt;3, ROW(P2:P36)&lt;&gt;4))^2) / (ROWS(P2:P36)-2)))"),0.857000974767338)</f>
        <v>0.85700097476733805</v>
      </c>
      <c r="Q40" s="31">
        <f ca="1">IFERROR(__xludf.DUMMYFUNCTION("ARRAYFORMULA(sqrt(SUM(ABS(FILTER(Q2:Q36, ROW(Q2:Q36)&lt;&gt;3, ROW(Q2:Q36)&lt;&gt;4))^2) / (ROWS(Q2:Q36)-2)))"),0.512607199865353)</f>
        <v>0.51260719986535297</v>
      </c>
      <c r="R40" s="31">
        <f ca="1">IFERROR(__xludf.DUMMYFUNCTION("ARRAYFORMULA(sqrt(SUM(ABS(FILTER(R2:R36, ROW(R2:R36)&lt;&gt;3, ROW(R2:R36)&lt;&gt;4))^2) / (ROWS(R2:R36)-2)))"),0.473777650238518)</f>
        <v>0.47377765023851798</v>
      </c>
    </row>
    <row r="41" spans="1:18" ht="15.75" customHeight="1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5.75" customHeight="1">
      <c r="O43" s="1" t="s">
        <v>16</v>
      </c>
      <c r="P43" s="58">
        <f ca="1">IFERROR(__xludf.DUMMYFUNCTION("AVERAGE(FILTER(G2:G36, (ROW(G2:G36)&lt;&gt;3) * (ROW(G2:G36)&lt;&gt;4)))"),0.899720901345894)</f>
        <v>0.899720901345894</v>
      </c>
      <c r="Q43" s="58">
        <f ca="1">IFERROR(__xludf.DUMMYFUNCTION("AVERAGE(FILTER(J2:J36, (ROW(J2:J36)&lt;&gt;3) * (ROW(J2:J36)&lt;&gt;4)))"),0.918883185701217)</f>
        <v>0.91888318570121696</v>
      </c>
      <c r="R43" s="58">
        <f ca="1">IFERROR(__xludf.DUMMYFUNCTION("AVERAGE(FILTER(M2:M36, (ROW(M2:M36)&lt;&gt;3) * (ROW(M2:M36)&lt;&gt;4)))"),0.9137785999868)</f>
        <v>0.9137785999868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0B02-B52E-48AE-932C-CC120FF0605D}">
  <sheetPr>
    <outlinePr summaryBelow="0" summaryRight="0"/>
  </sheetPr>
  <dimension ref="A1:S43"/>
  <sheetViews>
    <sheetView topLeftCell="H17" zoomScale="85" zoomScaleNormal="85" workbookViewId="0">
      <selection activeCell="L39" sqref="L39"/>
    </sheetView>
  </sheetViews>
  <sheetFormatPr defaultColWidth="12.6640625" defaultRowHeight="15.75" customHeight="1"/>
  <cols>
    <col min="1" max="1" width="9.44140625" style="2" customWidth="1"/>
    <col min="2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3.8">
      <c r="A1" s="1" t="s">
        <v>36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186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3.8">
      <c r="A2" s="1" t="s">
        <v>128</v>
      </c>
      <c r="B2" s="1" t="s">
        <v>129</v>
      </c>
      <c r="C2" s="14">
        <v>-0.63291373620060598</v>
      </c>
      <c r="D2" s="14">
        <v>-0.55366481634307296</v>
      </c>
      <c r="E2" s="24">
        <f t="shared" ref="E2:F17" si="0">C2*27.2114</f>
        <v>-17.222468841249171</v>
      </c>
      <c r="F2" s="24">
        <f t="shared" si="0"/>
        <v>-15.065994783437896</v>
      </c>
      <c r="G2" s="50">
        <v>0.883871235312091</v>
      </c>
      <c r="H2" s="14">
        <v>-0.586359668010908</v>
      </c>
      <c r="I2" s="24">
        <f t="shared" ref="I2:I36" si="1">H2*27.2114</f>
        <v>-15.955667470112022</v>
      </c>
      <c r="J2" s="50">
        <v>0.90743297530886202</v>
      </c>
      <c r="K2" s="14">
        <v>-0.58027695829550296</v>
      </c>
      <c r="L2" s="24">
        <f t="shared" ref="L2:L36" si="2">K2*27.2114</f>
        <v>-15.79014842296225</v>
      </c>
      <c r="M2" s="50">
        <v>0.90284026469549605</v>
      </c>
      <c r="N2" s="51">
        <v>15.327</v>
      </c>
      <c r="O2" s="14">
        <f t="shared" ref="O2:O36" si="3">-E2-N2</f>
        <v>1.8954688412491709</v>
      </c>
      <c r="P2" s="14">
        <f t="shared" ref="P2:P36" si="4">-F2-N2</f>
        <v>-0.26100521656210418</v>
      </c>
      <c r="Q2" s="14">
        <f t="shared" ref="Q2:Q36" si="5">-I2-N2</f>
        <v>0.62866747011202229</v>
      </c>
      <c r="R2" s="14">
        <f t="shared" ref="R2:R36" si="6">-L2-N2</f>
        <v>0.46314842296225045</v>
      </c>
    </row>
    <row r="3" spans="1:18" ht="13.8">
      <c r="B3" s="1" t="s">
        <v>130</v>
      </c>
      <c r="C3" s="14">
        <v>-0.61194717172255597</v>
      </c>
      <c r="D3" s="14">
        <v>-0.63049395400230601</v>
      </c>
      <c r="E3" s="24">
        <f t="shared" si="0"/>
        <v>-16.651939268611159</v>
      </c>
      <c r="F3" s="24">
        <f t="shared" si="0"/>
        <v>-17.15662317993835</v>
      </c>
      <c r="G3" s="50">
        <v>0.91478261465574495</v>
      </c>
      <c r="H3" s="14">
        <v>-0.63598608255964595</v>
      </c>
      <c r="I3" s="24">
        <f t="shared" si="1"/>
        <v>-17.306071686963552</v>
      </c>
      <c r="J3" s="50">
        <v>0.91763346704191695</v>
      </c>
      <c r="K3" s="14">
        <v>-0.63542917101393703</v>
      </c>
      <c r="L3" s="24">
        <f t="shared" si="2"/>
        <v>-17.290917344128648</v>
      </c>
      <c r="M3" s="50">
        <v>0.91734303156617303</v>
      </c>
      <c r="N3" s="51">
        <v>17.050999999999998</v>
      </c>
      <c r="O3" s="14">
        <f t="shared" si="3"/>
        <v>-0.39906073138883968</v>
      </c>
      <c r="P3" s="14">
        <f t="shared" si="4"/>
        <v>0.1056231799383518</v>
      </c>
      <c r="Q3" s="14">
        <f t="shared" si="5"/>
        <v>0.25507168696355365</v>
      </c>
      <c r="R3" s="14">
        <f t="shared" si="6"/>
        <v>0.23991734412864929</v>
      </c>
    </row>
    <row r="4" spans="1:18" ht="13.8">
      <c r="B4" s="1" t="s">
        <v>131</v>
      </c>
      <c r="C4" s="14">
        <v>-0.77899786503320301</v>
      </c>
      <c r="D4" s="14">
        <v>-0.66792018201464798</v>
      </c>
      <c r="E4" s="24">
        <f t="shared" si="0"/>
        <v>-21.197622504564499</v>
      </c>
      <c r="F4" s="24">
        <f t="shared" si="0"/>
        <v>-18.175043240873393</v>
      </c>
      <c r="G4" s="50">
        <v>0.84752484836551001</v>
      </c>
      <c r="H4" s="14">
        <v>-0.70686410386753595</v>
      </c>
      <c r="I4" s="24">
        <f t="shared" si="1"/>
        <v>-19.234761875981068</v>
      </c>
      <c r="J4" s="50">
        <v>0.87860215727358104</v>
      </c>
      <c r="K4" s="14">
        <v>-0.69877654904167696</v>
      </c>
      <c r="L4" s="24">
        <f t="shared" si="2"/>
        <v>-19.014688186592689</v>
      </c>
      <c r="M4" s="50">
        <v>0.87168267728578097</v>
      </c>
      <c r="N4" s="51">
        <v>18.634</v>
      </c>
      <c r="O4" s="14">
        <f t="shared" si="3"/>
        <v>2.5636225045644991</v>
      </c>
      <c r="P4" s="14">
        <f t="shared" si="4"/>
        <v>-0.45895675912660749</v>
      </c>
      <c r="Q4" s="14">
        <f t="shared" si="5"/>
        <v>0.60076187598106756</v>
      </c>
      <c r="R4" s="14">
        <f t="shared" si="6"/>
        <v>0.38068818659268899</v>
      </c>
    </row>
    <row r="5" spans="1:18" ht="15.75" customHeight="1">
      <c r="A5" s="1" t="s">
        <v>132</v>
      </c>
      <c r="B5" s="1" t="s">
        <v>133</v>
      </c>
      <c r="C5" s="14">
        <v>-0.50316220047126603</v>
      </c>
      <c r="D5" s="14">
        <v>-0.41071833498654697</v>
      </c>
      <c r="E5" s="24">
        <f t="shared" si="0"/>
        <v>-13.69174790190381</v>
      </c>
      <c r="F5" s="24">
        <f t="shared" si="0"/>
        <v>-11.176220900652925</v>
      </c>
      <c r="G5" s="50">
        <v>0.88096802028606802</v>
      </c>
      <c r="H5" s="14">
        <v>-0.45463790622141398</v>
      </c>
      <c r="I5" s="24">
        <f t="shared" si="1"/>
        <v>-12.371333921353385</v>
      </c>
      <c r="J5" s="50">
        <v>0.92125434940150897</v>
      </c>
      <c r="K5" s="14">
        <v>-0.44720304610438</v>
      </c>
      <c r="L5" s="24">
        <f t="shared" si="2"/>
        <v>-12.169020968764727</v>
      </c>
      <c r="M5" s="50">
        <v>0.91386342862391701</v>
      </c>
      <c r="N5" s="60">
        <v>12.378</v>
      </c>
      <c r="O5" s="14">
        <f t="shared" si="3"/>
        <v>1.3137479019038096</v>
      </c>
      <c r="P5" s="14">
        <f t="shared" si="4"/>
        <v>-1.2017790993470747</v>
      </c>
      <c r="Q5" s="14">
        <f t="shared" si="5"/>
        <v>-6.6660786466155031E-3</v>
      </c>
      <c r="R5" s="14">
        <f t="shared" si="6"/>
        <v>-0.20897903123527328</v>
      </c>
    </row>
    <row r="6" spans="1:18" ht="15.75" customHeight="1">
      <c r="A6" s="1" t="s">
        <v>134</v>
      </c>
      <c r="B6" s="1" t="s">
        <v>135</v>
      </c>
      <c r="C6" s="14">
        <v>-0.55416253103326696</v>
      </c>
      <c r="D6" s="14">
        <v>-0.51634943744329598</v>
      </c>
      <c r="E6" s="24">
        <f t="shared" si="0"/>
        <v>-15.079538296958642</v>
      </c>
      <c r="F6" s="24">
        <f t="shared" si="0"/>
        <v>-14.050591082044505</v>
      </c>
      <c r="G6" s="50">
        <v>0.91299064917736295</v>
      </c>
      <c r="H6" s="14">
        <v>-0.52428277502684095</v>
      </c>
      <c r="I6" s="24">
        <f t="shared" si="1"/>
        <v>-14.266468304365381</v>
      </c>
      <c r="J6" s="50">
        <v>0.91196602128745696</v>
      </c>
      <c r="K6" s="14">
        <v>-0.52311417499011703</v>
      </c>
      <c r="L6" s="24">
        <f t="shared" si="2"/>
        <v>-14.234669061326072</v>
      </c>
      <c r="M6" s="50">
        <v>0.91213407232398303</v>
      </c>
      <c r="N6" s="60">
        <v>13.88</v>
      </c>
      <c r="O6" s="14">
        <f t="shared" si="3"/>
        <v>1.1995382969586412</v>
      </c>
      <c r="P6" s="14">
        <f t="shared" si="4"/>
        <v>0.17059108204450446</v>
      </c>
      <c r="Q6" s="14">
        <f t="shared" si="5"/>
        <v>0.38646830436537982</v>
      </c>
      <c r="R6" s="14">
        <f t="shared" si="6"/>
        <v>0.35466906132607079</v>
      </c>
    </row>
    <row r="7" spans="1:18" ht="15.75" customHeight="1">
      <c r="A7" s="1" t="s">
        <v>136</v>
      </c>
      <c r="B7" s="1" t="s">
        <v>137</v>
      </c>
      <c r="C7" s="14">
        <v>-0.42678556201080498</v>
      </c>
      <c r="D7" s="14">
        <v>-0.374126022212944</v>
      </c>
      <c r="E7" s="24">
        <f t="shared" si="0"/>
        <v>-11.613432642100818</v>
      </c>
      <c r="F7" s="24">
        <f t="shared" si="0"/>
        <v>-10.180492840845305</v>
      </c>
      <c r="G7" s="50">
        <v>0.89899093239603001</v>
      </c>
      <c r="H7" s="14">
        <v>-0.395360002816732</v>
      </c>
      <c r="I7" s="24">
        <f t="shared" si="1"/>
        <v>-10.758299180647223</v>
      </c>
      <c r="J7" s="50">
        <v>0.91860860427481394</v>
      </c>
      <c r="K7" s="14">
        <v>-0.39219086549731103</v>
      </c>
      <c r="L7" s="24">
        <f t="shared" si="2"/>
        <v>-10.672062517393529</v>
      </c>
      <c r="M7" s="50">
        <v>0.91555250748047401</v>
      </c>
      <c r="N7" s="60">
        <v>10.648</v>
      </c>
      <c r="O7" s="14">
        <f t="shared" si="3"/>
        <v>0.96543264210081858</v>
      </c>
      <c r="P7" s="14">
        <f t="shared" si="4"/>
        <v>-0.46750715915469421</v>
      </c>
      <c r="Q7" s="14">
        <f t="shared" si="5"/>
        <v>0.11029918064722288</v>
      </c>
      <c r="R7" s="14">
        <f t="shared" si="6"/>
        <v>2.4062517393529603E-2</v>
      </c>
    </row>
    <row r="8" spans="1:18" ht="15.75" customHeight="1">
      <c r="A8" s="1" t="s">
        <v>138</v>
      </c>
      <c r="B8" s="1" t="s">
        <v>139</v>
      </c>
      <c r="C8" s="14">
        <v>-0.66533287452835399</v>
      </c>
      <c r="D8" s="14">
        <v>-0.52241237894362302</v>
      </c>
      <c r="E8" s="24">
        <f t="shared" si="0"/>
        <v>-18.104638981940852</v>
      </c>
      <c r="F8" s="24">
        <f t="shared" si="0"/>
        <v>-14.215572208386504</v>
      </c>
      <c r="G8" s="50">
        <v>0.87066913431178905</v>
      </c>
      <c r="H8" s="14">
        <v>-0.57579180158934795</v>
      </c>
      <c r="I8" s="24">
        <f t="shared" si="1"/>
        <v>-15.668101029768383</v>
      </c>
      <c r="J8" s="50">
        <v>0.89828088608099599</v>
      </c>
      <c r="K8" s="14">
        <v>-0.56636853901711004</v>
      </c>
      <c r="L8" s="24">
        <f t="shared" si="2"/>
        <v>-15.411680862610188</v>
      </c>
      <c r="M8" s="50">
        <v>0.89318168413226695</v>
      </c>
      <c r="N8" s="60">
        <v>15.467000000000001</v>
      </c>
      <c r="O8" s="14">
        <f t="shared" si="3"/>
        <v>2.6376389819408512</v>
      </c>
      <c r="P8" s="14">
        <f t="shared" si="4"/>
        <v>-1.2514277916134962</v>
      </c>
      <c r="Q8" s="14">
        <f t="shared" si="5"/>
        <v>0.20110102976838284</v>
      </c>
      <c r="R8" s="14">
        <f t="shared" si="6"/>
        <v>-5.5319137389812312E-2</v>
      </c>
    </row>
    <row r="9" spans="1:18" ht="15.75" customHeight="1">
      <c r="A9" s="1" t="s">
        <v>140</v>
      </c>
      <c r="B9" s="1" t="s">
        <v>141</v>
      </c>
      <c r="C9" s="14">
        <v>-0.54976999999999998</v>
      </c>
      <c r="D9" s="14">
        <v>-0.41281000000000001</v>
      </c>
      <c r="E9" s="24">
        <f t="shared" si="0"/>
        <v>-14.960011378000001</v>
      </c>
      <c r="F9" s="24">
        <f t="shared" si="0"/>
        <v>-11.233138034000001</v>
      </c>
      <c r="G9" s="50">
        <v>0.81499999999999995</v>
      </c>
      <c r="H9" s="14">
        <v>-0.49931999999999999</v>
      </c>
      <c r="I9" s="24">
        <f t="shared" si="1"/>
        <v>-13.587196248</v>
      </c>
      <c r="J9" s="50">
        <v>0.89900000000000002</v>
      </c>
      <c r="K9" s="14">
        <v>-0.47793000000000002</v>
      </c>
      <c r="L9" s="24">
        <f t="shared" si="2"/>
        <v>-13.005144402000001</v>
      </c>
      <c r="M9" s="50">
        <v>0.87</v>
      </c>
      <c r="N9" s="60">
        <v>12.504</v>
      </c>
      <c r="O9" s="14">
        <f t="shared" si="3"/>
        <v>2.4560113780000012</v>
      </c>
      <c r="P9" s="14">
        <f t="shared" si="4"/>
        <v>-1.2708619659999982</v>
      </c>
      <c r="Q9" s="14">
        <f t="shared" si="5"/>
        <v>1.0831962480000001</v>
      </c>
      <c r="R9" s="14">
        <f t="shared" si="6"/>
        <v>0.50114440200000132</v>
      </c>
    </row>
    <row r="10" spans="1:18" ht="15.75" customHeight="1">
      <c r="A10" s="1" t="s">
        <v>142</v>
      </c>
      <c r="B10" s="1" t="s">
        <v>143</v>
      </c>
      <c r="C10" s="14">
        <v>-0.44215253300264301</v>
      </c>
      <c r="D10" s="14">
        <v>-0.36546393400381799</v>
      </c>
      <c r="E10" s="24">
        <f t="shared" si="0"/>
        <v>-12.031589436548121</v>
      </c>
      <c r="F10" s="24">
        <f t="shared" si="0"/>
        <v>-9.9447852937514938</v>
      </c>
      <c r="G10" s="50">
        <v>0.88267261923798501</v>
      </c>
      <c r="H10" s="14">
        <v>-0.40150239957893102</v>
      </c>
      <c r="I10" s="24">
        <f t="shared" si="1"/>
        <v>-10.925442395902124</v>
      </c>
      <c r="J10" s="50">
        <v>0.91633916302839702</v>
      </c>
      <c r="K10" s="14">
        <v>-0.39545505000464998</v>
      </c>
      <c r="L10" s="24">
        <f t="shared" si="2"/>
        <v>-10.760885547696533</v>
      </c>
      <c r="M10" s="50">
        <v>0.91027956604976301</v>
      </c>
      <c r="N10" s="60">
        <v>10.757</v>
      </c>
      <c r="O10" s="14">
        <f t="shared" si="3"/>
        <v>1.274589436548121</v>
      </c>
      <c r="P10" s="14">
        <f t="shared" si="4"/>
        <v>-0.81221470624850589</v>
      </c>
      <c r="Q10" s="14">
        <f t="shared" si="5"/>
        <v>0.16844239590212418</v>
      </c>
      <c r="R10" s="14">
        <f t="shared" si="6"/>
        <v>3.8855476965338198E-3</v>
      </c>
    </row>
    <row r="11" spans="1:18" ht="15.75" customHeight="1">
      <c r="A11" s="1" t="s">
        <v>144</v>
      </c>
      <c r="B11" s="1" t="s">
        <v>130</v>
      </c>
      <c r="C11" s="14">
        <v>-0.40921223976884602</v>
      </c>
      <c r="D11" s="14">
        <v>-0.41616640692559198</v>
      </c>
      <c r="E11" s="24">
        <f t="shared" si="0"/>
        <v>-11.135237941245977</v>
      </c>
      <c r="F11" s="24">
        <f t="shared" si="0"/>
        <v>-11.324470565415053</v>
      </c>
      <c r="G11" s="50">
        <v>0.90590521926466505</v>
      </c>
      <c r="H11" s="14">
        <v>-0.42406958787446702</v>
      </c>
      <c r="I11" s="24">
        <f t="shared" si="1"/>
        <v>-11.539527183487273</v>
      </c>
      <c r="J11" s="50">
        <v>0.91305518243199901</v>
      </c>
      <c r="K11" s="14">
        <v>-0.42305845586889201</v>
      </c>
      <c r="L11" s="24">
        <f t="shared" si="2"/>
        <v>-11.512012866030769</v>
      </c>
      <c r="M11" s="50">
        <v>0.91212628375025595</v>
      </c>
      <c r="N11" s="60">
        <v>11.446</v>
      </c>
      <c r="O11" s="14">
        <f t="shared" si="3"/>
        <v>-0.31076205875402252</v>
      </c>
      <c r="P11" s="14">
        <f t="shared" si="4"/>
        <v>-0.12152943458494647</v>
      </c>
      <c r="Q11" s="14">
        <f t="shared" si="5"/>
        <v>9.3527183487273291E-2</v>
      </c>
      <c r="R11" s="14">
        <f t="shared" si="6"/>
        <v>6.6012866030769501E-2</v>
      </c>
    </row>
    <row r="12" spans="1:18" ht="15.75" customHeight="1">
      <c r="A12" s="1" t="s">
        <v>145</v>
      </c>
      <c r="B12" s="1" t="s">
        <v>146</v>
      </c>
      <c r="C12" s="14">
        <v>-0.376351050846086</v>
      </c>
      <c r="D12" s="14">
        <v>-0.379816625413054</v>
      </c>
      <c r="E12" s="24">
        <f t="shared" si="0"/>
        <v>-10.241038984993185</v>
      </c>
      <c r="F12" s="24">
        <f t="shared" si="0"/>
        <v>-10.335342120764778</v>
      </c>
      <c r="G12" s="50">
        <v>0.907995204970513</v>
      </c>
      <c r="H12" s="14">
        <v>-0.38817743695078699</v>
      </c>
      <c r="I12" s="24">
        <f t="shared" si="1"/>
        <v>-10.562851507842646</v>
      </c>
      <c r="J12" s="50">
        <v>0.91481828433201795</v>
      </c>
      <c r="K12" s="14">
        <v>-0.38704207781824301</v>
      </c>
      <c r="L12" s="24">
        <f t="shared" si="2"/>
        <v>-10.531956796343339</v>
      </c>
      <c r="M12" s="50">
        <v>0.91387792014807401</v>
      </c>
      <c r="N12" s="60">
        <v>10.593</v>
      </c>
      <c r="O12" s="14">
        <f t="shared" si="3"/>
        <v>-0.35196101500681465</v>
      </c>
      <c r="P12" s="14">
        <f t="shared" si="4"/>
        <v>-0.25765787923522154</v>
      </c>
      <c r="Q12" s="14">
        <f t="shared" si="5"/>
        <v>-3.0148492157353601E-2</v>
      </c>
      <c r="R12" s="14">
        <f t="shared" si="6"/>
        <v>-6.1043203656661049E-2</v>
      </c>
    </row>
    <row r="13" spans="1:18" ht="13.8">
      <c r="A13" s="1" t="s">
        <v>147</v>
      </c>
      <c r="B13" s="1" t="s">
        <v>148</v>
      </c>
      <c r="C13" s="14">
        <v>-0.49511338968379298</v>
      </c>
      <c r="D13" s="14">
        <v>-0.50236254107384903</v>
      </c>
      <c r="E13" s="24">
        <f t="shared" si="0"/>
        <v>-13.472728492041565</v>
      </c>
      <c r="F13" s="24">
        <f t="shared" si="0"/>
        <v>-13.669988050176936</v>
      </c>
      <c r="G13" s="50">
        <v>0.90126076453020398</v>
      </c>
      <c r="H13" s="14">
        <v>-0.51285623147000303</v>
      </c>
      <c r="I13" s="24">
        <f t="shared" si="1"/>
        <v>-13.955536057022842</v>
      </c>
      <c r="J13" s="50">
        <v>0.91253554994443398</v>
      </c>
      <c r="K13" s="14">
        <v>-0.511545435707634</v>
      </c>
      <c r="L13" s="24">
        <f t="shared" si="2"/>
        <v>-13.919867469214712</v>
      </c>
      <c r="M13" s="50">
        <v>0.91109135627073301</v>
      </c>
      <c r="N13" s="51">
        <v>13.805</v>
      </c>
      <c r="O13" s="14">
        <f t="shared" si="3"/>
        <v>-0.33227150795843485</v>
      </c>
      <c r="P13" s="14">
        <f t="shared" si="4"/>
        <v>-0.1350119498230633</v>
      </c>
      <c r="Q13" s="14">
        <f t="shared" si="5"/>
        <v>0.15053605702284223</v>
      </c>
      <c r="R13" s="14">
        <f t="shared" si="6"/>
        <v>0.1148674692147118</v>
      </c>
    </row>
    <row r="14" spans="1:18" ht="13.8">
      <c r="A14" s="1" t="s">
        <v>149</v>
      </c>
      <c r="B14" s="1" t="s">
        <v>150</v>
      </c>
      <c r="C14" s="14">
        <v>-0.490400412634451</v>
      </c>
      <c r="D14" s="14">
        <v>-0.46852720493213501</v>
      </c>
      <c r="E14" s="24">
        <f t="shared" si="0"/>
        <v>-13.344481788361101</v>
      </c>
      <c r="F14" s="24">
        <f t="shared" si="0"/>
        <v>-12.749281184290298</v>
      </c>
      <c r="G14" s="50">
        <v>0.86877404003262304</v>
      </c>
      <c r="H14" s="14">
        <v>-0.50538536809394896</v>
      </c>
      <c r="I14" s="24">
        <f t="shared" si="1"/>
        <v>-13.752243405351683</v>
      </c>
      <c r="J14" s="50">
        <v>0.90696779100343405</v>
      </c>
      <c r="K14" s="14">
        <v>-0.49920041250995101</v>
      </c>
      <c r="L14" s="24">
        <f t="shared" si="2"/>
        <v>-13.583942104973282</v>
      </c>
      <c r="M14" s="50">
        <v>0.90004985073730004</v>
      </c>
      <c r="N14" s="51">
        <v>12.768000000000001</v>
      </c>
      <c r="O14" s="14">
        <f t="shared" si="3"/>
        <v>0.5764817883611002</v>
      </c>
      <c r="P14" s="14">
        <f t="shared" si="4"/>
        <v>-1.8718815709702241E-2</v>
      </c>
      <c r="Q14" s="14">
        <f t="shared" si="5"/>
        <v>0.9842434053516822</v>
      </c>
      <c r="R14" s="14">
        <f t="shared" si="6"/>
        <v>0.81594210497328135</v>
      </c>
    </row>
    <row r="15" spans="1:18" ht="15.75" customHeight="1">
      <c r="A15" s="1" t="s">
        <v>151</v>
      </c>
      <c r="B15" s="1" t="s">
        <v>139</v>
      </c>
      <c r="C15" s="14">
        <v>-0.54276000000000002</v>
      </c>
      <c r="D15" s="14">
        <v>-0.48146</v>
      </c>
      <c r="E15" s="24">
        <f t="shared" si="0"/>
        <v>-14.769259464000001</v>
      </c>
      <c r="F15" s="24">
        <f t="shared" si="0"/>
        <v>-13.101200644</v>
      </c>
      <c r="G15" s="50">
        <v>0.875</v>
      </c>
      <c r="H15" s="14">
        <v>-0.51639999999999997</v>
      </c>
      <c r="I15" s="24">
        <f t="shared" si="1"/>
        <v>-14.05196696</v>
      </c>
      <c r="J15" s="50">
        <v>0.90400000000000003</v>
      </c>
      <c r="K15" s="14">
        <v>-0.51105999999999996</v>
      </c>
      <c r="L15" s="24">
        <f t="shared" si="2"/>
        <v>-13.906658084</v>
      </c>
      <c r="M15" s="50">
        <v>0.89900000000000002</v>
      </c>
      <c r="N15" s="60">
        <v>13.672000000000001</v>
      </c>
      <c r="O15" s="14">
        <f t="shared" si="3"/>
        <v>1.0972594640000004</v>
      </c>
      <c r="P15" s="14">
        <f t="shared" si="4"/>
        <v>-0.5707993560000002</v>
      </c>
      <c r="Q15" s="14">
        <f t="shared" si="5"/>
        <v>0.37996695999999908</v>
      </c>
      <c r="R15" s="14">
        <f t="shared" si="6"/>
        <v>0.23465808399999943</v>
      </c>
    </row>
    <row r="16" spans="1:18" ht="15.75" customHeight="1">
      <c r="A16" s="1" t="s">
        <v>60</v>
      </c>
      <c r="B16" s="1" t="s">
        <v>148</v>
      </c>
      <c r="C16" s="14">
        <v>-0.64388968128070101</v>
      </c>
      <c r="D16" s="14">
        <v>-0.53999018274598898</v>
      </c>
      <c r="E16" s="24">
        <f t="shared" si="0"/>
        <v>-17.521139673201667</v>
      </c>
      <c r="F16" s="24">
        <f t="shared" si="0"/>
        <v>-14.693888858774205</v>
      </c>
      <c r="G16" s="50">
        <v>0.89959515285483305</v>
      </c>
      <c r="H16" s="14">
        <v>-0.58674622520461095</v>
      </c>
      <c r="I16" s="24">
        <f t="shared" si="1"/>
        <v>-15.966186232532751</v>
      </c>
      <c r="J16" s="50">
        <v>0.93524975423001799</v>
      </c>
      <c r="K16" s="14">
        <v>-0.57976626042497903</v>
      </c>
      <c r="L16" s="24">
        <f t="shared" si="2"/>
        <v>-15.776251618928274</v>
      </c>
      <c r="M16" s="50">
        <v>0.929551823011741</v>
      </c>
      <c r="N16" s="60">
        <v>15.875999999999999</v>
      </c>
      <c r="O16" s="14">
        <f t="shared" si="3"/>
        <v>1.6451396732016672</v>
      </c>
      <c r="P16" s="14">
        <f t="shared" si="4"/>
        <v>-1.1821111412257945</v>
      </c>
      <c r="Q16" s="14">
        <f t="shared" si="5"/>
        <v>9.0186232532751376E-2</v>
      </c>
      <c r="R16" s="14">
        <f t="shared" si="6"/>
        <v>-9.9748381071725234E-2</v>
      </c>
    </row>
    <row r="17" spans="1:19" ht="15.75" customHeight="1">
      <c r="A17" s="1" t="s">
        <v>152</v>
      </c>
      <c r="B17" s="1" t="s">
        <v>153</v>
      </c>
      <c r="C17" s="14">
        <v>-0.420361742680537</v>
      </c>
      <c r="D17" s="14">
        <v>-0.38226806054669998</v>
      </c>
      <c r="E17" s="24">
        <f t="shared" si="0"/>
        <v>-11.438631524777165</v>
      </c>
      <c r="F17" s="24">
        <f t="shared" si="0"/>
        <v>-10.402049102760472</v>
      </c>
      <c r="G17" s="50">
        <v>0.87837078852303596</v>
      </c>
      <c r="H17" s="14">
        <v>-0.406070504603743</v>
      </c>
      <c r="I17" s="24">
        <f t="shared" si="1"/>
        <v>-11.049746928974292</v>
      </c>
      <c r="J17" s="50">
        <v>0.89616510975179098</v>
      </c>
      <c r="K17" s="14">
        <v>-0.40271900462967603</v>
      </c>
      <c r="L17" s="24">
        <f t="shared" si="2"/>
        <v>-10.958547922579967</v>
      </c>
      <c r="M17" s="50">
        <v>0.89356017236937801</v>
      </c>
      <c r="N17" s="60">
        <v>10.311</v>
      </c>
      <c r="O17" s="14">
        <f t="shared" si="3"/>
        <v>1.1276315247771649</v>
      </c>
      <c r="P17" s="14">
        <f t="shared" si="4"/>
        <v>9.1049102760472067E-2</v>
      </c>
      <c r="Q17" s="14">
        <f t="shared" si="5"/>
        <v>0.73874692897429206</v>
      </c>
      <c r="R17" s="14">
        <f t="shared" si="6"/>
        <v>0.64754792257996741</v>
      </c>
    </row>
    <row r="18" spans="1:19" ht="15.75" customHeight="1">
      <c r="A18" s="1" t="s">
        <v>154</v>
      </c>
      <c r="B18" s="1" t="s">
        <v>155</v>
      </c>
      <c r="C18" s="14">
        <v>-0.54513127612155998</v>
      </c>
      <c r="D18" s="14">
        <v>-0.51817619198943099</v>
      </c>
      <c r="E18" s="24">
        <f t="shared" ref="E18:F33" si="7">C18*27.2114</f>
        <v>-14.833785207054218</v>
      </c>
      <c r="F18" s="24">
        <f t="shared" si="7"/>
        <v>-14.100299630701203</v>
      </c>
      <c r="G18" s="50">
        <v>0.91938422169215395</v>
      </c>
      <c r="H18" s="14">
        <v>-0.52398413974299396</v>
      </c>
      <c r="I18" s="24">
        <f t="shared" si="1"/>
        <v>-14.258342020202507</v>
      </c>
      <c r="J18" s="50">
        <v>0.92349433670251002</v>
      </c>
      <c r="K18" s="14">
        <v>-0.52327862594552299</v>
      </c>
      <c r="L18" s="24">
        <f t="shared" si="2"/>
        <v>-14.239144002054005</v>
      </c>
      <c r="M18" s="50">
        <v>0.92298865263727203</v>
      </c>
      <c r="N18" s="60">
        <v>14.305</v>
      </c>
      <c r="O18" s="14">
        <f t="shared" si="3"/>
        <v>0.52878520705421828</v>
      </c>
      <c r="P18" s="14">
        <f t="shared" si="4"/>
        <v>-0.20470036929879676</v>
      </c>
      <c r="Q18" s="14">
        <f t="shared" si="5"/>
        <v>-4.6657979797492644E-2</v>
      </c>
      <c r="R18" s="14">
        <f t="shared" si="6"/>
        <v>-6.5855997945995171E-2</v>
      </c>
    </row>
    <row r="19" spans="1:19" ht="15.75" customHeight="1">
      <c r="A19" s="1" t="s">
        <v>156</v>
      </c>
      <c r="B19" s="1" t="s">
        <v>157</v>
      </c>
      <c r="C19" s="14">
        <v>-0.48647075326510297</v>
      </c>
      <c r="D19" s="14">
        <v>-0.455976961497505</v>
      </c>
      <c r="E19" s="24">
        <f t="shared" si="7"/>
        <v>-13.237550255398023</v>
      </c>
      <c r="F19" s="24">
        <f t="shared" si="7"/>
        <v>-12.407771490093207</v>
      </c>
      <c r="G19" s="50">
        <v>0.91657327039016301</v>
      </c>
      <c r="H19" s="14">
        <v>-0.46265733309345802</v>
      </c>
      <c r="I19" s="24">
        <f t="shared" si="1"/>
        <v>-12.589553753739324</v>
      </c>
      <c r="J19" s="50">
        <v>0.92073461092340902</v>
      </c>
      <c r="K19" s="14">
        <v>-0.461829297464046</v>
      </c>
      <c r="L19" s="24">
        <f t="shared" si="2"/>
        <v>-12.567021745013141</v>
      </c>
      <c r="M19" s="50">
        <v>0.92021266647408195</v>
      </c>
      <c r="N19" s="60">
        <v>12.64</v>
      </c>
      <c r="O19" s="14">
        <f t="shared" si="3"/>
        <v>0.59755025539802276</v>
      </c>
      <c r="P19" s="14">
        <f t="shared" si="4"/>
        <v>-0.23222850990679333</v>
      </c>
      <c r="Q19" s="14">
        <f t="shared" si="5"/>
        <v>-5.044624626067673E-2</v>
      </c>
      <c r="R19" s="14">
        <f t="shared" si="6"/>
        <v>-7.297825498685917E-2</v>
      </c>
    </row>
    <row r="20" spans="1:19" ht="15.75" customHeight="1">
      <c r="A20" s="52" t="s">
        <v>158</v>
      </c>
      <c r="B20" s="52" t="s">
        <v>159</v>
      </c>
      <c r="C20" s="53">
        <v>-0.52933561621154601</v>
      </c>
      <c r="D20" s="53">
        <v>-0.46867514086269602</v>
      </c>
      <c r="E20" s="54">
        <f t="shared" si="7"/>
        <v>-14.403963186978864</v>
      </c>
      <c r="F20" s="54">
        <f t="shared" si="7"/>
        <v>-12.753306728071166</v>
      </c>
      <c r="G20" s="55">
        <v>0.91075999586844003</v>
      </c>
      <c r="H20" s="53">
        <v>-0.49029139873676397</v>
      </c>
      <c r="I20" s="54">
        <f t="shared" si="1"/>
        <v>-13.341515367585579</v>
      </c>
      <c r="J20" s="55">
        <v>0.92540050050173694</v>
      </c>
      <c r="K20" s="53">
        <v>-0.487394813277924</v>
      </c>
      <c r="L20" s="54">
        <f t="shared" si="2"/>
        <v>-13.262695222030901</v>
      </c>
      <c r="M20" s="55">
        <v>0.92337807223752699</v>
      </c>
      <c r="N20" s="61">
        <v>13.201000000000001</v>
      </c>
      <c r="O20" s="53">
        <f t="shared" si="3"/>
        <v>1.2029631869788631</v>
      </c>
      <c r="P20" s="53">
        <f t="shared" si="4"/>
        <v>-0.44769327192883424</v>
      </c>
      <c r="Q20" s="53">
        <f t="shared" si="5"/>
        <v>0.14051536758557859</v>
      </c>
      <c r="R20" s="53">
        <f t="shared" si="6"/>
        <v>6.1695222030900609E-2</v>
      </c>
      <c r="S20" s="1"/>
    </row>
    <row r="21" spans="1:19" ht="15.75" customHeight="1">
      <c r="A21" s="1" t="s">
        <v>48</v>
      </c>
      <c r="B21" s="1" t="s">
        <v>160</v>
      </c>
      <c r="C21" s="14">
        <v>-0.301388058846012</v>
      </c>
      <c r="D21" s="14">
        <v>-0.293882489102327</v>
      </c>
      <c r="E21" s="24">
        <f t="shared" si="7"/>
        <v>-8.2011910244823714</v>
      </c>
      <c r="F21" s="24">
        <f t="shared" si="7"/>
        <v>-7.9969539639590614</v>
      </c>
      <c r="G21" s="50">
        <v>0.92227104888320099</v>
      </c>
      <c r="H21" s="14">
        <v>-0.28875900714835101</v>
      </c>
      <c r="I21" s="24">
        <f t="shared" si="1"/>
        <v>-7.8575368471166387</v>
      </c>
      <c r="J21" s="50">
        <v>0.91740558144249496</v>
      </c>
      <c r="K21" s="14">
        <v>-0.28885796988277401</v>
      </c>
      <c r="L21" s="24">
        <f t="shared" si="2"/>
        <v>-7.8602297616681174</v>
      </c>
      <c r="M21" s="50">
        <v>0.91750399764034696</v>
      </c>
      <c r="N21" s="60">
        <v>7.9630000000000001</v>
      </c>
      <c r="O21" s="14">
        <f t="shared" si="3"/>
        <v>0.23819102448237128</v>
      </c>
      <c r="P21" s="14">
        <f t="shared" si="4"/>
        <v>3.3953963959061362E-2</v>
      </c>
      <c r="Q21" s="14">
        <f t="shared" si="5"/>
        <v>-0.10546315288336139</v>
      </c>
      <c r="R21" s="14">
        <f t="shared" si="6"/>
        <v>-0.1027702383318827</v>
      </c>
    </row>
    <row r="22" spans="1:19" ht="15.75" customHeight="1">
      <c r="A22" s="1" t="s">
        <v>45</v>
      </c>
      <c r="B22" s="1" t="s">
        <v>161</v>
      </c>
      <c r="C22" s="14">
        <v>-0.18183310070153599</v>
      </c>
      <c r="D22" s="14">
        <v>-0.19125958286689901</v>
      </c>
      <c r="E22" s="24">
        <f t="shared" si="7"/>
        <v>-4.947933236429777</v>
      </c>
      <c r="F22" s="24">
        <f t="shared" si="7"/>
        <v>-5.2044410132243355</v>
      </c>
      <c r="G22" s="50">
        <v>0.92480770612253105</v>
      </c>
      <c r="H22" s="14">
        <v>-0.18674218121782199</v>
      </c>
      <c r="I22" s="24">
        <f t="shared" si="1"/>
        <v>-5.0815161899906416</v>
      </c>
      <c r="J22" s="50">
        <v>0.89579825113091704</v>
      </c>
      <c r="K22" s="14">
        <v>-0.18696451197564501</v>
      </c>
      <c r="L22" s="24">
        <f t="shared" si="2"/>
        <v>-5.087566121174067</v>
      </c>
      <c r="M22" s="50">
        <v>0.89716090071062404</v>
      </c>
      <c r="N22" s="60">
        <v>5.3120000000000003</v>
      </c>
      <c r="O22" s="14">
        <f t="shared" si="3"/>
        <v>-0.36406676357022327</v>
      </c>
      <c r="P22" s="14">
        <f t="shared" si="4"/>
        <v>-0.10755898677566478</v>
      </c>
      <c r="Q22" s="14">
        <f t="shared" si="5"/>
        <v>-0.23048381000935869</v>
      </c>
      <c r="R22" s="14">
        <f t="shared" si="6"/>
        <v>-0.22443387882593324</v>
      </c>
    </row>
    <row r="23" spans="1:19" ht="15.75" customHeight="1">
      <c r="A23" s="1" t="s">
        <v>162</v>
      </c>
      <c r="B23" s="1" t="s">
        <v>163</v>
      </c>
      <c r="C23" s="14">
        <v>-0.47369632481448198</v>
      </c>
      <c r="D23" s="14">
        <v>-0.35851055038395402</v>
      </c>
      <c r="E23" s="24">
        <f t="shared" si="7"/>
        <v>-12.889940173056795</v>
      </c>
      <c r="F23" s="24">
        <f t="shared" si="7"/>
        <v>-9.7555739907179273</v>
      </c>
      <c r="G23" s="50">
        <v>0.86343308136749997</v>
      </c>
      <c r="H23" s="14">
        <v>-0.43291099434303398</v>
      </c>
      <c r="I23" s="24">
        <f t="shared" si="1"/>
        <v>-11.780114231466035</v>
      </c>
      <c r="J23" s="50">
        <v>0.96597664977674802</v>
      </c>
      <c r="K23" s="14">
        <v>-0.42037826486410201</v>
      </c>
      <c r="L23" s="24">
        <f t="shared" si="2"/>
        <v>-11.439081116523026</v>
      </c>
      <c r="M23" s="50">
        <v>0.94489730277275097</v>
      </c>
      <c r="N23" s="60">
        <v>11.44</v>
      </c>
      <c r="O23" s="14">
        <f t="shared" si="3"/>
        <v>1.4499401730567953</v>
      </c>
      <c r="P23" s="14">
        <f t="shared" si="4"/>
        <v>-1.6844260092820722</v>
      </c>
      <c r="Q23" s="14">
        <f t="shared" si="5"/>
        <v>0.34011423146603548</v>
      </c>
      <c r="R23" s="14">
        <f t="shared" si="6"/>
        <v>-9.1888347697377526E-4</v>
      </c>
    </row>
    <row r="24" spans="1:19" ht="15.75" customHeight="1">
      <c r="A24" s="1" t="s">
        <v>164</v>
      </c>
      <c r="B24" s="1" t="s">
        <v>165</v>
      </c>
      <c r="C24" s="14">
        <v>-0.84572301635812397</v>
      </c>
      <c r="D24" s="14">
        <v>-0.739411117524716</v>
      </c>
      <c r="E24" s="24">
        <f t="shared" si="7"/>
        <v>-23.013307287327457</v>
      </c>
      <c r="F24" s="24">
        <f t="shared" si="7"/>
        <v>-20.120411683412058</v>
      </c>
      <c r="G24" s="50">
        <v>0.92284110497563898</v>
      </c>
      <c r="H24" s="14">
        <v>-0.78047657823727501</v>
      </c>
      <c r="I24" s="24">
        <f t="shared" si="1"/>
        <v>-21.237860361045787</v>
      </c>
      <c r="J24" s="50">
        <v>0.947550320061468</v>
      </c>
      <c r="K24" s="14">
        <v>-0.775456473966052</v>
      </c>
      <c r="L24" s="24">
        <f t="shared" si="2"/>
        <v>-21.101256295679828</v>
      </c>
      <c r="M24" s="50">
        <v>0.94439016629632899</v>
      </c>
      <c r="N24" s="60">
        <v>21.344999999999999</v>
      </c>
      <c r="O24" s="14">
        <f t="shared" si="3"/>
        <v>1.6683072873274583</v>
      </c>
      <c r="P24" s="14">
        <f t="shared" si="4"/>
        <v>-1.2245883165879405</v>
      </c>
      <c r="Q24" s="14">
        <f t="shared" si="5"/>
        <v>-0.1071396389542123</v>
      </c>
      <c r="R24" s="14">
        <f t="shared" si="6"/>
        <v>-0.24374370432017045</v>
      </c>
    </row>
    <row r="25" spans="1:19" ht="15.75" customHeight="1">
      <c r="A25" s="1" t="s">
        <v>166</v>
      </c>
      <c r="B25" s="1" t="s">
        <v>167</v>
      </c>
      <c r="C25" s="14">
        <v>-0.49846587680777199</v>
      </c>
      <c r="D25" s="14">
        <v>-0.48693496063828101</v>
      </c>
      <c r="E25" s="24">
        <f t="shared" si="7"/>
        <v>-13.563954360167008</v>
      </c>
      <c r="F25" s="24">
        <f t="shared" si="7"/>
        <v>-13.250181987912521</v>
      </c>
      <c r="G25" s="50">
        <v>0.93931214098567395</v>
      </c>
      <c r="H25" s="14">
        <v>-0.48252267250090303</v>
      </c>
      <c r="I25" s="24">
        <f t="shared" si="1"/>
        <v>-13.130117450491074</v>
      </c>
      <c r="J25" s="50">
        <v>0.93102898675532697</v>
      </c>
      <c r="K25" s="14">
        <v>-0.482841195110077</v>
      </c>
      <c r="L25" s="24">
        <f t="shared" si="2"/>
        <v>-13.13878489661835</v>
      </c>
      <c r="M25" s="50">
        <v>0.93162107972402997</v>
      </c>
      <c r="N25" s="60">
        <v>13.284000000000001</v>
      </c>
      <c r="O25" s="14">
        <f t="shared" si="3"/>
        <v>0.27995436016700737</v>
      </c>
      <c r="P25" s="14">
        <f t="shared" si="4"/>
        <v>-3.3818012087479588E-2</v>
      </c>
      <c r="Q25" s="14">
        <f t="shared" si="5"/>
        <v>-0.15388254950892666</v>
      </c>
      <c r="R25" s="14">
        <f t="shared" si="6"/>
        <v>-0.14521510338165022</v>
      </c>
    </row>
    <row r="26" spans="1:19" ht="15.75" customHeight="1">
      <c r="A26" s="1" t="s">
        <v>168</v>
      </c>
      <c r="B26" s="1" t="s">
        <v>160</v>
      </c>
      <c r="C26" s="14">
        <v>-0.40438879967010799</v>
      </c>
      <c r="D26" s="14">
        <v>-0.40502139114966701</v>
      </c>
      <c r="E26" s="24">
        <f t="shared" si="7"/>
        <v>-11.003985383343178</v>
      </c>
      <c r="F26" s="24">
        <f t="shared" si="7"/>
        <v>-11.02119908313005</v>
      </c>
      <c r="G26" s="50">
        <v>0.93978562324903203</v>
      </c>
      <c r="H26" s="14">
        <v>-0.40254813262836803</v>
      </c>
      <c r="I26" s="24">
        <f t="shared" si="1"/>
        <v>-10.953898256203574</v>
      </c>
      <c r="J26" s="50">
        <v>0.93166404494676802</v>
      </c>
      <c r="K26" s="14">
        <v>-0.40275685641931702</v>
      </c>
      <c r="L26" s="24">
        <f t="shared" si="2"/>
        <v>-10.959577922768604</v>
      </c>
      <c r="M26" s="50">
        <v>0.93234416569039402</v>
      </c>
      <c r="N26" s="60">
        <v>11.154999999999999</v>
      </c>
      <c r="O26" s="14">
        <f t="shared" si="3"/>
        <v>-0.15101461665682159</v>
      </c>
      <c r="P26" s="14">
        <f t="shared" si="4"/>
        <v>-0.13380091686994966</v>
      </c>
      <c r="Q26" s="14">
        <f t="shared" si="5"/>
        <v>-0.20110174379642487</v>
      </c>
      <c r="R26" s="14">
        <f t="shared" si="6"/>
        <v>-0.19542207723139526</v>
      </c>
    </row>
    <row r="27" spans="1:19" ht="14.4">
      <c r="A27" s="1" t="s">
        <v>169</v>
      </c>
      <c r="B27" s="1" t="s">
        <v>170</v>
      </c>
      <c r="C27" s="14">
        <v>-0.40199567748076898</v>
      </c>
      <c r="D27" s="14">
        <v>-0.38996438608981898</v>
      </c>
      <c r="E27" s="24">
        <f t="shared" si="7"/>
        <v>-10.938865178200198</v>
      </c>
      <c r="F27" s="24">
        <f t="shared" si="7"/>
        <v>-10.6114768956445</v>
      </c>
      <c r="G27" s="50">
        <v>0.87630415934816097</v>
      </c>
      <c r="H27" s="14">
        <v>-0.41266481080027101</v>
      </c>
      <c r="I27" s="24">
        <f t="shared" si="1"/>
        <v>-11.229187232610496</v>
      </c>
      <c r="J27" s="50">
        <v>0.89549147409513896</v>
      </c>
      <c r="K27" s="14">
        <v>-0.40906568562771101</v>
      </c>
      <c r="L27" s="24">
        <f t="shared" si="2"/>
        <v>-11.131249997889896</v>
      </c>
      <c r="M27" s="50">
        <v>0.89233065448029902</v>
      </c>
      <c r="N27" s="60">
        <v>10.641999999999999</v>
      </c>
      <c r="O27" s="14">
        <f t="shared" si="3"/>
        <v>0.29686517820019809</v>
      </c>
      <c r="P27" s="14">
        <f t="shared" si="4"/>
        <v>-3.0523104355498987E-2</v>
      </c>
      <c r="Q27" s="14">
        <f t="shared" si="5"/>
        <v>0.58718723261049632</v>
      </c>
      <c r="R27" s="14">
        <f t="shared" si="6"/>
        <v>0.48924999788989609</v>
      </c>
    </row>
    <row r="28" spans="1:19" ht="14.4">
      <c r="A28" s="1" t="s">
        <v>171</v>
      </c>
      <c r="B28" s="1" t="s">
        <v>172</v>
      </c>
      <c r="C28" s="14">
        <v>-0.48586000000000001</v>
      </c>
      <c r="D28" s="14">
        <v>-0.38063000000000002</v>
      </c>
      <c r="E28" s="24">
        <f t="shared" si="7"/>
        <v>-13.220930804000002</v>
      </c>
      <c r="F28" s="24">
        <f t="shared" si="7"/>
        <v>-10.357475182000002</v>
      </c>
      <c r="G28" s="50">
        <v>0.876</v>
      </c>
      <c r="H28" s="14">
        <v>-0.42126000000000002</v>
      </c>
      <c r="I28" s="24">
        <f t="shared" si="1"/>
        <v>-11.463074364000001</v>
      </c>
      <c r="J28" s="50">
        <v>0.90200000000000002</v>
      </c>
      <c r="K28" s="14">
        <v>-0.41431000000000001</v>
      </c>
      <c r="L28" s="24">
        <f t="shared" si="2"/>
        <v>-11.273955134000001</v>
      </c>
      <c r="M28" s="50">
        <v>0.89600000000000002</v>
      </c>
      <c r="N28" s="60">
        <v>11.401999999999999</v>
      </c>
      <c r="O28" s="14">
        <f t="shared" si="3"/>
        <v>1.8189308040000025</v>
      </c>
      <c r="P28" s="14">
        <f t="shared" si="4"/>
        <v>-1.0445248179999975</v>
      </c>
      <c r="Q28" s="14">
        <f t="shared" si="5"/>
        <v>6.1074364000001324E-2</v>
      </c>
      <c r="R28" s="14">
        <f t="shared" si="6"/>
        <v>-0.12804486599999798</v>
      </c>
    </row>
    <row r="29" spans="1:19" ht="14.4">
      <c r="A29" s="1" t="s">
        <v>173</v>
      </c>
      <c r="B29" s="1" t="s">
        <v>174</v>
      </c>
      <c r="C29" s="14">
        <v>-0.90763022481943301</v>
      </c>
      <c r="D29" s="14">
        <v>-0.89171912645116502</v>
      </c>
      <c r="E29" s="24">
        <f t="shared" si="7"/>
        <v>-24.697889099651519</v>
      </c>
      <c r="F29" s="24">
        <f t="shared" si="7"/>
        <v>-24.264925837513232</v>
      </c>
      <c r="G29" s="50">
        <v>0.967471902739797</v>
      </c>
      <c r="H29" s="14">
        <v>-0.886573666889518</v>
      </c>
      <c r="I29" s="24">
        <f t="shared" si="1"/>
        <v>-24.124910679197431</v>
      </c>
      <c r="J29" s="50">
        <v>0.99359753834848197</v>
      </c>
      <c r="K29" s="14">
        <v>-0.88660292450106604</v>
      </c>
      <c r="L29" s="24">
        <f t="shared" si="2"/>
        <v>-24.125706819768311</v>
      </c>
      <c r="M29" s="50">
        <v>0.96410876546423496</v>
      </c>
      <c r="N29" s="60">
        <v>24.515000000000001</v>
      </c>
      <c r="O29" s="14">
        <f t="shared" si="3"/>
        <v>0.18288909965151845</v>
      </c>
      <c r="P29" s="14">
        <f t="shared" si="4"/>
        <v>-0.25007416248676861</v>
      </c>
      <c r="Q29" s="14">
        <f t="shared" si="5"/>
        <v>-0.39008932080256997</v>
      </c>
      <c r="R29" s="14">
        <f t="shared" si="6"/>
        <v>-0.38929318023168946</v>
      </c>
    </row>
    <row r="30" spans="1:19" ht="14.4">
      <c r="A30" s="1" t="s">
        <v>175</v>
      </c>
      <c r="B30" s="1" t="s">
        <v>172</v>
      </c>
      <c r="C30" s="14">
        <v>-0.39132</v>
      </c>
      <c r="D30" s="14">
        <v>-0.33089000000000002</v>
      </c>
      <c r="E30" s="24">
        <f t="shared" si="7"/>
        <v>-10.648365048</v>
      </c>
      <c r="F30" s="24">
        <f t="shared" si="7"/>
        <v>-9.0039801460000017</v>
      </c>
      <c r="G30" s="50">
        <v>0.89400000000000002</v>
      </c>
      <c r="H30" s="14">
        <v>-0.35319275623478102</v>
      </c>
      <c r="I30" s="24">
        <f t="shared" si="1"/>
        <v>-9.6108693670071208</v>
      </c>
      <c r="J30" s="50">
        <v>0.91097191731298799</v>
      </c>
      <c r="K30" s="14">
        <v>-0.34979767798070999</v>
      </c>
      <c r="L30" s="24">
        <f t="shared" si="2"/>
        <v>-9.5184845346042923</v>
      </c>
      <c r="M30" s="50">
        <v>0.90830689231790696</v>
      </c>
      <c r="N30" s="60">
        <v>9.5820000000000007</v>
      </c>
      <c r="O30" s="14">
        <f t="shared" si="3"/>
        <v>1.0663650479999998</v>
      </c>
      <c r="P30" s="14">
        <f t="shared" si="4"/>
        <v>-0.578019853999999</v>
      </c>
      <c r="Q30" s="14">
        <f t="shared" si="5"/>
        <v>2.8869367007120061E-2</v>
      </c>
      <c r="R30" s="14">
        <f t="shared" si="6"/>
        <v>-6.3515465395708404E-2</v>
      </c>
    </row>
    <row r="31" spans="1:19" ht="14.4">
      <c r="A31" s="1" t="s">
        <v>176</v>
      </c>
      <c r="B31" s="1" t="s">
        <v>177</v>
      </c>
      <c r="C31" s="14">
        <v>-0.42166409534322502</v>
      </c>
      <c r="D31" s="14">
        <v>-0.40403083567829001</v>
      </c>
      <c r="E31" s="24">
        <f t="shared" si="7"/>
        <v>-11.474070364022634</v>
      </c>
      <c r="F31" s="24">
        <f t="shared" si="7"/>
        <v>-10.994244681976221</v>
      </c>
      <c r="G31" s="14">
        <v>0.88144823109125703</v>
      </c>
      <c r="H31" s="14">
        <v>-0.41789510543324998</v>
      </c>
      <c r="I31" s="24">
        <f t="shared" si="1"/>
        <v>-11.37151087198634</v>
      </c>
      <c r="J31" s="14">
        <v>0.88912127216083403</v>
      </c>
      <c r="K31" s="14">
        <v>-0.41565223247133198</v>
      </c>
      <c r="L31" s="24">
        <f t="shared" si="2"/>
        <v>-11.310479158670404</v>
      </c>
      <c r="M31" s="14">
        <v>0.88787017373579902</v>
      </c>
      <c r="N31" s="62">
        <v>11.236000000000001</v>
      </c>
      <c r="O31" s="14">
        <f t="shared" si="3"/>
        <v>0.23807036402263293</v>
      </c>
      <c r="P31" s="14">
        <f t="shared" si="4"/>
        <v>-0.24175531802377925</v>
      </c>
      <c r="Q31" s="14">
        <f t="shared" si="5"/>
        <v>0.13551087198633915</v>
      </c>
      <c r="R31" s="14">
        <f t="shared" si="6"/>
        <v>7.4479158670403223E-2</v>
      </c>
    </row>
    <row r="32" spans="1:19" ht="14.4">
      <c r="A32" s="1" t="s">
        <v>178</v>
      </c>
      <c r="B32" s="1" t="s">
        <v>179</v>
      </c>
      <c r="C32" s="14">
        <v>-0.47205869784836302</v>
      </c>
      <c r="D32" s="14">
        <v>-0.44881888969012101</v>
      </c>
      <c r="E32" s="24">
        <f t="shared" si="7"/>
        <v>-12.845378050630947</v>
      </c>
      <c r="F32" s="24">
        <f t="shared" si="7"/>
        <v>-12.21299033491376</v>
      </c>
      <c r="G32" s="14">
        <v>0.92436596344869304</v>
      </c>
      <c r="H32" s="14">
        <v>-0.44614173476082702</v>
      </c>
      <c r="I32" s="24">
        <f t="shared" si="1"/>
        <v>-12.140141201270769</v>
      </c>
      <c r="J32" s="14">
        <v>0.91616490752396595</v>
      </c>
      <c r="K32" s="14">
        <v>-0.44640335228896399</v>
      </c>
      <c r="L32" s="24">
        <f t="shared" si="2"/>
        <v>-12.147260180475916</v>
      </c>
      <c r="M32" s="14">
        <v>0.91696040422220404</v>
      </c>
      <c r="N32" s="62">
        <v>12.233000000000001</v>
      </c>
      <c r="O32" s="14">
        <f t="shared" si="3"/>
        <v>0.61237805063094619</v>
      </c>
      <c r="P32" s="14">
        <f t="shared" si="4"/>
        <v>-2.0009665086240247E-2</v>
      </c>
      <c r="Q32" s="14">
        <f t="shared" si="5"/>
        <v>-9.2858798729231751E-2</v>
      </c>
      <c r="R32" s="14">
        <f t="shared" si="6"/>
        <v>-8.5739819524084382E-2</v>
      </c>
    </row>
    <row r="33" spans="1:18" ht="14.4">
      <c r="A33" s="1" t="s">
        <v>180</v>
      </c>
      <c r="B33" s="1" t="s">
        <v>160</v>
      </c>
      <c r="C33" s="14">
        <v>-0.594260441940616</v>
      </c>
      <c r="D33" s="14">
        <v>-0.59950337095481498</v>
      </c>
      <c r="E33" s="24">
        <f t="shared" si="7"/>
        <v>-16.170658589822878</v>
      </c>
      <c r="F33" s="24">
        <f t="shared" si="7"/>
        <v>-16.313326028399853</v>
      </c>
      <c r="G33" s="14">
        <v>0.965229819006585</v>
      </c>
      <c r="H33" s="14">
        <v>-0.59638005368041103</v>
      </c>
      <c r="I33" s="24">
        <f t="shared" si="1"/>
        <v>-16.228336192719137</v>
      </c>
      <c r="J33" s="14">
        <v>0.96114442141986201</v>
      </c>
      <c r="K33" s="14">
        <v>-0.59646365077593699</v>
      </c>
      <c r="L33" s="24">
        <f t="shared" si="2"/>
        <v>-16.230610986724333</v>
      </c>
      <c r="M33" s="14">
        <v>0.961253134574511</v>
      </c>
      <c r="N33" s="62">
        <v>16.399000000000001</v>
      </c>
      <c r="O33" s="14">
        <f t="shared" si="3"/>
        <v>-0.22834141017712284</v>
      </c>
      <c r="P33" s="14">
        <f t="shared" si="4"/>
        <v>-8.567397160014778E-2</v>
      </c>
      <c r="Q33" s="14">
        <f t="shared" si="5"/>
        <v>-0.17066380728086372</v>
      </c>
      <c r="R33" s="14">
        <f t="shared" si="6"/>
        <v>-0.16838901327566802</v>
      </c>
    </row>
    <row r="34" spans="1:18" ht="14.4">
      <c r="A34" s="1" t="s">
        <v>181</v>
      </c>
      <c r="B34" s="1" t="s">
        <v>182</v>
      </c>
      <c r="C34" s="14">
        <v>-0.38829401045059497</v>
      </c>
      <c r="D34" s="14">
        <v>-0.38155106231428898</v>
      </c>
      <c r="E34" s="24">
        <f t="shared" ref="E34:F36" si="8">C34*27.2114</f>
        <v>-10.56602363597532</v>
      </c>
      <c r="F34" s="24">
        <f t="shared" si="8"/>
        <v>-10.382538577059044</v>
      </c>
      <c r="G34" s="14">
        <v>0.92624583913292502</v>
      </c>
      <c r="H34" s="14">
        <v>-0.38010357965862701</v>
      </c>
      <c r="I34" s="24">
        <f t="shared" si="1"/>
        <v>-10.343150547522763</v>
      </c>
      <c r="J34" s="14">
        <v>0.91918436358497901</v>
      </c>
      <c r="K34" s="14">
        <v>-0.38025057412692398</v>
      </c>
      <c r="L34" s="24">
        <f t="shared" si="2"/>
        <v>-10.347150472797379</v>
      </c>
      <c r="M34" s="14">
        <v>0.91989886117655995</v>
      </c>
      <c r="N34" s="62">
        <v>10.526</v>
      </c>
      <c r="O34" s="14">
        <f t="shared" si="3"/>
        <v>4.0023635975320104E-2</v>
      </c>
      <c r="P34" s="14">
        <f t="shared" si="4"/>
        <v>-0.14346142294095543</v>
      </c>
      <c r="Q34" s="14">
        <f t="shared" si="5"/>
        <v>-0.18284945247723705</v>
      </c>
      <c r="R34" s="14">
        <f t="shared" si="6"/>
        <v>-0.17884952720262071</v>
      </c>
    </row>
    <row r="35" spans="1:18" ht="14.4">
      <c r="A35" s="1" t="s">
        <v>183</v>
      </c>
      <c r="B35" s="1" t="s">
        <v>184</v>
      </c>
      <c r="C35" s="58">
        <v>-0.370254425218771</v>
      </c>
      <c r="D35" s="58">
        <v>-0.386842904077211</v>
      </c>
      <c r="E35" s="24">
        <f t="shared" si="8"/>
        <v>-10.075141266398065</v>
      </c>
      <c r="F35" s="24">
        <f t="shared" si="8"/>
        <v>-10.52653700000662</v>
      </c>
      <c r="G35" s="59">
        <v>0.90270527434703995</v>
      </c>
      <c r="H35" s="58">
        <v>-0.38786439205068801</v>
      </c>
      <c r="I35" s="24">
        <f t="shared" si="1"/>
        <v>-10.554333117848092</v>
      </c>
      <c r="J35" s="59">
        <v>0.89960648861233705</v>
      </c>
      <c r="K35" s="58">
        <v>-0.387754058574593</v>
      </c>
      <c r="L35" s="24">
        <f t="shared" si="2"/>
        <v>-10.55133078949668</v>
      </c>
      <c r="M35" s="50">
        <v>0.89994306802773505</v>
      </c>
      <c r="N35" s="62">
        <v>10.571</v>
      </c>
      <c r="O35" s="14">
        <f t="shared" si="3"/>
        <v>-0.49585873360193489</v>
      </c>
      <c r="P35" s="14">
        <f t="shared" si="4"/>
        <v>-4.4462999993379881E-2</v>
      </c>
      <c r="Q35" s="14">
        <f t="shared" si="5"/>
        <v>-1.6666882151907814E-2</v>
      </c>
      <c r="R35" s="14">
        <f t="shared" si="6"/>
        <v>-1.9669210503320045E-2</v>
      </c>
    </row>
    <row r="36" spans="1:18" ht="14.4">
      <c r="A36" s="1" t="s">
        <v>185</v>
      </c>
      <c r="B36" s="1" t="s">
        <v>160</v>
      </c>
      <c r="C36" s="58">
        <v>-0.48428412384408198</v>
      </c>
      <c r="D36" s="58">
        <v>-0.40454902783713398</v>
      </c>
      <c r="E36" s="24">
        <f t="shared" si="8"/>
        <v>-13.178049007570854</v>
      </c>
      <c r="F36" s="24">
        <f t="shared" si="8"/>
        <v>-11.008345416087389</v>
      </c>
      <c r="G36" s="59">
        <v>0.83578660086851597</v>
      </c>
      <c r="H36" s="58">
        <v>-0.46298873184807299</v>
      </c>
      <c r="I36" s="24">
        <f t="shared" si="1"/>
        <v>-12.598571577810654</v>
      </c>
      <c r="J36" s="59">
        <v>0.92113579176446903</v>
      </c>
      <c r="K36" s="58">
        <v>-0.44852512584488302</v>
      </c>
      <c r="L36" s="24">
        <f t="shared" si="2"/>
        <v>-12.204996609415451</v>
      </c>
      <c r="M36" s="50">
        <v>0.89641591178842905</v>
      </c>
      <c r="N36" s="62">
        <v>11.631</v>
      </c>
      <c r="O36" s="14">
        <f t="shared" si="3"/>
        <v>1.5470490075708536</v>
      </c>
      <c r="P36" s="14">
        <f t="shared" si="4"/>
        <v>-0.62265458391261141</v>
      </c>
      <c r="Q36" s="14">
        <f t="shared" si="5"/>
        <v>0.96757157781065395</v>
      </c>
      <c r="R36" s="14">
        <f t="shared" si="6"/>
        <v>0.57399660941545072</v>
      </c>
    </row>
    <row r="38" spans="1:18" ht="13.8">
      <c r="N38" s="1" t="s">
        <v>5</v>
      </c>
      <c r="O38" s="14">
        <f ca="1">IFERROR(__xludf.DUMMYFUNCTION("ARRAYFORMULA(SUM(FILTER(O2:O36, ROW(O2:O36)&lt;&gt;3, ROW(O2:O36)&lt;&gt;4)) / (ROWS(O2:O36)-2))"),0.779482621388854)</f>
        <v>0.77948262138885405</v>
      </c>
      <c r="P38" s="14">
        <f ca="1">IFERROR(__xludf.DUMMYFUNCTION("ARRAYFORMULA(SUM(FILTER(P2:P36, ROW(P2:P36)&lt;&gt;3, ROW(P2:P36)&lt;&gt;4)) / (ROWS(P2:P36)-2))"),-0.435909232117499)</f>
        <v>-0.43590923211749899</v>
      </c>
      <c r="Q38" s="14">
        <f ca="1">IFERROR(__xludf.DUMMYFUNCTION("ARRAYFORMULA(SUM(FILTER(Q2:Q36, ROW(Q2:Q36)&lt;&gt;3, ROW(Q2:Q36)&lt;&gt;4)) / (ROWS(Q2:Q36)-2))"),0.166397165308301)</f>
        <v>0.16639716530830101</v>
      </c>
      <c r="R38" s="14">
        <f ca="1">IFERROR(__xludf.DUMMYFUNCTION("ARRAYFORMULA(SUM(FILTER(R2:R36, ROW(R2:R36)&lt;&gt;3, ROW(R2:R36)&lt;&gt;4)) / (ROWS(R2:R36)-2))"),0.0580433458241316)</f>
        <v>5.8043345824131599E-2</v>
      </c>
    </row>
    <row r="39" spans="1:18" ht="13.8">
      <c r="N39" s="9" t="s">
        <v>6</v>
      </c>
      <c r="O39" s="31">
        <f ca="1">IFERROR(__xludf.DUMMYFUNCTION("ARRAYFORMULA(SUM(ABS(FILTER(O2:O36, ROW(O2:O36)&lt;&gt;3, ROW(O2:O36)&lt;&gt;4))) / (ROWS(O2:O36)-2))"),0.914893294463119)</f>
        <v>0.91489329446311896</v>
      </c>
      <c r="P39" s="31">
        <f ca="1">IFERROR(__xludf.DUMMYFUNCTION("ARRAYFORMULA(SUM(ABS(FILTER(P2:P36, ROW(P2:P36)&lt;&gt;3, ROW(P2:P36)&lt;&gt;4))) / (ROWS(P2:P36)-2))"),0.453824029012289)</f>
        <v>0.45382402901228902</v>
      </c>
      <c r="Q39" s="31">
        <f ca="1">IFERROR(__xludf.DUMMYFUNCTION("ARRAYFORMULA(SUM(ABS(FILTER(Q2:Q36, ROW(Q2:Q36)&lt;&gt;3, ROW(Q2:Q36)&lt;&gt;4))) / (ROWS(Q2:Q36)-2))"),0.274586132184437)</f>
        <v>0.274586132184437</v>
      </c>
      <c r="R39" s="31">
        <f ca="1">IFERROR(__xludf.DUMMYFUNCTION("ARRAYFORMULA(SUM(ABS(FILTER(R2:R36, ROW(R2:R36)&lt;&gt;3, ROW(R2:R36)&lt;&gt;4))) / (ROWS(R2:R36)-2))"),0.21016025333852)</f>
        <v>0.21016025333852001</v>
      </c>
    </row>
    <row r="40" spans="1:18" ht="13.8">
      <c r="N40" s="9" t="s">
        <v>7</v>
      </c>
      <c r="O40" s="31">
        <f ca="1">IFERROR(__xludf.DUMMYFUNCTION("ARRAYFORMULA(sqrt(SUM(ABS(FILTER(O2:O36, ROW(O2:O36)&lt;&gt;3, ROW(O2:O36)&lt;&gt;4))^2) / (ROWS(O2:O36)-2)))"),1.14283429906384)</f>
        <v>1.14283429906384</v>
      </c>
      <c r="P40" s="31">
        <f ca="1">IFERROR(__xludf.DUMMYFUNCTION("ARRAYFORMULA(sqrt(SUM(ABS(FILTER(P2:P36, ROW(P2:P36)&lt;&gt;3, ROW(P2:P36)&lt;&gt;4))^2) / (ROWS(P2:P36)-2)))"),0.652782565057342)</f>
        <v>0.652782565057342</v>
      </c>
      <c r="Q40" s="31">
        <f ca="1">IFERROR(__xludf.DUMMYFUNCTION("ARRAYFORMULA(sqrt(SUM(ABS(FILTER(Q2:Q36, ROW(Q2:Q36)&lt;&gt;3, ROW(Q2:Q36)&lt;&gt;4))^2) / (ROWS(Q2:Q36)-2)))"),0.400974492724463)</f>
        <v>0.40097449272446301</v>
      </c>
      <c r="R40" s="31">
        <f ca="1">IFERROR(__xludf.DUMMYFUNCTION("ARRAYFORMULA(sqrt(SUM(ABS(FILTER(R2:R36, ROW(R2:R36)&lt;&gt;3, ROW(R2:R36)&lt;&gt;4))^2) / (ROWS(R2:R36)-2)))"),0.292205600931388)</f>
        <v>0.29220560093138798</v>
      </c>
    </row>
    <row r="41" spans="1:18" ht="13.8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3.8">
      <c r="O43" s="1" t="s">
        <v>16</v>
      </c>
      <c r="P43" s="58">
        <f ca="1">IFERROR(__xludf.DUMMYFUNCTION("AVERAGE(FILTER(G2:G36, (ROW(G2:G36)&lt;&gt;3) * (ROW(G2:G36)&lt;&gt;4)))"),0.899720901345894)</f>
        <v>0.899720901345894</v>
      </c>
      <c r="Q43" s="58">
        <f ca="1">IFERROR(__xludf.DUMMYFUNCTION("AVERAGE(FILTER(J2:J36, (ROW(J2:J36)&lt;&gt;3) * (ROW(J2:J36)&lt;&gt;4)))"),0.918883185701217)</f>
        <v>0.91888318570121696</v>
      </c>
      <c r="R43" s="58">
        <f ca="1">IFERROR(__xludf.DUMMYFUNCTION("AVERAGE(FILTER(M2:M36, (ROW(M2:M36)&lt;&gt;3) * (ROW(M2:M36)&lt;&gt;4)))"),0.9137785999868)</f>
        <v>0.9137785999868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A13E-8998-4560-8A14-7619F46D6B02}">
  <sheetPr>
    <outlinePr summaryBelow="0" summaryRight="0"/>
  </sheetPr>
  <dimension ref="A1:S43"/>
  <sheetViews>
    <sheetView workbookViewId="0">
      <selection activeCell="D25" sqref="D25"/>
    </sheetView>
  </sheetViews>
  <sheetFormatPr defaultColWidth="12.6640625" defaultRowHeight="15.75" customHeight="1"/>
  <cols>
    <col min="1" max="1" width="9.44140625" style="2" customWidth="1"/>
    <col min="2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5.75" customHeight="1">
      <c r="A1" s="1" t="s">
        <v>40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28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5.75" customHeight="1">
      <c r="A2" s="1" t="s">
        <v>128</v>
      </c>
      <c r="B2" s="1" t="s">
        <v>129</v>
      </c>
      <c r="C2" s="14">
        <v>-0.611363126770059</v>
      </c>
      <c r="D2" s="14">
        <v>-0.533988241091372</v>
      </c>
      <c r="E2" s="24">
        <f t="shared" ref="E2:F17" si="0">C2*27.2114</f>
        <v>-16.636046587790783</v>
      </c>
      <c r="F2" s="24">
        <f t="shared" si="0"/>
        <v>-14.530567623633761</v>
      </c>
      <c r="G2" s="50">
        <v>0.88201467133516598</v>
      </c>
      <c r="H2" s="14">
        <v>-0.57126130868640501</v>
      </c>
      <c r="I2" s="24">
        <f t="shared" ref="I2:I36" si="1">H2*27.2114</f>
        <v>-15.544819975189242</v>
      </c>
      <c r="J2" s="50">
        <v>0.91101231423672901</v>
      </c>
      <c r="K2" s="14">
        <v>-0.56409213171862405</v>
      </c>
      <c r="L2" s="24">
        <f t="shared" ref="L2:L36" si="2">K2*27.2114</f>
        <v>-15.349736633048167</v>
      </c>
      <c r="M2" s="50">
        <v>0.90511195567979696</v>
      </c>
      <c r="N2" s="63">
        <v>15.58</v>
      </c>
      <c r="O2" s="14">
        <f t="shared" ref="O2:O36" si="3">-E2-N2</f>
        <v>1.0560465877907834</v>
      </c>
      <c r="P2" s="14">
        <f t="shared" ref="P2:P36" si="4">-F2-N2</f>
        <v>-1.049432376366239</v>
      </c>
      <c r="Q2" s="14">
        <f t="shared" ref="Q2:Q36" si="5">-I2-N2</f>
        <v>-3.5180024810758326E-2</v>
      </c>
      <c r="R2" s="14">
        <f t="shared" ref="R2:R36" si="6">-L2-N2</f>
        <v>-0.23026336695183325</v>
      </c>
    </row>
    <row r="3" spans="1:18" ht="15.75" customHeight="1">
      <c r="B3" s="1" t="s">
        <v>130</v>
      </c>
      <c r="C3" s="14">
        <v>-0.600405102595713</v>
      </c>
      <c r="D3" s="14">
        <v>-0.62127316872122196</v>
      </c>
      <c r="E3" s="24">
        <f t="shared" si="0"/>
        <v>-16.337863408772986</v>
      </c>
      <c r="F3" s="24">
        <f t="shared" si="0"/>
        <v>-16.905712703340662</v>
      </c>
      <c r="G3" s="50">
        <v>0.90935017513104099</v>
      </c>
      <c r="H3" s="14">
        <v>-0.62761117124655696</v>
      </c>
      <c r="I3" s="24">
        <f t="shared" si="1"/>
        <v>-17.078178625258563</v>
      </c>
      <c r="J3" s="50">
        <v>0.91302491383627904</v>
      </c>
      <c r="K3" s="14">
        <v>-0.62695520674267702</v>
      </c>
      <c r="L3" s="24">
        <f t="shared" si="2"/>
        <v>-17.060328912757683</v>
      </c>
      <c r="M3" s="50">
        <v>0.91264147928982897</v>
      </c>
      <c r="N3" s="63">
        <v>16.93</v>
      </c>
      <c r="O3" s="14">
        <f t="shared" si="3"/>
        <v>-0.59213659122701401</v>
      </c>
      <c r="P3" s="14">
        <f t="shared" si="4"/>
        <v>-2.4287296659338153E-2</v>
      </c>
      <c r="Q3" s="14">
        <f t="shared" si="5"/>
        <v>0.14817862525856285</v>
      </c>
      <c r="R3" s="14">
        <f t="shared" si="6"/>
        <v>0.13032891275768321</v>
      </c>
    </row>
    <row r="4" spans="1:18" ht="15.75" customHeight="1">
      <c r="B4" s="1" t="s">
        <v>131</v>
      </c>
      <c r="C4" s="14">
        <v>-0.76231769019395601</v>
      </c>
      <c r="D4" s="14">
        <v>-0.64878967503380902</v>
      </c>
      <c r="E4" s="24">
        <f t="shared" si="0"/>
        <v>-20.743731594943814</v>
      </c>
      <c r="F4" s="24">
        <f t="shared" si="0"/>
        <v>-17.654475363214992</v>
      </c>
      <c r="G4" s="50">
        <v>0.844200826656336</v>
      </c>
      <c r="H4" s="14">
        <v>-0.69521311741530201</v>
      </c>
      <c r="I4" s="24">
        <f t="shared" si="1"/>
        <v>-18.917722223234751</v>
      </c>
      <c r="J4" s="50">
        <v>0.88567878727290394</v>
      </c>
      <c r="K4" s="14">
        <v>-0.68513792035867904</v>
      </c>
      <c r="L4" s="24">
        <f t="shared" si="2"/>
        <v>-18.64356200604816</v>
      </c>
      <c r="M4" s="50">
        <v>0.87582550464305498</v>
      </c>
      <c r="N4" s="63">
        <v>19.75</v>
      </c>
      <c r="O4" s="14">
        <f t="shared" si="3"/>
        <v>0.99373159494381369</v>
      </c>
      <c r="P4" s="14">
        <f t="shared" si="4"/>
        <v>-2.095524636785008</v>
      </c>
      <c r="Q4" s="14">
        <f t="shared" si="5"/>
        <v>-0.83227777676524894</v>
      </c>
      <c r="R4" s="14">
        <f t="shared" si="6"/>
        <v>-1.1064379939518396</v>
      </c>
    </row>
    <row r="5" spans="1:18" ht="15.75" customHeight="1">
      <c r="A5" s="1" t="s">
        <v>132</v>
      </c>
      <c r="B5" s="1" t="s">
        <v>133</v>
      </c>
      <c r="C5" s="14">
        <v>-0.50961866088418295</v>
      </c>
      <c r="D5" s="14">
        <v>-0.42429887321906801</v>
      </c>
      <c r="E5" s="24">
        <f t="shared" si="0"/>
        <v>-13.867437228783857</v>
      </c>
      <c r="F5" s="24">
        <f t="shared" si="0"/>
        <v>-11.545766358713347</v>
      </c>
      <c r="G5" s="50">
        <v>0.88822286788947702</v>
      </c>
      <c r="H5" s="14">
        <v>-0.46595585912786602</v>
      </c>
      <c r="I5" s="24">
        <f t="shared" si="1"/>
        <v>-12.679311265072014</v>
      </c>
      <c r="J5" s="50">
        <v>0.92563218447874296</v>
      </c>
      <c r="K5" s="14">
        <v>-0.45918093131427401</v>
      </c>
      <c r="L5" s="24">
        <f t="shared" si="2"/>
        <v>-12.494955994365236</v>
      </c>
      <c r="M5" s="50">
        <v>0.91908188396715096</v>
      </c>
      <c r="N5" s="63">
        <v>12.62</v>
      </c>
      <c r="O5" s="14">
        <f t="shared" si="3"/>
        <v>1.2474372287838573</v>
      </c>
      <c r="P5" s="14">
        <f t="shared" si="4"/>
        <v>-1.0742336412866518</v>
      </c>
      <c r="Q5" s="14">
        <f t="shared" si="5"/>
        <v>5.9311265072015118E-2</v>
      </c>
      <c r="R5" s="14">
        <f t="shared" si="6"/>
        <v>-0.12504400563476281</v>
      </c>
    </row>
    <row r="6" spans="1:18" ht="15.75" customHeight="1">
      <c r="A6" s="1" t="s">
        <v>134</v>
      </c>
      <c r="B6" s="1" t="s">
        <v>135</v>
      </c>
      <c r="C6" s="14">
        <v>-0.52974847548962201</v>
      </c>
      <c r="D6" s="14">
        <v>-0.49114542670493999</v>
      </c>
      <c r="E6" s="24">
        <f t="shared" si="0"/>
        <v>-14.415197665938301</v>
      </c>
      <c r="F6" s="24">
        <f t="shared" si="0"/>
        <v>-13.364754664238804</v>
      </c>
      <c r="G6" s="50">
        <v>0.90905271194916304</v>
      </c>
      <c r="H6" s="14">
        <v>-0.50223507127948896</v>
      </c>
      <c r="I6" s="24">
        <f t="shared" si="1"/>
        <v>-13.666519418614687</v>
      </c>
      <c r="J6" s="50">
        <v>0.91167683834454405</v>
      </c>
      <c r="K6" s="14">
        <v>-0.50050728160984803</v>
      </c>
      <c r="L6" s="24">
        <f t="shared" si="2"/>
        <v>-13.619503842798219</v>
      </c>
      <c r="M6" s="50">
        <v>0.91127801797325103</v>
      </c>
      <c r="N6" s="63">
        <v>14.01</v>
      </c>
      <c r="O6" s="14">
        <f t="shared" si="3"/>
        <v>0.4051976659383012</v>
      </c>
      <c r="P6" s="14">
        <f t="shared" si="4"/>
        <v>-0.6452453357611958</v>
      </c>
      <c r="Q6" s="14">
        <f t="shared" si="5"/>
        <v>-0.34348058138531279</v>
      </c>
      <c r="R6" s="14">
        <f t="shared" si="6"/>
        <v>-0.3904961572017811</v>
      </c>
    </row>
    <row r="7" spans="1:18" ht="15.75" customHeight="1">
      <c r="A7" s="1" t="s">
        <v>136</v>
      </c>
      <c r="B7" s="1" t="s">
        <v>137</v>
      </c>
      <c r="C7" s="14">
        <v>-0.423658440680661</v>
      </c>
      <c r="D7" s="14">
        <v>-0.37002011276608698</v>
      </c>
      <c r="E7" s="24">
        <f t="shared" si="0"/>
        <v>-11.528339292737739</v>
      </c>
      <c r="F7" s="24">
        <f t="shared" si="0"/>
        <v>-10.0687652965231</v>
      </c>
      <c r="G7" s="50">
        <v>0.89582636090815104</v>
      </c>
      <c r="H7" s="14">
        <v>-0.393711895387517</v>
      </c>
      <c r="I7" s="24">
        <f t="shared" si="1"/>
        <v>-10.71345187014788</v>
      </c>
      <c r="J7" s="50">
        <v>0.91853735881774401</v>
      </c>
      <c r="K7" s="14">
        <v>-0.39008357821729001</v>
      </c>
      <c r="L7" s="24">
        <f t="shared" si="2"/>
        <v>-10.614720280301965</v>
      </c>
      <c r="M7" s="50">
        <v>0.914885996895477</v>
      </c>
      <c r="N7" s="63">
        <v>10.8</v>
      </c>
      <c r="O7" s="14">
        <f t="shared" si="3"/>
        <v>0.72833929273773812</v>
      </c>
      <c r="P7" s="14">
        <f t="shared" si="4"/>
        <v>-0.73123470347690045</v>
      </c>
      <c r="Q7" s="14">
        <f t="shared" si="5"/>
        <v>-8.6548129852120681E-2</v>
      </c>
      <c r="R7" s="14">
        <f t="shared" si="6"/>
        <v>-0.18527971969803581</v>
      </c>
    </row>
    <row r="8" spans="1:18" ht="15.75" customHeight="1">
      <c r="A8" s="1" t="s">
        <v>138</v>
      </c>
      <c r="B8" s="1" t="s">
        <v>139</v>
      </c>
      <c r="C8" s="14">
        <v>-0.66334816452562095</v>
      </c>
      <c r="D8" s="14">
        <v>-0.51446997006220596</v>
      </c>
      <c r="E8" s="24">
        <f t="shared" si="0"/>
        <v>-18.050632244172483</v>
      </c>
      <c r="F8" s="24">
        <f t="shared" si="0"/>
        <v>-13.999448143350712</v>
      </c>
      <c r="G8" s="50">
        <v>0.86381035660794803</v>
      </c>
      <c r="H8" s="14">
        <v>-0.57902875651318397</v>
      </c>
      <c r="I8" s="24">
        <f t="shared" si="1"/>
        <v>-15.756183104982854</v>
      </c>
      <c r="J8" s="50">
        <v>0.90107144320107302</v>
      </c>
      <c r="K8" s="14">
        <v>-0.56685437061057198</v>
      </c>
      <c r="L8" s="24">
        <f t="shared" si="2"/>
        <v>-15.424901020432518</v>
      </c>
      <c r="M8" s="50">
        <v>0.89356753169964498</v>
      </c>
      <c r="N8" s="63">
        <v>15.87</v>
      </c>
      <c r="O8" s="14">
        <f t="shared" si="3"/>
        <v>2.1806322441724841</v>
      </c>
      <c r="P8" s="14">
        <f t="shared" si="4"/>
        <v>-1.8705518566492874</v>
      </c>
      <c r="Q8" s="14">
        <f t="shared" si="5"/>
        <v>-0.11381689501714476</v>
      </c>
      <c r="R8" s="14">
        <f t="shared" si="6"/>
        <v>-0.44509897956748112</v>
      </c>
    </row>
    <row r="9" spans="1:18" ht="15.75" customHeight="1">
      <c r="A9" s="1" t="s">
        <v>140</v>
      </c>
      <c r="B9" s="1" t="s">
        <v>141</v>
      </c>
      <c r="C9" s="14">
        <v>-0.46924843322057203</v>
      </c>
      <c r="D9" s="14">
        <v>-0.49222127556426298</v>
      </c>
      <c r="E9" s="24">
        <f t="shared" si="0"/>
        <v>-12.768906815738275</v>
      </c>
      <c r="F9" s="24">
        <f t="shared" si="0"/>
        <v>-13.394030017889387</v>
      </c>
      <c r="G9" s="50">
        <v>0.82044302127817703</v>
      </c>
      <c r="H9" s="14">
        <v>-0.52581870333622904</v>
      </c>
      <c r="I9" s="24">
        <f t="shared" si="1"/>
        <v>-14.308263063963464</v>
      </c>
      <c r="J9" s="50">
        <v>0.84441517634803898</v>
      </c>
      <c r="K9" s="14">
        <v>-0.52030966655934796</v>
      </c>
      <c r="L9" s="24">
        <f t="shared" si="2"/>
        <v>-14.158354460613042</v>
      </c>
      <c r="M9" s="50">
        <v>0.84039216550541196</v>
      </c>
      <c r="N9" s="63">
        <v>12.73</v>
      </c>
      <c r="O9" s="14">
        <f t="shared" si="3"/>
        <v>3.8906815738274148E-2</v>
      </c>
      <c r="P9" s="14">
        <f t="shared" si="4"/>
        <v>0.66403001788938631</v>
      </c>
      <c r="Q9" s="14">
        <f t="shared" si="5"/>
        <v>1.5782630639634636</v>
      </c>
      <c r="R9" s="14">
        <f t="shared" si="6"/>
        <v>1.4283544606130416</v>
      </c>
    </row>
    <row r="10" spans="1:18" ht="15.75" customHeight="1">
      <c r="A10" s="1" t="s">
        <v>142</v>
      </c>
      <c r="B10" s="1" t="s">
        <v>143</v>
      </c>
      <c r="C10" s="14">
        <v>-0.436446747806783</v>
      </c>
      <c r="D10" s="14">
        <v>-0.36493080864655603</v>
      </c>
      <c r="E10" s="24">
        <f t="shared" si="0"/>
        <v>-11.876327033269495</v>
      </c>
      <c r="F10" s="24">
        <f t="shared" si="0"/>
        <v>-9.9302782064048944</v>
      </c>
      <c r="G10" s="50">
        <v>0.88170741193267899</v>
      </c>
      <c r="H10" s="14">
        <v>-0.40425062977915599</v>
      </c>
      <c r="I10" s="24">
        <f t="shared" si="1"/>
        <v>-11.000225587172526</v>
      </c>
      <c r="J10" s="50">
        <v>0.91981215633035895</v>
      </c>
      <c r="K10" s="14">
        <v>-0.39737006249165902</v>
      </c>
      <c r="L10" s="24">
        <f t="shared" si="2"/>
        <v>-10.812995718485531</v>
      </c>
      <c r="M10" s="50">
        <v>0.91261317544190201</v>
      </c>
      <c r="N10" s="63">
        <v>10.9</v>
      </c>
      <c r="O10" s="14">
        <f t="shared" si="3"/>
        <v>0.9763270332694951</v>
      </c>
      <c r="P10" s="14">
        <f t="shared" si="4"/>
        <v>-0.96972179359510591</v>
      </c>
      <c r="Q10" s="14">
        <f t="shared" si="5"/>
        <v>0.10022558717252572</v>
      </c>
      <c r="R10" s="14">
        <f t="shared" si="6"/>
        <v>-8.7004281514468929E-2</v>
      </c>
    </row>
    <row r="11" spans="1:18" ht="15.75" customHeight="1">
      <c r="A11" s="1" t="s">
        <v>144</v>
      </c>
      <c r="B11" s="1" t="s">
        <v>130</v>
      </c>
      <c r="C11" s="14">
        <v>-0.39871865570866</v>
      </c>
      <c r="D11" s="14">
        <v>-0.40737987886673899</v>
      </c>
      <c r="E11" s="24">
        <f t="shared" si="0"/>
        <v>-10.849692827950632</v>
      </c>
      <c r="F11" s="24">
        <f t="shared" si="0"/>
        <v>-11.085376835794381</v>
      </c>
      <c r="G11" s="50">
        <v>0.90079146431003898</v>
      </c>
      <c r="H11" s="14">
        <v>-0.41622094944671101</v>
      </c>
      <c r="I11" s="24">
        <f t="shared" si="1"/>
        <v>-11.325954743774233</v>
      </c>
      <c r="J11" s="50">
        <v>0.90927969808695397</v>
      </c>
      <c r="K11" s="14">
        <v>-0.41506887556307198</v>
      </c>
      <c r="L11" s="24">
        <f t="shared" si="2"/>
        <v>-11.294605200496978</v>
      </c>
      <c r="M11" s="50">
        <v>0.90815323084926403</v>
      </c>
      <c r="N11" s="63">
        <v>11.49</v>
      </c>
      <c r="O11" s="14">
        <f t="shared" si="3"/>
        <v>-0.64030717204936849</v>
      </c>
      <c r="P11" s="14">
        <f t="shared" si="4"/>
        <v>-0.40462316420561883</v>
      </c>
      <c r="Q11" s="14">
        <f t="shared" si="5"/>
        <v>-0.16404525622576749</v>
      </c>
      <c r="R11" s="14">
        <f t="shared" si="6"/>
        <v>-0.1953947995030223</v>
      </c>
    </row>
    <row r="12" spans="1:18" ht="15.75" customHeight="1">
      <c r="A12" s="1" t="s">
        <v>145</v>
      </c>
      <c r="B12" s="1" t="s">
        <v>146</v>
      </c>
      <c r="C12" s="14">
        <v>-0.36817485167701602</v>
      </c>
      <c r="D12" s="14">
        <v>-0.37140445484651402</v>
      </c>
      <c r="E12" s="24">
        <f t="shared" si="0"/>
        <v>-10.018553158923954</v>
      </c>
      <c r="F12" s="24">
        <f t="shared" si="0"/>
        <v>-10.106435182610433</v>
      </c>
      <c r="G12" s="50">
        <v>0.90083067876745004</v>
      </c>
      <c r="H12" s="14">
        <v>-0.38156252644230698</v>
      </c>
      <c r="I12" s="24">
        <f t="shared" si="1"/>
        <v>-10.382850532032192</v>
      </c>
      <c r="J12" s="50">
        <v>0.91002051598982603</v>
      </c>
      <c r="K12" s="14">
        <v>-0.38014054409575898</v>
      </c>
      <c r="L12" s="24">
        <f t="shared" si="2"/>
        <v>-10.344156401607336</v>
      </c>
      <c r="M12" s="50">
        <v>0.90870809137453201</v>
      </c>
      <c r="N12" s="63">
        <v>10.68</v>
      </c>
      <c r="O12" s="14">
        <f t="shared" si="3"/>
        <v>-0.6614468410760459</v>
      </c>
      <c r="P12" s="14">
        <f t="shared" si="4"/>
        <v>-0.57356481738956688</v>
      </c>
      <c r="Q12" s="14">
        <f t="shared" si="5"/>
        <v>-0.29714946796780772</v>
      </c>
      <c r="R12" s="14">
        <f t="shared" si="6"/>
        <v>-0.33584359839266398</v>
      </c>
    </row>
    <row r="13" spans="1:18" ht="15.75" customHeight="1">
      <c r="A13" s="1" t="s">
        <v>147</v>
      </c>
      <c r="B13" s="1" t="s">
        <v>148</v>
      </c>
      <c r="C13" s="14">
        <v>-0.48603025498613001</v>
      </c>
      <c r="D13" s="14">
        <v>-0.495367755320335</v>
      </c>
      <c r="E13" s="24">
        <f t="shared" si="0"/>
        <v>-13.225563680529579</v>
      </c>
      <c r="F13" s="24">
        <f t="shared" si="0"/>
        <v>-13.479650137123764</v>
      </c>
      <c r="G13" s="50">
        <v>0.89512915920876801</v>
      </c>
      <c r="H13" s="14">
        <v>-0.50753290443952603</v>
      </c>
      <c r="I13" s="24">
        <f t="shared" si="1"/>
        <v>-13.810680875865719</v>
      </c>
      <c r="J13" s="50">
        <v>0.90905887754629</v>
      </c>
      <c r="K13" s="14">
        <v>-0.50596621402141495</v>
      </c>
      <c r="L13" s="24">
        <f t="shared" si="2"/>
        <v>-13.768049036222331</v>
      </c>
      <c r="M13" s="50">
        <v>0.90720804163257796</v>
      </c>
      <c r="N13" s="63">
        <v>13.61</v>
      </c>
      <c r="O13" s="14">
        <f t="shared" si="3"/>
        <v>-0.38443631947042078</v>
      </c>
      <c r="P13" s="14">
        <f t="shared" si="4"/>
        <v>-0.13034986287623518</v>
      </c>
      <c r="Q13" s="14">
        <f t="shared" si="5"/>
        <v>0.2006808758657197</v>
      </c>
      <c r="R13" s="14">
        <f t="shared" si="6"/>
        <v>0.15804903622233191</v>
      </c>
    </row>
    <row r="14" spans="1:18" ht="15.75" customHeight="1">
      <c r="A14" s="1" t="s">
        <v>149</v>
      </c>
      <c r="B14" s="1" t="s">
        <v>150</v>
      </c>
      <c r="C14" s="14">
        <v>-0.47178907841481499</v>
      </c>
      <c r="D14" s="14">
        <v>-0.46242009358467201</v>
      </c>
      <c r="E14" s="24">
        <f t="shared" si="0"/>
        <v>-12.838041328376898</v>
      </c>
      <c r="F14" s="24">
        <f t="shared" si="0"/>
        <v>-12.583098134569944</v>
      </c>
      <c r="G14" s="50">
        <v>0.85708233841043702</v>
      </c>
      <c r="H14" s="14">
        <v>-0.50616932584915197</v>
      </c>
      <c r="I14" s="24">
        <f t="shared" si="1"/>
        <v>-13.773575993411615</v>
      </c>
      <c r="J14" s="50">
        <v>0.90347503739094703</v>
      </c>
      <c r="K14" s="14">
        <v>-0.49821581689839001</v>
      </c>
      <c r="L14" s="24">
        <f t="shared" si="2"/>
        <v>-13.557149879948851</v>
      </c>
      <c r="M14" s="50">
        <v>0.89427836148255602</v>
      </c>
      <c r="N14" s="63">
        <v>12.89</v>
      </c>
      <c r="O14" s="14">
        <f t="shared" si="3"/>
        <v>-5.1958671623102859E-2</v>
      </c>
      <c r="P14" s="14">
        <f t="shared" si="4"/>
        <v>-0.30690186543005638</v>
      </c>
      <c r="Q14" s="14">
        <f t="shared" si="5"/>
        <v>0.88357599341161475</v>
      </c>
      <c r="R14" s="14">
        <f t="shared" si="6"/>
        <v>0.66714987994885</v>
      </c>
    </row>
    <row r="15" spans="1:18" ht="15.75" customHeight="1">
      <c r="A15" s="1" t="s">
        <v>151</v>
      </c>
      <c r="B15" s="1" t="s">
        <v>139</v>
      </c>
      <c r="C15" s="14">
        <v>-0.53158596800046598</v>
      </c>
      <c r="D15" s="14">
        <v>-0.50097848184541804</v>
      </c>
      <c r="E15" s="24">
        <f t="shared" si="0"/>
        <v>-14.465198409647881</v>
      </c>
      <c r="F15" s="24">
        <f t="shared" si="0"/>
        <v>-13.632325860888409</v>
      </c>
      <c r="G15" s="50">
        <v>0.85401172931342395</v>
      </c>
      <c r="H15" s="14">
        <v>-0.54920347086072596</v>
      </c>
      <c r="I15" s="24">
        <f t="shared" si="1"/>
        <v>-14.94459532697956</v>
      </c>
      <c r="J15" s="50">
        <v>0.89924200038348201</v>
      </c>
      <c r="K15" s="14">
        <v>-0.54102700585196195</v>
      </c>
      <c r="L15" s="24">
        <f t="shared" si="2"/>
        <v>-14.722102267040079</v>
      </c>
      <c r="M15" s="50">
        <v>0.89086820172692904</v>
      </c>
      <c r="N15" s="63">
        <v>13.79</v>
      </c>
      <c r="O15" s="14">
        <f t="shared" si="3"/>
        <v>0.6751984096478818</v>
      </c>
      <c r="P15" s="14">
        <f t="shared" si="4"/>
        <v>-0.15767413911158989</v>
      </c>
      <c r="Q15" s="14">
        <f t="shared" si="5"/>
        <v>1.1545953269795604</v>
      </c>
      <c r="R15" s="14">
        <f t="shared" si="6"/>
        <v>0.93210226704007937</v>
      </c>
    </row>
    <row r="16" spans="1:18" ht="15.75" customHeight="1">
      <c r="A16" s="1" t="s">
        <v>60</v>
      </c>
      <c r="B16" s="1" t="s">
        <v>148</v>
      </c>
      <c r="C16" s="14">
        <v>-0.65533567240879598</v>
      </c>
      <c r="D16" s="14">
        <v>-0.54761746668285205</v>
      </c>
      <c r="E16" s="24">
        <f t="shared" si="0"/>
        <v>-17.832601116184712</v>
      </c>
      <c r="F16" s="24">
        <f t="shared" si="0"/>
        <v>-14.90143793289376</v>
      </c>
      <c r="G16" s="50">
        <v>0.89598813250520304</v>
      </c>
      <c r="H16" s="14">
        <v>-0.59916146891265598</v>
      </c>
      <c r="I16" s="24">
        <f t="shared" si="1"/>
        <v>-16.304022395169849</v>
      </c>
      <c r="J16" s="50">
        <v>0.93572815218812699</v>
      </c>
      <c r="K16" s="14">
        <v>-0.59117649581005904</v>
      </c>
      <c r="L16" s="24">
        <f t="shared" si="2"/>
        <v>-16.086740098085841</v>
      </c>
      <c r="M16" s="50">
        <v>0.92909179962023203</v>
      </c>
      <c r="N16" s="63">
        <v>16.190000000000001</v>
      </c>
      <c r="O16" s="14">
        <f t="shared" si="3"/>
        <v>1.6426011161847107</v>
      </c>
      <c r="P16" s="14">
        <f t="shared" si="4"/>
        <v>-1.2885620671062412</v>
      </c>
      <c r="Q16" s="14">
        <f t="shared" si="5"/>
        <v>0.11402239516984736</v>
      </c>
      <c r="R16" s="14">
        <f t="shared" si="6"/>
        <v>-0.10325990191416068</v>
      </c>
    </row>
    <row r="17" spans="1:19" ht="15.75" customHeight="1">
      <c r="A17" s="1" t="s">
        <v>152</v>
      </c>
      <c r="B17" s="1" t="s">
        <v>153</v>
      </c>
      <c r="C17" s="14">
        <v>-0.41365228083024802</v>
      </c>
      <c r="D17" s="14">
        <v>-0.37328921925959901</v>
      </c>
      <c r="E17" s="24">
        <f t="shared" si="0"/>
        <v>-11.256057674584211</v>
      </c>
      <c r="F17" s="24">
        <f t="shared" si="0"/>
        <v>-10.157722260960654</v>
      </c>
      <c r="G17" s="50">
        <v>0.86337996807677697</v>
      </c>
      <c r="H17" s="14">
        <v>-0.40400942683896002</v>
      </c>
      <c r="I17" s="24">
        <f t="shared" si="1"/>
        <v>-10.993662117485677</v>
      </c>
      <c r="J17" s="50">
        <v>0.88941298610145403</v>
      </c>
      <c r="K17" s="14">
        <v>-0.399413374190278</v>
      </c>
      <c r="L17" s="24">
        <f t="shared" si="2"/>
        <v>-10.868597090441332</v>
      </c>
      <c r="M17" s="50">
        <v>0.88529149899055604</v>
      </c>
      <c r="N17" s="63">
        <v>10.4</v>
      </c>
      <c r="O17" s="14">
        <f t="shared" si="3"/>
        <v>0.85605767458421056</v>
      </c>
      <c r="P17" s="14">
        <f t="shared" si="4"/>
        <v>-0.24227773903934668</v>
      </c>
      <c r="Q17" s="14">
        <f t="shared" si="5"/>
        <v>0.59366211748567643</v>
      </c>
      <c r="R17" s="14">
        <f t="shared" si="6"/>
        <v>0.46859709044133169</v>
      </c>
    </row>
    <row r="18" spans="1:19" ht="15.75" customHeight="1">
      <c r="A18" s="1" t="s">
        <v>154</v>
      </c>
      <c r="B18" s="1" t="s">
        <v>155</v>
      </c>
      <c r="C18" s="14">
        <v>-0.53820321486901102</v>
      </c>
      <c r="D18" s="14">
        <v>-0.510395021117512</v>
      </c>
      <c r="E18" s="24">
        <f t="shared" ref="E18:F33" si="7">C18*27.2114</f>
        <v>-14.645262961086607</v>
      </c>
      <c r="F18" s="24">
        <f t="shared" si="7"/>
        <v>-13.888563077637066</v>
      </c>
      <c r="G18" s="50">
        <v>0.91648096931809198</v>
      </c>
      <c r="H18" s="14">
        <v>-0.51756746912954499</v>
      </c>
      <c r="I18" s="24">
        <f t="shared" si="1"/>
        <v>-14.083735429471702</v>
      </c>
      <c r="J18" s="50">
        <v>0.92234627872003605</v>
      </c>
      <c r="K18" s="14">
        <v>-0.516672132288302</v>
      </c>
      <c r="L18" s="24">
        <f t="shared" si="2"/>
        <v>-14.059372060549901</v>
      </c>
      <c r="M18" s="50">
        <v>0.92160208813794298</v>
      </c>
      <c r="N18" s="63">
        <v>13.6</v>
      </c>
      <c r="O18" s="14">
        <f t="shared" si="3"/>
        <v>1.0452629610866069</v>
      </c>
      <c r="P18" s="14">
        <f t="shared" si="4"/>
        <v>0.28856307763706646</v>
      </c>
      <c r="Q18" s="14">
        <f t="shared" si="5"/>
        <v>0.48373542947170201</v>
      </c>
      <c r="R18" s="14">
        <f t="shared" si="6"/>
        <v>0.45937206054990121</v>
      </c>
    </row>
    <row r="19" spans="1:19" ht="15.75" customHeight="1">
      <c r="A19" s="1" t="s">
        <v>156</v>
      </c>
      <c r="B19" s="1" t="s">
        <v>157</v>
      </c>
      <c r="C19" s="14">
        <v>-0.47816981752469401</v>
      </c>
      <c r="D19" s="14">
        <v>-0.44677890850378299</v>
      </c>
      <c r="E19" s="24">
        <f t="shared" si="7"/>
        <v>-13.01167017259146</v>
      </c>
      <c r="F19" s="24">
        <f t="shared" si="7"/>
        <v>-12.157479590859841</v>
      </c>
      <c r="G19" s="50">
        <v>0.91330878232359303</v>
      </c>
      <c r="H19" s="14">
        <v>-0.45511247122631598</v>
      </c>
      <c r="I19" s="24">
        <f t="shared" si="1"/>
        <v>-12.384247499527776</v>
      </c>
      <c r="J19" s="50">
        <v>0.91947067904351698</v>
      </c>
      <c r="K19" s="14">
        <v>-0.45404566879727698</v>
      </c>
      <c r="L19" s="24">
        <f t="shared" si="2"/>
        <v>-12.355218311910223</v>
      </c>
      <c r="M19" s="50">
        <v>0.91866900974000598</v>
      </c>
      <c r="N19" s="63">
        <v>12</v>
      </c>
      <c r="O19" s="14">
        <f t="shared" si="3"/>
        <v>1.0116701725914599</v>
      </c>
      <c r="P19" s="14">
        <f t="shared" si="4"/>
        <v>0.15747959085984142</v>
      </c>
      <c r="Q19" s="14">
        <f t="shared" si="5"/>
        <v>0.38424749952777582</v>
      </c>
      <c r="R19" s="14">
        <f t="shared" si="6"/>
        <v>0.35521831191022279</v>
      </c>
    </row>
    <row r="20" spans="1:19" ht="15.75" customHeight="1">
      <c r="A20" s="52" t="s">
        <v>158</v>
      </c>
      <c r="B20" s="52" t="s">
        <v>159</v>
      </c>
      <c r="C20" s="53">
        <v>-0.52469196637925397</v>
      </c>
      <c r="D20" s="53">
        <v>-0.46957413398314901</v>
      </c>
      <c r="E20" s="54">
        <f t="shared" si="7"/>
        <v>-14.277602973932431</v>
      </c>
      <c r="F20" s="54">
        <f t="shared" si="7"/>
        <v>-12.777769589469061</v>
      </c>
      <c r="G20" s="55">
        <v>0.91022674164903905</v>
      </c>
      <c r="H20" s="53">
        <v>-0.491176614948166</v>
      </c>
      <c r="I20" s="54">
        <f t="shared" si="1"/>
        <v>-13.365603340000526</v>
      </c>
      <c r="J20" s="55">
        <v>0.92549249688957302</v>
      </c>
      <c r="K20" s="53">
        <v>-0.488208291902955</v>
      </c>
      <c r="L20" s="54">
        <f t="shared" si="2"/>
        <v>-13.284831114288071</v>
      </c>
      <c r="M20" s="55">
        <v>0.92332747571347895</v>
      </c>
      <c r="N20" s="64">
        <v>13.1</v>
      </c>
      <c r="O20" s="53">
        <f t="shared" si="3"/>
        <v>1.1776029739324319</v>
      </c>
      <c r="P20" s="53">
        <f t="shared" si="4"/>
        <v>-0.32223041053093837</v>
      </c>
      <c r="Q20" s="53">
        <f t="shared" si="5"/>
        <v>0.26560334000052599</v>
      </c>
      <c r="R20" s="53">
        <f t="shared" si="6"/>
        <v>0.18483111428807142</v>
      </c>
      <c r="S20" s="1"/>
    </row>
    <row r="21" spans="1:19" ht="15.75" customHeight="1">
      <c r="A21" s="1" t="s">
        <v>48</v>
      </c>
      <c r="B21" s="1" t="s">
        <v>160</v>
      </c>
      <c r="C21" s="14">
        <v>-0.30351863760130698</v>
      </c>
      <c r="D21" s="14">
        <v>-0.29339004111482297</v>
      </c>
      <c r="E21" s="24">
        <f t="shared" si="7"/>
        <v>-8.2591670552242054</v>
      </c>
      <c r="F21" s="24">
        <f t="shared" si="7"/>
        <v>-7.9835537647918944</v>
      </c>
      <c r="G21" s="50">
        <v>0.91225063370475301</v>
      </c>
      <c r="H21" s="14">
        <v>-0.28838350507875798</v>
      </c>
      <c r="I21" s="24">
        <f t="shared" si="1"/>
        <v>-7.8473189101001157</v>
      </c>
      <c r="J21" s="50">
        <v>0.90912270803121698</v>
      </c>
      <c r="K21" s="14">
        <v>-0.28846206482771403</v>
      </c>
      <c r="L21" s="24">
        <f t="shared" si="2"/>
        <v>-7.8494566308528579</v>
      </c>
      <c r="M21" s="50">
        <v>0.90917684878078897</v>
      </c>
      <c r="N21" s="63">
        <v>7.9</v>
      </c>
      <c r="O21" s="14">
        <f t="shared" si="3"/>
        <v>0.359167055224205</v>
      </c>
      <c r="P21" s="14">
        <f t="shared" si="4"/>
        <v>8.3553764791894025E-2</v>
      </c>
      <c r="Q21" s="14">
        <f t="shared" si="5"/>
        <v>-5.2681089899884626E-2</v>
      </c>
      <c r="R21" s="14">
        <f t="shared" si="6"/>
        <v>-5.0543369147142414E-2</v>
      </c>
    </row>
    <row r="22" spans="1:19" ht="15.75" customHeight="1">
      <c r="A22" s="1" t="s">
        <v>45</v>
      </c>
      <c r="B22" s="1" t="s">
        <v>161</v>
      </c>
      <c r="C22" s="14">
        <v>-0.180194918669253</v>
      </c>
      <c r="D22" s="14">
        <v>-0.190300009318465</v>
      </c>
      <c r="E22" s="24">
        <f t="shared" si="7"/>
        <v>-4.9033560098765108</v>
      </c>
      <c r="F22" s="24">
        <f t="shared" si="7"/>
        <v>-5.178329673568479</v>
      </c>
      <c r="G22" s="50">
        <v>0.9251016230754</v>
      </c>
      <c r="H22" s="14">
        <v>-0.18581829767081301</v>
      </c>
      <c r="I22" s="24">
        <f t="shared" si="1"/>
        <v>-5.0563760252395618</v>
      </c>
      <c r="J22" s="50">
        <v>0.89659743865893005</v>
      </c>
      <c r="K22" s="14">
        <v>-0.186017508224599</v>
      </c>
      <c r="L22" s="24">
        <f t="shared" si="2"/>
        <v>-5.0617968233028536</v>
      </c>
      <c r="M22" s="50">
        <v>0.89780701470009106</v>
      </c>
      <c r="N22" s="63">
        <v>4.7300000000000004</v>
      </c>
      <c r="O22" s="14">
        <f t="shared" si="3"/>
        <v>0.17335600987651034</v>
      </c>
      <c r="P22" s="14">
        <f t="shared" si="4"/>
        <v>0.44832967356847853</v>
      </c>
      <c r="Q22" s="14">
        <f t="shared" si="5"/>
        <v>0.32637602523956133</v>
      </c>
      <c r="R22" s="14">
        <f t="shared" si="6"/>
        <v>0.33179682330285321</v>
      </c>
    </row>
    <row r="23" spans="1:19" ht="15.75" customHeight="1">
      <c r="A23" s="1" t="s">
        <v>162</v>
      </c>
      <c r="B23" s="1" t="s">
        <v>163</v>
      </c>
      <c r="C23" s="14">
        <v>-0.50007771515812804</v>
      </c>
      <c r="D23" s="14">
        <v>-0.37409298494917498</v>
      </c>
      <c r="E23" s="24">
        <f t="shared" si="7"/>
        <v>-13.607814738253886</v>
      </c>
      <c r="F23" s="24">
        <f t="shared" si="7"/>
        <v>-10.179593850645981</v>
      </c>
      <c r="G23" s="50">
        <v>0.84643394096867997</v>
      </c>
      <c r="H23" s="14">
        <v>-0.46810368921939799</v>
      </c>
      <c r="I23" s="24">
        <f t="shared" si="1"/>
        <v>-12.737756728824728</v>
      </c>
      <c r="J23" s="50">
        <v>0.98704229753222295</v>
      </c>
      <c r="K23" s="14">
        <v>-0.45070294017557899</v>
      </c>
      <c r="L23" s="24">
        <f t="shared" si="2"/>
        <v>-12.264257986293751</v>
      </c>
      <c r="M23" s="50">
        <v>0.95352320227040299</v>
      </c>
      <c r="N23" s="63">
        <v>11.3</v>
      </c>
      <c r="O23" s="14">
        <f t="shared" si="3"/>
        <v>2.3078147382538852</v>
      </c>
      <c r="P23" s="14">
        <f t="shared" si="4"/>
        <v>-1.1204061493540198</v>
      </c>
      <c r="Q23" s="14">
        <f t="shared" si="5"/>
        <v>1.437756728824727</v>
      </c>
      <c r="R23" s="14">
        <f t="shared" si="6"/>
        <v>0.96425798629375059</v>
      </c>
    </row>
    <row r="24" spans="1:19" ht="15.75" customHeight="1">
      <c r="A24" s="1" t="s">
        <v>164</v>
      </c>
      <c r="B24" s="1" t="s">
        <v>165</v>
      </c>
      <c r="C24" s="14">
        <v>-0.85202559500769703</v>
      </c>
      <c r="D24" s="14">
        <v>-0.74253799741690996</v>
      </c>
      <c r="E24" s="24">
        <f t="shared" si="7"/>
        <v>-23.18480927599245</v>
      </c>
      <c r="F24" s="24">
        <f t="shared" si="7"/>
        <v>-20.205498462910505</v>
      </c>
      <c r="G24" s="50">
        <v>0.92102272669960905</v>
      </c>
      <c r="H24" s="14">
        <v>-0.78626096523308697</v>
      </c>
      <c r="I24" s="24">
        <f t="shared" si="1"/>
        <v>-21.395261629343622</v>
      </c>
      <c r="J24" s="50">
        <v>0.94732916927131805</v>
      </c>
      <c r="K24" s="14">
        <v>-0.780795426654739</v>
      </c>
      <c r="L24" s="24">
        <f t="shared" si="2"/>
        <v>-21.246536672872764</v>
      </c>
      <c r="M24" s="50">
        <v>0.94387967102618398</v>
      </c>
      <c r="N24" s="63">
        <v>21.56</v>
      </c>
      <c r="O24" s="14">
        <f t="shared" si="3"/>
        <v>1.6248092759924511</v>
      </c>
      <c r="P24" s="14">
        <f t="shared" si="4"/>
        <v>-1.3545015370894937</v>
      </c>
      <c r="Q24" s="14">
        <f t="shared" si="5"/>
        <v>-0.16473837065637653</v>
      </c>
      <c r="R24" s="14">
        <f t="shared" si="6"/>
        <v>-0.31346332712723424</v>
      </c>
    </row>
    <row r="25" spans="1:19" ht="15.75" customHeight="1">
      <c r="A25" s="1" t="s">
        <v>166</v>
      </c>
      <c r="B25" s="1" t="s">
        <v>167</v>
      </c>
      <c r="C25" s="14">
        <v>-0.49270039349936201</v>
      </c>
      <c r="D25" s="14">
        <v>-0.48039791812046301</v>
      </c>
      <c r="E25" s="24">
        <f t="shared" si="7"/>
        <v>-13.40706748766854</v>
      </c>
      <c r="F25" s="24">
        <f t="shared" si="7"/>
        <v>-13.072299909143167</v>
      </c>
      <c r="G25" s="50">
        <v>0.93661140355554096</v>
      </c>
      <c r="H25" s="14">
        <v>-0.47641555654317103</v>
      </c>
      <c r="I25" s="24">
        <f t="shared" si="1"/>
        <v>-12.963934275318845</v>
      </c>
      <c r="J25" s="50">
        <v>0.92888552099191202</v>
      </c>
      <c r="K25" s="14">
        <v>-0.476712531507824</v>
      </c>
      <c r="L25" s="24">
        <f t="shared" si="2"/>
        <v>-12.972015379872003</v>
      </c>
      <c r="M25" s="50">
        <v>0.92945669262594499</v>
      </c>
      <c r="N25" s="63">
        <v>12.03</v>
      </c>
      <c r="O25" s="14">
        <f t="shared" si="3"/>
        <v>1.3770674876685405</v>
      </c>
      <c r="P25" s="14">
        <f t="shared" si="4"/>
        <v>1.0422999091431677</v>
      </c>
      <c r="Q25" s="14">
        <f t="shared" si="5"/>
        <v>0.93393427531884576</v>
      </c>
      <c r="R25" s="14">
        <f t="shared" si="6"/>
        <v>0.94201537987200368</v>
      </c>
    </row>
    <row r="26" spans="1:19" ht="15.75" customHeight="1">
      <c r="A26" s="1" t="s">
        <v>168</v>
      </c>
      <c r="B26" s="1" t="s">
        <v>160</v>
      </c>
      <c r="C26" s="14">
        <v>-0.39133608582489199</v>
      </c>
      <c r="D26" s="14">
        <v>-0.39100719159184599</v>
      </c>
      <c r="E26" s="24">
        <f t="shared" si="7"/>
        <v>-10.648802765815466</v>
      </c>
      <c r="F26" s="24">
        <f t="shared" si="7"/>
        <v>-10.639853093282358</v>
      </c>
      <c r="G26" s="50">
        <v>0.93615235934144203</v>
      </c>
      <c r="H26" s="14">
        <v>-0.38939715331670399</v>
      </c>
      <c r="I26" s="24">
        <f t="shared" si="1"/>
        <v>-10.596041697762159</v>
      </c>
      <c r="J26" s="50">
        <v>0.92869807801911697</v>
      </c>
      <c r="K26" s="14">
        <v>-0.38954815609137899</v>
      </c>
      <c r="L26" s="24">
        <f t="shared" si="2"/>
        <v>-10.600150694664951</v>
      </c>
      <c r="M26" s="50">
        <v>0.92939364894932497</v>
      </c>
      <c r="N26" s="63">
        <v>11</v>
      </c>
      <c r="O26" s="14">
        <f t="shared" si="3"/>
        <v>-0.35119723418453397</v>
      </c>
      <c r="P26" s="14">
        <f t="shared" si="4"/>
        <v>-0.36014690671764171</v>
      </c>
      <c r="Q26" s="14">
        <f t="shared" si="5"/>
        <v>-0.40395830223784124</v>
      </c>
      <c r="R26" s="14">
        <f t="shared" si="6"/>
        <v>-0.39984930533504937</v>
      </c>
    </row>
    <row r="27" spans="1:19" ht="15.75" customHeight="1">
      <c r="A27" s="1" t="s">
        <v>169</v>
      </c>
      <c r="B27" s="1" t="s">
        <v>170</v>
      </c>
      <c r="C27" s="14">
        <v>-0.38347882775468201</v>
      </c>
      <c r="D27" s="14">
        <v>-0.380362274946</v>
      </c>
      <c r="E27" s="24">
        <f t="shared" si="7"/>
        <v>-10.434995773563754</v>
      </c>
      <c r="F27" s="24">
        <f t="shared" si="7"/>
        <v>-10.350190008465585</v>
      </c>
      <c r="G27" s="50">
        <v>0.86181455558879705</v>
      </c>
      <c r="H27" s="14">
        <v>-0.40959459335024601</v>
      </c>
      <c r="I27" s="24">
        <f t="shared" si="1"/>
        <v>-11.145642317490884</v>
      </c>
      <c r="J27" s="50">
        <v>0.889685623380851</v>
      </c>
      <c r="K27" s="14">
        <v>-0.40457418261115702</v>
      </c>
      <c r="L27" s="24">
        <f t="shared" si="2"/>
        <v>-11.009029912705239</v>
      </c>
      <c r="M27" s="50">
        <v>0.88463627755531704</v>
      </c>
      <c r="N27" s="63">
        <v>10.72</v>
      </c>
      <c r="O27" s="14">
        <f t="shared" si="3"/>
        <v>-0.28500422643624646</v>
      </c>
      <c r="P27" s="14">
        <f t="shared" si="4"/>
        <v>-0.36980999153441552</v>
      </c>
      <c r="Q27" s="14">
        <f t="shared" si="5"/>
        <v>0.42564231749088322</v>
      </c>
      <c r="R27" s="14">
        <f t="shared" si="6"/>
        <v>0.2890299127052387</v>
      </c>
    </row>
    <row r="28" spans="1:19" ht="15.75" customHeight="1">
      <c r="A28" s="1" t="s">
        <v>171</v>
      </c>
      <c r="B28" s="1" t="s">
        <v>172</v>
      </c>
      <c r="C28" s="14">
        <v>-0.48415232956186299</v>
      </c>
      <c r="D28" s="14">
        <v>-0.37581855917659401</v>
      </c>
      <c r="E28" s="24">
        <f t="shared" si="7"/>
        <v>-13.17446270063968</v>
      </c>
      <c r="F28" s="24">
        <f t="shared" si="7"/>
        <v>-10.226549141177971</v>
      </c>
      <c r="G28" s="50">
        <v>0.87001288035021496</v>
      </c>
      <c r="H28" s="14">
        <v>-0.42342174691309298</v>
      </c>
      <c r="I28" s="24">
        <f t="shared" si="1"/>
        <v>-11.521898523950938</v>
      </c>
      <c r="J28" s="50">
        <v>0.90232033593085104</v>
      </c>
      <c r="K28" s="14">
        <v>-0.41488136134311898</v>
      </c>
      <c r="L28" s="24">
        <f t="shared" si="2"/>
        <v>-11.289502676052148</v>
      </c>
      <c r="M28" s="50">
        <v>0.89615670564000605</v>
      </c>
      <c r="N28" s="63">
        <v>11.7</v>
      </c>
      <c r="O28" s="14">
        <f t="shared" si="3"/>
        <v>1.4744627006396804</v>
      </c>
      <c r="P28" s="14">
        <f t="shared" si="4"/>
        <v>-1.4734508588220283</v>
      </c>
      <c r="Q28" s="14">
        <f t="shared" si="5"/>
        <v>-0.17810147604906135</v>
      </c>
      <c r="R28" s="14">
        <f t="shared" si="6"/>
        <v>-0.4104973239478511</v>
      </c>
    </row>
    <row r="29" spans="1:19" ht="15.75" customHeight="1">
      <c r="A29" s="1" t="s">
        <v>173</v>
      </c>
      <c r="B29" s="1" t="s">
        <v>174</v>
      </c>
      <c r="C29" s="14">
        <v>-0.92065376658696896</v>
      </c>
      <c r="D29" s="14">
        <v>-0.90297529752982597</v>
      </c>
      <c r="E29" s="24">
        <f t="shared" si="7"/>
        <v>-25.052277904104649</v>
      </c>
      <c r="F29" s="24">
        <f t="shared" si="7"/>
        <v>-24.571222011203108</v>
      </c>
      <c r="G29" s="50">
        <v>0.96631379897953495</v>
      </c>
      <c r="H29" s="14">
        <v>-0.89756611564044497</v>
      </c>
      <c r="I29" s="24">
        <f t="shared" si="1"/>
        <v>-24.424030599138405</v>
      </c>
      <c r="J29" s="50">
        <v>0.96259739624988105</v>
      </c>
      <c r="K29" s="14">
        <v>-0.89759580981834797</v>
      </c>
      <c r="L29" s="24">
        <f t="shared" si="2"/>
        <v>-24.424838619290995</v>
      </c>
      <c r="M29" s="50">
        <v>0.96261801489749699</v>
      </c>
      <c r="N29" s="63">
        <v>24.59</v>
      </c>
      <c r="O29" s="14">
        <f t="shared" si="3"/>
        <v>0.4622779041046492</v>
      </c>
      <c r="P29" s="14">
        <f t="shared" si="4"/>
        <v>-1.877798879689152E-2</v>
      </c>
      <c r="Q29" s="14">
        <f t="shared" si="5"/>
        <v>-0.16596940086159506</v>
      </c>
      <c r="R29" s="14">
        <f t="shared" si="6"/>
        <v>-0.1651613807090051</v>
      </c>
    </row>
    <row r="30" spans="1:19" ht="15.75" customHeight="1">
      <c r="A30" s="1" t="s">
        <v>175</v>
      </c>
      <c r="B30" s="1" t="s">
        <v>172</v>
      </c>
      <c r="C30" s="14">
        <v>-0.38525095850267599</v>
      </c>
      <c r="D30" s="14">
        <v>-0.32463773181479799</v>
      </c>
      <c r="E30" s="24">
        <f t="shared" si="7"/>
        <v>-10.483217932199718</v>
      </c>
      <c r="F30" s="24">
        <f t="shared" si="7"/>
        <v>-8.8338471755051948</v>
      </c>
      <c r="G30" s="50">
        <v>0.89067402062455203</v>
      </c>
      <c r="H30" s="14">
        <v>-0.349846879548047</v>
      </c>
      <c r="I30" s="24">
        <f t="shared" si="1"/>
        <v>-9.5198233781337258</v>
      </c>
      <c r="J30" s="50">
        <v>0.91080749194287702</v>
      </c>
      <c r="K30" s="14">
        <v>-0.34588824944282898</v>
      </c>
      <c r="L30" s="24">
        <f t="shared" si="2"/>
        <v>-9.4121035108885973</v>
      </c>
      <c r="M30" s="50">
        <v>0.90750544894863205</v>
      </c>
      <c r="N30" s="63">
        <v>8.89</v>
      </c>
      <c r="O30" s="14">
        <f t="shared" si="3"/>
        <v>1.5932179321997175</v>
      </c>
      <c r="P30" s="14">
        <f t="shared" si="4"/>
        <v>-5.6152824494805742E-2</v>
      </c>
      <c r="Q30" s="14">
        <f t="shared" si="5"/>
        <v>0.62982337813372524</v>
      </c>
      <c r="R30" s="14">
        <f t="shared" si="6"/>
        <v>0.52210351088859674</v>
      </c>
    </row>
    <row r="31" spans="1:19" ht="15.75" customHeight="1">
      <c r="A31" s="1" t="s">
        <v>176</v>
      </c>
      <c r="B31" s="1" t="s">
        <v>177</v>
      </c>
      <c r="C31" s="14">
        <v>-0.406720830106655</v>
      </c>
      <c r="D31" s="14">
        <v>-0.39046646772828703</v>
      </c>
      <c r="E31" s="24">
        <f t="shared" si="7"/>
        <v>-11.067443196364232</v>
      </c>
      <c r="F31" s="24">
        <f t="shared" si="7"/>
        <v>-10.625139239941509</v>
      </c>
      <c r="G31" s="14">
        <v>0.87381356667496801</v>
      </c>
      <c r="H31" s="14">
        <v>-0.40737212281433899</v>
      </c>
      <c r="I31" s="24">
        <f t="shared" si="1"/>
        <v>-11.085165782750105</v>
      </c>
      <c r="J31" s="14">
        <v>0.885033867218467</v>
      </c>
      <c r="K31" s="14">
        <v>-0.40450687039238797</v>
      </c>
      <c r="L31" s="24">
        <f t="shared" si="2"/>
        <v>-11.007198252995426</v>
      </c>
      <c r="M31" s="14">
        <v>0.88309827633767601</v>
      </c>
      <c r="N31" s="63">
        <v>12.54</v>
      </c>
      <c r="O31" s="14">
        <f t="shared" si="3"/>
        <v>-1.4725568036357668</v>
      </c>
      <c r="P31" s="14">
        <f t="shared" si="4"/>
        <v>-1.9148607600584899</v>
      </c>
      <c r="Q31" s="14">
        <f t="shared" si="5"/>
        <v>-1.4548342172498945</v>
      </c>
      <c r="R31" s="14">
        <f t="shared" si="6"/>
        <v>-1.5328017470045729</v>
      </c>
    </row>
    <row r="32" spans="1:19" ht="15.75" customHeight="1">
      <c r="A32" s="1" t="s">
        <v>178</v>
      </c>
      <c r="B32" s="1" t="s">
        <v>179</v>
      </c>
      <c r="C32" s="14">
        <v>-0.46133688910313803</v>
      </c>
      <c r="D32" s="14">
        <v>-0.43634538743054502</v>
      </c>
      <c r="E32" s="24">
        <f t="shared" si="7"/>
        <v>-12.553622624141131</v>
      </c>
      <c r="F32" s="24">
        <f t="shared" si="7"/>
        <v>-11.873568875527534</v>
      </c>
      <c r="G32" s="14">
        <v>0.91973952019400596</v>
      </c>
      <c r="H32" s="14">
        <v>-0.43497638461879701</v>
      </c>
      <c r="I32" s="24">
        <f t="shared" si="1"/>
        <v>-11.836316392415933</v>
      </c>
      <c r="J32" s="14">
        <v>0.91318460672525803</v>
      </c>
      <c r="K32" s="14">
        <v>-0.43511753237605799</v>
      </c>
      <c r="L32" s="24">
        <f t="shared" si="2"/>
        <v>-11.840157220497865</v>
      </c>
      <c r="M32" s="14">
        <v>0.91385793301780605</v>
      </c>
      <c r="N32" s="63">
        <v>11.9</v>
      </c>
      <c r="O32" s="14">
        <f t="shared" si="3"/>
        <v>0.65362262414113026</v>
      </c>
      <c r="P32" s="14">
        <f t="shared" si="4"/>
        <v>-2.6431124472466649E-2</v>
      </c>
      <c r="Q32" s="14">
        <f t="shared" si="5"/>
        <v>-6.3683607584067659E-2</v>
      </c>
      <c r="R32" s="14">
        <f t="shared" si="6"/>
        <v>-5.9842779502135457E-2</v>
      </c>
    </row>
    <row r="33" spans="1:18" ht="15.75" customHeight="1">
      <c r="A33" s="1" t="s">
        <v>180</v>
      </c>
      <c r="B33" s="1" t="s">
        <v>160</v>
      </c>
      <c r="C33" s="14">
        <v>-0.59334785436399795</v>
      </c>
      <c r="D33" s="14">
        <v>-0.59812672181929605</v>
      </c>
      <c r="E33" s="24">
        <f t="shared" si="7"/>
        <v>-16.145825804240495</v>
      </c>
      <c r="F33" s="24">
        <f t="shared" si="7"/>
        <v>-16.275865478113595</v>
      </c>
      <c r="G33" s="14">
        <v>0.96415906547784203</v>
      </c>
      <c r="H33" s="14">
        <v>-0.59502243059409599</v>
      </c>
      <c r="I33" s="24">
        <f t="shared" si="1"/>
        <v>-16.191393367868184</v>
      </c>
      <c r="J33" s="14">
        <v>0.96010076443248804</v>
      </c>
      <c r="K33" s="14">
        <v>-0.59510625537319495</v>
      </c>
      <c r="L33" s="24">
        <f t="shared" si="2"/>
        <v>-16.193674357462157</v>
      </c>
      <c r="M33" s="14">
        <v>0.96020972579852903</v>
      </c>
      <c r="N33" s="63">
        <v>15.43</v>
      </c>
      <c r="O33" s="14">
        <f t="shared" si="3"/>
        <v>0.71582580424049524</v>
      </c>
      <c r="P33" s="14">
        <f t="shared" si="4"/>
        <v>0.8458654781135948</v>
      </c>
      <c r="Q33" s="14">
        <f t="shared" si="5"/>
        <v>0.7613933678681839</v>
      </c>
      <c r="R33" s="14">
        <f t="shared" si="6"/>
        <v>0.76367435746215762</v>
      </c>
    </row>
    <row r="34" spans="1:18" ht="15.75" customHeight="1">
      <c r="A34" s="1" t="s">
        <v>181</v>
      </c>
      <c r="B34" s="1" t="s">
        <v>182</v>
      </c>
      <c r="C34" s="14">
        <v>-0.37813609807314502</v>
      </c>
      <c r="D34" s="14">
        <v>-0.372639042014837</v>
      </c>
      <c r="E34" s="24">
        <f t="shared" ref="E34:F36" si="8">C34*27.2114</f>
        <v>-10.289612619107579</v>
      </c>
      <c r="F34" s="24">
        <f t="shared" si="8"/>
        <v>-10.140030027882537</v>
      </c>
      <c r="G34" s="14">
        <v>0.92381070861474501</v>
      </c>
      <c r="H34" s="14">
        <v>-0.371847360270394</v>
      </c>
      <c r="I34" s="24">
        <f t="shared" si="1"/>
        <v>-10.1184872592618</v>
      </c>
      <c r="J34" s="14">
        <v>0.91773301985918299</v>
      </c>
      <c r="K34" s="14">
        <v>-0.37193005319063199</v>
      </c>
      <c r="L34" s="24">
        <f t="shared" si="2"/>
        <v>-10.120737449391564</v>
      </c>
      <c r="M34" s="14">
        <v>0.91836711055424802</v>
      </c>
      <c r="N34" s="63">
        <v>10.59</v>
      </c>
      <c r="O34" s="14">
        <f t="shared" si="3"/>
        <v>-0.30038738089242045</v>
      </c>
      <c r="P34" s="14">
        <f t="shared" si="4"/>
        <v>-0.44996997211746326</v>
      </c>
      <c r="Q34" s="14">
        <f t="shared" si="5"/>
        <v>-0.47151274073820026</v>
      </c>
      <c r="R34" s="14">
        <f t="shared" si="6"/>
        <v>-0.4692625506084358</v>
      </c>
    </row>
    <row r="35" spans="1:18" ht="15.75" customHeight="1">
      <c r="A35" s="1" t="s">
        <v>183</v>
      </c>
      <c r="B35" s="1" t="s">
        <v>184</v>
      </c>
      <c r="C35" s="58">
        <v>-0.35942407329693599</v>
      </c>
      <c r="D35" s="58">
        <v>-0.38002832017624999</v>
      </c>
      <c r="E35" s="24">
        <f t="shared" si="8"/>
        <v>-9.7804322281122449</v>
      </c>
      <c r="F35" s="24">
        <f t="shared" si="8"/>
        <v>-10.341102631644009</v>
      </c>
      <c r="G35" s="59">
        <v>0.89781111999135899</v>
      </c>
      <c r="H35" s="58">
        <v>-0.38100713908070799</v>
      </c>
      <c r="I35" s="24">
        <f t="shared" si="1"/>
        <v>-10.367737664380778</v>
      </c>
      <c r="J35" s="59">
        <v>0.89461024993736404</v>
      </c>
      <c r="K35" s="58">
        <v>-0.38090214685898299</v>
      </c>
      <c r="L35" s="24">
        <f t="shared" si="2"/>
        <v>-10.36488067903853</v>
      </c>
      <c r="M35" s="59">
        <v>0.89495540507913696</v>
      </c>
      <c r="N35" s="63">
        <v>10.62</v>
      </c>
      <c r="O35" s="14">
        <f t="shared" si="3"/>
        <v>-0.83956777188775433</v>
      </c>
      <c r="P35" s="14">
        <f t="shared" si="4"/>
        <v>-0.27889736835598988</v>
      </c>
      <c r="Q35" s="14">
        <f t="shared" si="5"/>
        <v>-0.25226233561922129</v>
      </c>
      <c r="R35" s="14">
        <f t="shared" si="6"/>
        <v>-0.2551193209614695</v>
      </c>
    </row>
    <row r="36" spans="1:18" ht="15.75" customHeight="1">
      <c r="A36" s="1" t="s">
        <v>185</v>
      </c>
      <c r="B36" s="1" t="s">
        <v>160</v>
      </c>
      <c r="C36" s="58">
        <v>-0.43399001263660097</v>
      </c>
      <c r="D36" s="58">
        <v>-0.43669758490795202</v>
      </c>
      <c r="E36" s="24">
        <f t="shared" si="8"/>
        <v>-11.809475829859604</v>
      </c>
      <c r="F36" s="24">
        <f t="shared" si="8"/>
        <v>-11.883152661964246</v>
      </c>
      <c r="G36" s="59">
        <v>0.84697735659273099</v>
      </c>
      <c r="H36" s="58">
        <v>-0.46515605080389699</v>
      </c>
      <c r="I36" s="24">
        <f t="shared" si="1"/>
        <v>-12.657547360845163</v>
      </c>
      <c r="J36" s="59">
        <v>0.89814938410562795</v>
      </c>
      <c r="K36" s="58">
        <v>-0.45978250162198098</v>
      </c>
      <c r="L36" s="24">
        <f t="shared" si="2"/>
        <v>-12.511325564636374</v>
      </c>
      <c r="M36" s="59">
        <v>0.88749967666555596</v>
      </c>
      <c r="N36" s="63">
        <v>11.88</v>
      </c>
      <c r="O36" s="14">
        <f t="shared" si="3"/>
        <v>-7.0524170140396691E-2</v>
      </c>
      <c r="P36" s="14">
        <f t="shared" si="4"/>
        <v>3.1526619642452403E-3</v>
      </c>
      <c r="Q36" s="14">
        <f t="shared" si="5"/>
        <v>0.77754736084516196</v>
      </c>
      <c r="R36" s="14">
        <f t="shared" si="6"/>
        <v>0.63132556463637357</v>
      </c>
    </row>
    <row r="38" spans="1:18" ht="15.75" customHeight="1">
      <c r="N38" s="1" t="s">
        <v>5</v>
      </c>
      <c r="O38" s="14">
        <f ca="1">IFERROR(__xludf.DUMMYFUNCTION("ARRAYFORMULA(SUM(FILTER(O2:O36, ROW(O2:O36)&lt;&gt;3, ROW(O2:O36)&lt;&gt;4)) / (ROWS(O2:O36)-2))"),0.567439852042528)</f>
        <v>0.567439852042528</v>
      </c>
      <c r="P38" s="14">
        <f ca="1">IFERROR(__xludf.DUMMYFUNCTION("ARRAYFORMULA(SUM(FILTER(P2:P36, ROW(P2:P36)&lt;&gt;3, ROW(P2:P36)&lt;&gt;4)) / (ROWS(P2:P36)-2))"),-0.41384045699003)</f>
        <v>-0.41384045699003003</v>
      </c>
      <c r="Q38" s="14">
        <f ca="1">IFERROR(__xludf.DUMMYFUNCTION("ARRAYFORMULA(SUM(FILTER(Q2:Q36, ROW(Q2:Q36)&lt;&gt;3, ROW(Q2:Q36)&lt;&gt;4)) / (ROWS(Q2:Q36)-2))"),0.207952559142013)</f>
        <v>0.20795255914201299</v>
      </c>
      <c r="R38" s="14">
        <f ca="1">IFERROR(__xludf.DUMMYFUNCTION("ARRAYFORMULA(SUM(FILTER(R2:R36, ROW(R2:R36)&lt;&gt;3, ROW(R2:R36)&lt;&gt;4)) / (ROWS(R2:R36)-2))"),0.101322783074354)</f>
        <v>0.10132278307435399</v>
      </c>
    </row>
    <row r="39" spans="1:18" ht="15.75" customHeight="1">
      <c r="N39" s="9" t="s">
        <v>6</v>
      </c>
      <c r="O39" s="31">
        <f ca="1">IFERROR(__xludf.DUMMYFUNCTION("ARRAYFORMULA(SUM(ABS(FILTER(O2:O36, ROW(O2:O36)&lt;&gt;3, ROW(O2:O36)&lt;&gt;4))) / (ROWS(O2:O36)-2))"),0.873948130308956)</f>
        <v>0.87394813030895602</v>
      </c>
      <c r="P39" s="31">
        <f ca="1">IFERROR(__xludf.DUMMYFUNCTION("ARRAYFORMULA(SUM(ABS(FILTER(P2:P36, ROW(P2:P36)&lt;&gt;3, ROW(P2:P36)&lt;&gt;4))) / (ROWS(P2:P36)-2))"),0.627978285715344)</f>
        <v>0.62797828571534398</v>
      </c>
      <c r="Q39" s="31">
        <f ca="1">IFERROR(__xludf.DUMMYFUNCTION("ARRAYFORMULA(SUM(ABS(FILTER(Q2:Q36, ROW(Q2:Q36)&lt;&gt;3, ROW(Q2:Q36)&lt;&gt;4))) / (ROWS(Q2:Q36)-2))"),0.465404795272623)</f>
        <v>0.46540479527262302</v>
      </c>
      <c r="R39" s="31">
        <f ca="1">IFERROR(__xludf.DUMMYFUNCTION("ARRAYFORMULA(SUM(ABS(FILTER(R2:R36, ROW(R2:R36)&lt;&gt;3, ROW(R2:R36)&lt;&gt;4))) / (ROWS(R2:R36)-2))"),0.450063747602906)</f>
        <v>0.45006374760290602</v>
      </c>
    </row>
    <row r="40" spans="1:18" ht="15.75" customHeight="1">
      <c r="N40" s="9" t="s">
        <v>7</v>
      </c>
      <c r="O40" s="31">
        <f ca="1">IFERROR(__xludf.DUMMYFUNCTION("ARRAYFORMULA(sqrt(SUM(ABS(FILTER(O2:O36, ROW(O2:O36)&lt;&gt;3, ROW(O2:O36)&lt;&gt;4))^2) / (ROWS(O2:O36)-2)))"),1.05203570700881)</f>
        <v>1.05203570700881</v>
      </c>
      <c r="P40" s="31">
        <f ca="1">IFERROR(__xludf.DUMMYFUNCTION("ARRAYFORMULA(sqrt(SUM(ABS(FILTER(P2:P36, ROW(P2:P36)&lt;&gt;3, ROW(P2:P36)&lt;&gt;4))^2) / (ROWS(P2:P36)-2)))"),0.818995125558021)</f>
        <v>0.81899512555802101</v>
      </c>
      <c r="Q40" s="31">
        <f ca="1">IFERROR(__xludf.DUMMYFUNCTION("ARRAYFORMULA(sqrt(SUM(ABS(FILTER(Q2:Q36, ROW(Q2:Q36)&lt;&gt;3, ROW(Q2:Q36)&lt;&gt;4))^2) / (ROWS(Q2:Q36)-2)))"),0.632407923094735)</f>
        <v>0.63240792309473504</v>
      </c>
      <c r="R40" s="31">
        <f ca="1">IFERROR(__xludf.DUMMYFUNCTION("ARRAYFORMULA(sqrt(SUM(ABS(FILTER(R2:R36, ROW(R2:R36)&lt;&gt;3, ROW(R2:R36)&lt;&gt;4))^2) / (ROWS(R2:R36)-2)))"),0.576111003336791)</f>
        <v>0.57611100333679099</v>
      </c>
    </row>
    <row r="41" spans="1:18" ht="15.75" customHeight="1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5.75" customHeight="1">
      <c r="O43" s="1" t="s">
        <v>16</v>
      </c>
      <c r="P43" s="58">
        <f ca="1">IFERROR(__xludf.DUMMYFUNCTION("AVERAGE(FILTER(G2:G36, (ROW(G2:G36)&lt;&gt;3) * (ROW(G2:G36)&lt;&gt;4)))"),0.895182019582356)</f>
        <v>0.89518201958235599</v>
      </c>
      <c r="Q43" s="58">
        <f ca="1">IFERROR(__xludf.DUMMYFUNCTION("AVERAGE(FILTER(J2:J36, (ROW(J2:J36)&lt;&gt;3) * (ROW(J2:J36)&lt;&gt;4)))"),0.914775216557121)</f>
        <v>0.91477521655712102</v>
      </c>
      <c r="R43" s="58">
        <f ca="1">IFERROR(__xludf.DUMMYFUNCTION("AVERAGE(FILTER(M2:M36, (ROW(M2:M36)&lt;&gt;3) * (ROW(M2:M36)&lt;&gt;4)))"),0.910796066038722)</f>
        <v>0.91079606603872199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FD47-EF2F-4CEF-905E-3E1A4354A3BB}">
  <sheetPr>
    <outlinePr summaryBelow="0" summaryRight="0"/>
  </sheetPr>
  <dimension ref="A1:S43"/>
  <sheetViews>
    <sheetView workbookViewId="0">
      <selection activeCell="D25" sqref="D25"/>
    </sheetView>
  </sheetViews>
  <sheetFormatPr defaultColWidth="12.6640625" defaultRowHeight="15.75" customHeight="1"/>
  <cols>
    <col min="1" max="1" width="9.44140625" style="2" customWidth="1"/>
    <col min="2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5.75" customHeight="1">
      <c r="A1" s="1" t="s">
        <v>40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186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5.75" customHeight="1">
      <c r="A2" s="1" t="s">
        <v>128</v>
      </c>
      <c r="B2" s="1" t="s">
        <v>129</v>
      </c>
      <c r="C2" s="14">
        <v>-0.611363126770059</v>
      </c>
      <c r="D2" s="14">
        <v>-0.533988241091372</v>
      </c>
      <c r="E2" s="24">
        <f t="shared" ref="E2:F17" si="0">C2*27.2114</f>
        <v>-16.636046587790783</v>
      </c>
      <c r="F2" s="24">
        <f t="shared" si="0"/>
        <v>-14.530567623633761</v>
      </c>
      <c r="G2" s="50">
        <v>0.88201467133516598</v>
      </c>
      <c r="H2" s="14">
        <v>-0.57126130868640501</v>
      </c>
      <c r="I2" s="24">
        <f t="shared" ref="I2:I36" si="1">H2*27.2114</f>
        <v>-15.544819975189242</v>
      </c>
      <c r="J2" s="50">
        <v>0.91101231423672901</v>
      </c>
      <c r="K2" s="14">
        <v>-0.56409213171862405</v>
      </c>
      <c r="L2" s="24">
        <f t="shared" ref="L2:L36" si="2">K2*27.2114</f>
        <v>-15.349736633048167</v>
      </c>
      <c r="M2" s="50">
        <v>0.90511195567979696</v>
      </c>
      <c r="N2" s="51">
        <v>15.327</v>
      </c>
      <c r="O2" s="14">
        <f t="shared" ref="O2:O36" si="3">-E2-N2</f>
        <v>1.3090465877907835</v>
      </c>
      <c r="P2" s="14">
        <f t="shared" ref="P2:P36" si="4">-F2-N2</f>
        <v>-0.79643237636623887</v>
      </c>
      <c r="Q2" s="14">
        <f t="shared" ref="Q2:Q36" si="5">-I2-N2</f>
        <v>0.21781997518924179</v>
      </c>
      <c r="R2" s="14">
        <f t="shared" ref="R2:R36" si="6">-L2-N2</f>
        <v>2.2736633048166865E-2</v>
      </c>
    </row>
    <row r="3" spans="1:18" ht="15.75" customHeight="1">
      <c r="B3" s="1" t="s">
        <v>130</v>
      </c>
      <c r="C3" s="14">
        <v>-0.600405102595713</v>
      </c>
      <c r="D3" s="14">
        <v>-0.62127316872122196</v>
      </c>
      <c r="E3" s="24">
        <f t="shared" si="0"/>
        <v>-16.337863408772986</v>
      </c>
      <c r="F3" s="24">
        <f t="shared" si="0"/>
        <v>-16.905712703340662</v>
      </c>
      <c r="G3" s="50">
        <v>0.90935017513104099</v>
      </c>
      <c r="H3" s="14">
        <v>-0.62761117124655696</v>
      </c>
      <c r="I3" s="24">
        <f t="shared" si="1"/>
        <v>-17.078178625258563</v>
      </c>
      <c r="J3" s="50">
        <v>0.91302491383627904</v>
      </c>
      <c r="K3" s="14">
        <v>-0.62695520674267702</v>
      </c>
      <c r="L3" s="24">
        <f t="shared" si="2"/>
        <v>-17.060328912757683</v>
      </c>
      <c r="M3" s="50">
        <v>0.91264147928982897</v>
      </c>
      <c r="N3" s="51">
        <v>17.050999999999998</v>
      </c>
      <c r="O3" s="14">
        <f t="shared" si="3"/>
        <v>-0.71313659122701267</v>
      </c>
      <c r="P3" s="14">
        <f t="shared" si="4"/>
        <v>-0.14528729665933682</v>
      </c>
      <c r="Q3" s="14">
        <f t="shared" si="5"/>
        <v>2.7178625258564182E-2</v>
      </c>
      <c r="R3" s="14">
        <f t="shared" si="6"/>
        <v>9.3289127576845488E-3</v>
      </c>
    </row>
    <row r="4" spans="1:18" ht="15.75" customHeight="1">
      <c r="B4" s="1" t="s">
        <v>131</v>
      </c>
      <c r="C4" s="14">
        <v>-0.76231769019395601</v>
      </c>
      <c r="D4" s="14">
        <v>-0.64878967503380902</v>
      </c>
      <c r="E4" s="24">
        <f t="shared" si="0"/>
        <v>-20.743731594943814</v>
      </c>
      <c r="F4" s="24">
        <f t="shared" si="0"/>
        <v>-17.654475363214992</v>
      </c>
      <c r="G4" s="50">
        <v>0.844200826656336</v>
      </c>
      <c r="H4" s="14">
        <v>-0.69521311741530201</v>
      </c>
      <c r="I4" s="24">
        <f t="shared" si="1"/>
        <v>-18.917722223234751</v>
      </c>
      <c r="J4" s="50">
        <v>0.88567878727290394</v>
      </c>
      <c r="K4" s="14">
        <v>-0.68513792035867904</v>
      </c>
      <c r="L4" s="24">
        <f t="shared" si="2"/>
        <v>-18.64356200604816</v>
      </c>
      <c r="M4" s="50">
        <v>0.87582550464305498</v>
      </c>
      <c r="N4" s="51">
        <v>18.634</v>
      </c>
      <c r="O4" s="14">
        <f t="shared" si="3"/>
        <v>2.1097315949438133</v>
      </c>
      <c r="P4" s="14">
        <f t="shared" si="4"/>
        <v>-0.97952463678500834</v>
      </c>
      <c r="Q4" s="14">
        <f t="shared" si="5"/>
        <v>0.28372222323475071</v>
      </c>
      <c r="R4" s="14">
        <f t="shared" si="6"/>
        <v>9.5620060481600433E-3</v>
      </c>
    </row>
    <row r="5" spans="1:18" ht="15.75" customHeight="1">
      <c r="A5" s="1" t="s">
        <v>132</v>
      </c>
      <c r="B5" s="1" t="s">
        <v>133</v>
      </c>
      <c r="C5" s="14">
        <v>-0.50961866088418295</v>
      </c>
      <c r="D5" s="14">
        <v>-0.42429887321906801</v>
      </c>
      <c r="E5" s="24">
        <f t="shared" si="0"/>
        <v>-13.867437228783857</v>
      </c>
      <c r="F5" s="24">
        <f t="shared" si="0"/>
        <v>-11.545766358713347</v>
      </c>
      <c r="G5" s="50">
        <v>0.88822286788947702</v>
      </c>
      <c r="H5" s="14">
        <v>-0.46595585912786602</v>
      </c>
      <c r="I5" s="24">
        <f t="shared" si="1"/>
        <v>-12.679311265072014</v>
      </c>
      <c r="J5" s="50">
        <v>0.92563218447874296</v>
      </c>
      <c r="K5" s="14">
        <v>-0.45918093131427401</v>
      </c>
      <c r="L5" s="24">
        <f t="shared" si="2"/>
        <v>-12.494955994365236</v>
      </c>
      <c r="M5" s="50">
        <v>0.91908188396715096</v>
      </c>
      <c r="N5" s="65">
        <v>12.378</v>
      </c>
      <c r="O5" s="14">
        <f t="shared" si="3"/>
        <v>1.4894372287838564</v>
      </c>
      <c r="P5" s="14">
        <f t="shared" si="4"/>
        <v>-0.83223364128665267</v>
      </c>
      <c r="Q5" s="14">
        <f t="shared" si="5"/>
        <v>0.30131126507201422</v>
      </c>
      <c r="R5" s="14">
        <f t="shared" si="6"/>
        <v>0.11695599436523629</v>
      </c>
    </row>
    <row r="6" spans="1:18" ht="15.75" customHeight="1">
      <c r="A6" s="1" t="s">
        <v>134</v>
      </c>
      <c r="B6" s="1" t="s">
        <v>135</v>
      </c>
      <c r="C6" s="14">
        <v>-0.52974847548962201</v>
      </c>
      <c r="D6" s="14">
        <v>-0.49114542670493999</v>
      </c>
      <c r="E6" s="24">
        <f t="shared" si="0"/>
        <v>-14.415197665938301</v>
      </c>
      <c r="F6" s="24">
        <f t="shared" si="0"/>
        <v>-13.364754664238804</v>
      </c>
      <c r="G6" s="50">
        <v>0.90905271194916304</v>
      </c>
      <c r="H6" s="14">
        <v>-0.50223507127948896</v>
      </c>
      <c r="I6" s="24">
        <f t="shared" si="1"/>
        <v>-13.666519418614687</v>
      </c>
      <c r="J6" s="50">
        <v>0.91167683834454405</v>
      </c>
      <c r="K6" s="14">
        <v>-0.50050728160984803</v>
      </c>
      <c r="L6" s="24">
        <f t="shared" si="2"/>
        <v>-13.619503842798219</v>
      </c>
      <c r="M6" s="50">
        <v>0.91127801797325103</v>
      </c>
      <c r="N6" s="65">
        <v>13.88</v>
      </c>
      <c r="O6" s="14">
        <f t="shared" si="3"/>
        <v>0.5351976659383002</v>
      </c>
      <c r="P6" s="14">
        <f t="shared" si="4"/>
        <v>-0.5152453357611968</v>
      </c>
      <c r="Q6" s="14">
        <f t="shared" si="5"/>
        <v>-0.21348058138531378</v>
      </c>
      <c r="R6" s="14">
        <f t="shared" si="6"/>
        <v>-0.2604961572017821</v>
      </c>
    </row>
    <row r="7" spans="1:18" ht="15.75" customHeight="1">
      <c r="A7" s="1" t="s">
        <v>136</v>
      </c>
      <c r="B7" s="1" t="s">
        <v>137</v>
      </c>
      <c r="C7" s="14">
        <v>-0.423658440680661</v>
      </c>
      <c r="D7" s="14">
        <v>-0.37002011276608698</v>
      </c>
      <c r="E7" s="24">
        <f t="shared" si="0"/>
        <v>-11.528339292737739</v>
      </c>
      <c r="F7" s="24">
        <f t="shared" si="0"/>
        <v>-10.0687652965231</v>
      </c>
      <c r="G7" s="50">
        <v>0.89582636090815104</v>
      </c>
      <c r="H7" s="14">
        <v>-0.393711895387517</v>
      </c>
      <c r="I7" s="24">
        <f t="shared" si="1"/>
        <v>-10.71345187014788</v>
      </c>
      <c r="J7" s="50">
        <v>0.91853735881774401</v>
      </c>
      <c r="K7" s="14">
        <v>-0.39008357821729001</v>
      </c>
      <c r="L7" s="24">
        <f t="shared" si="2"/>
        <v>-10.614720280301965</v>
      </c>
      <c r="M7" s="50">
        <v>0.914885996895477</v>
      </c>
      <c r="N7" s="51">
        <v>10.648</v>
      </c>
      <c r="O7" s="14">
        <f t="shared" si="3"/>
        <v>0.88033929273773914</v>
      </c>
      <c r="P7" s="14">
        <f t="shared" si="4"/>
        <v>-0.57923470347689943</v>
      </c>
      <c r="Q7" s="14">
        <f t="shared" si="5"/>
        <v>6.5451870147880342E-2</v>
      </c>
      <c r="R7" s="14">
        <f t="shared" si="6"/>
        <v>-3.3279719698034782E-2</v>
      </c>
    </row>
    <row r="8" spans="1:18" ht="15.75" customHeight="1">
      <c r="A8" s="1" t="s">
        <v>138</v>
      </c>
      <c r="B8" s="1" t="s">
        <v>139</v>
      </c>
      <c r="C8" s="14">
        <v>-0.66334816452562095</v>
      </c>
      <c r="D8" s="14">
        <v>-0.51446997006220596</v>
      </c>
      <c r="E8" s="24">
        <f t="shared" si="0"/>
        <v>-18.050632244172483</v>
      </c>
      <c r="F8" s="24">
        <f t="shared" si="0"/>
        <v>-13.999448143350712</v>
      </c>
      <c r="G8" s="50">
        <v>0.86381035660794803</v>
      </c>
      <c r="H8" s="14">
        <v>-0.57902875651318397</v>
      </c>
      <c r="I8" s="24">
        <f t="shared" si="1"/>
        <v>-15.756183104982854</v>
      </c>
      <c r="J8" s="50">
        <v>0.90107144320107302</v>
      </c>
      <c r="K8" s="14">
        <v>-0.56685437061057198</v>
      </c>
      <c r="L8" s="24">
        <f t="shared" si="2"/>
        <v>-15.424901020432518</v>
      </c>
      <c r="M8" s="50">
        <v>0.89356753169964498</v>
      </c>
      <c r="N8" s="51">
        <v>15.467000000000001</v>
      </c>
      <c r="O8" s="14">
        <f t="shared" si="3"/>
        <v>2.5836322441724828</v>
      </c>
      <c r="P8" s="14">
        <f t="shared" si="4"/>
        <v>-1.4675518566492887</v>
      </c>
      <c r="Q8" s="14">
        <f t="shared" si="5"/>
        <v>0.28918310498285393</v>
      </c>
      <c r="R8" s="14">
        <f t="shared" si="6"/>
        <v>-4.2098979567482431E-2</v>
      </c>
    </row>
    <row r="9" spans="1:18" ht="15.75" customHeight="1">
      <c r="A9" s="1" t="s">
        <v>140</v>
      </c>
      <c r="B9" s="1" t="s">
        <v>141</v>
      </c>
      <c r="C9" s="14">
        <v>-0.46924843322057203</v>
      </c>
      <c r="D9" s="14">
        <v>-0.49222127556426298</v>
      </c>
      <c r="E9" s="24">
        <f t="shared" si="0"/>
        <v>-12.768906815738275</v>
      </c>
      <c r="F9" s="24">
        <f t="shared" si="0"/>
        <v>-13.394030017889387</v>
      </c>
      <c r="G9" s="50">
        <v>0.82044302127817703</v>
      </c>
      <c r="H9" s="14">
        <v>-0.52581870333622904</v>
      </c>
      <c r="I9" s="24">
        <f t="shared" si="1"/>
        <v>-14.308263063963464</v>
      </c>
      <c r="J9" s="50">
        <v>0.84441517634803898</v>
      </c>
      <c r="K9" s="14">
        <v>-0.52030966655934796</v>
      </c>
      <c r="L9" s="24">
        <f t="shared" si="2"/>
        <v>-14.158354460613042</v>
      </c>
      <c r="M9" s="50">
        <v>0.84039216550541196</v>
      </c>
      <c r="N9" s="51">
        <v>12.504</v>
      </c>
      <c r="O9" s="14">
        <f t="shared" si="3"/>
        <v>0.26490681573827501</v>
      </c>
      <c r="P9" s="14">
        <f t="shared" si="4"/>
        <v>0.89003001788938718</v>
      </c>
      <c r="Q9" s="14">
        <f t="shared" si="5"/>
        <v>1.8042630639634645</v>
      </c>
      <c r="R9" s="14">
        <f t="shared" si="6"/>
        <v>1.6543544606130425</v>
      </c>
    </row>
    <row r="10" spans="1:18" ht="15.75" customHeight="1">
      <c r="A10" s="1" t="s">
        <v>142</v>
      </c>
      <c r="B10" s="1" t="s">
        <v>143</v>
      </c>
      <c r="C10" s="14">
        <v>-0.436446747806783</v>
      </c>
      <c r="D10" s="14">
        <v>-0.36493080864655603</v>
      </c>
      <c r="E10" s="24">
        <f t="shared" si="0"/>
        <v>-11.876327033269495</v>
      </c>
      <c r="F10" s="24">
        <f t="shared" si="0"/>
        <v>-9.9302782064048944</v>
      </c>
      <c r="G10" s="50">
        <v>0.88170741193267899</v>
      </c>
      <c r="H10" s="14">
        <v>-0.40425062977915599</v>
      </c>
      <c r="I10" s="24">
        <f t="shared" si="1"/>
        <v>-11.000225587172526</v>
      </c>
      <c r="J10" s="50">
        <v>0.91981215633035895</v>
      </c>
      <c r="K10" s="14">
        <v>-0.39737006249165902</v>
      </c>
      <c r="L10" s="24">
        <f t="shared" si="2"/>
        <v>-10.812995718485531</v>
      </c>
      <c r="M10" s="50">
        <v>0.91261317544190201</v>
      </c>
      <c r="N10" s="51">
        <v>10.757</v>
      </c>
      <c r="O10" s="14">
        <f t="shared" si="3"/>
        <v>1.1193270332694958</v>
      </c>
      <c r="P10" s="14">
        <f t="shared" si="4"/>
        <v>-0.82672179359510523</v>
      </c>
      <c r="Q10" s="14">
        <f t="shared" si="5"/>
        <v>0.2432255871725264</v>
      </c>
      <c r="R10" s="14">
        <f t="shared" si="6"/>
        <v>5.5995718485531754E-2</v>
      </c>
    </row>
    <row r="11" spans="1:18" ht="15.75" customHeight="1">
      <c r="A11" s="1" t="s">
        <v>144</v>
      </c>
      <c r="B11" s="1" t="s">
        <v>130</v>
      </c>
      <c r="C11" s="14">
        <v>-0.39871865570866</v>
      </c>
      <c r="D11" s="14">
        <v>-0.40737987886673899</v>
      </c>
      <c r="E11" s="24">
        <f t="shared" si="0"/>
        <v>-10.849692827950632</v>
      </c>
      <c r="F11" s="24">
        <f t="shared" si="0"/>
        <v>-11.085376835794381</v>
      </c>
      <c r="G11" s="50">
        <v>0.90079146431003898</v>
      </c>
      <c r="H11" s="14">
        <v>-0.41622094944671101</v>
      </c>
      <c r="I11" s="24">
        <f t="shared" si="1"/>
        <v>-11.325954743774233</v>
      </c>
      <c r="J11" s="50">
        <v>0.90927969808695397</v>
      </c>
      <c r="K11" s="14">
        <v>-0.41506887556307198</v>
      </c>
      <c r="L11" s="24">
        <f t="shared" si="2"/>
        <v>-11.294605200496978</v>
      </c>
      <c r="M11" s="50">
        <v>0.90815323084926403</v>
      </c>
      <c r="N11" s="51">
        <v>11.446</v>
      </c>
      <c r="O11" s="14">
        <f t="shared" si="3"/>
        <v>-0.59630717204936801</v>
      </c>
      <c r="P11" s="14">
        <f t="shared" si="4"/>
        <v>-0.36062316420561835</v>
      </c>
      <c r="Q11" s="14">
        <f t="shared" si="5"/>
        <v>-0.12004525622576701</v>
      </c>
      <c r="R11" s="14">
        <f t="shared" si="6"/>
        <v>-0.15139479950302182</v>
      </c>
    </row>
    <row r="12" spans="1:18" ht="15.75" customHeight="1">
      <c r="A12" s="1" t="s">
        <v>145</v>
      </c>
      <c r="B12" s="1" t="s">
        <v>146</v>
      </c>
      <c r="C12" s="14">
        <v>-0.36817485167701602</v>
      </c>
      <c r="D12" s="14">
        <v>-0.37140445484651402</v>
      </c>
      <c r="E12" s="24">
        <f t="shared" si="0"/>
        <v>-10.018553158923954</v>
      </c>
      <c r="F12" s="24">
        <f t="shared" si="0"/>
        <v>-10.106435182610433</v>
      </c>
      <c r="G12" s="50">
        <v>0.90083067876745004</v>
      </c>
      <c r="H12" s="14">
        <v>-0.38156252644230698</v>
      </c>
      <c r="I12" s="24">
        <f t="shared" si="1"/>
        <v>-10.382850532032192</v>
      </c>
      <c r="J12" s="50">
        <v>0.91002051598982603</v>
      </c>
      <c r="K12" s="14">
        <v>-0.38014054409575898</v>
      </c>
      <c r="L12" s="24">
        <f t="shared" si="2"/>
        <v>-10.344156401607336</v>
      </c>
      <c r="M12" s="50">
        <v>0.90870809137453201</v>
      </c>
      <c r="N12" s="51">
        <v>10.593</v>
      </c>
      <c r="O12" s="14">
        <f t="shared" si="3"/>
        <v>-0.57444684107604616</v>
      </c>
      <c r="P12" s="14">
        <f t="shared" si="4"/>
        <v>-0.48656481738956714</v>
      </c>
      <c r="Q12" s="14">
        <f t="shared" si="5"/>
        <v>-0.21014946796780798</v>
      </c>
      <c r="R12" s="14">
        <f t="shared" si="6"/>
        <v>-0.24884359839266423</v>
      </c>
    </row>
    <row r="13" spans="1:18" ht="15.75" customHeight="1">
      <c r="A13" s="16" t="s">
        <v>147</v>
      </c>
      <c r="B13" s="1" t="s">
        <v>148</v>
      </c>
      <c r="C13" s="14">
        <v>-0.48603025498613001</v>
      </c>
      <c r="D13" s="14">
        <v>-0.495367755320335</v>
      </c>
      <c r="E13" s="24">
        <f t="shared" si="0"/>
        <v>-13.225563680529579</v>
      </c>
      <c r="F13" s="24">
        <f t="shared" si="0"/>
        <v>-13.479650137123764</v>
      </c>
      <c r="G13" s="50">
        <v>0.89512915920876801</v>
      </c>
      <c r="H13" s="14">
        <v>-0.50753290443952603</v>
      </c>
      <c r="I13" s="24">
        <f t="shared" si="1"/>
        <v>-13.810680875865719</v>
      </c>
      <c r="J13" s="50">
        <v>0.90905887754629</v>
      </c>
      <c r="K13" s="14">
        <v>-0.50596621402141495</v>
      </c>
      <c r="L13" s="24">
        <f t="shared" si="2"/>
        <v>-13.768049036222331</v>
      </c>
      <c r="M13" s="50">
        <v>0.90720804163257796</v>
      </c>
      <c r="N13" s="51">
        <v>13.805</v>
      </c>
      <c r="O13" s="14">
        <f t="shared" si="3"/>
        <v>-0.57943631947042107</v>
      </c>
      <c r="P13" s="14">
        <f t="shared" si="4"/>
        <v>-0.32534986287623546</v>
      </c>
      <c r="Q13" s="14">
        <f t="shared" si="5"/>
        <v>5.6808758657194147E-3</v>
      </c>
      <c r="R13" s="14">
        <f t="shared" si="6"/>
        <v>-3.6950963777668377E-2</v>
      </c>
    </row>
    <row r="14" spans="1:18" ht="15.75" customHeight="1">
      <c r="A14" s="1" t="s">
        <v>149</v>
      </c>
      <c r="B14" s="1" t="s">
        <v>150</v>
      </c>
      <c r="C14" s="14">
        <v>-0.47178907841481499</v>
      </c>
      <c r="D14" s="14">
        <v>-0.46242009358467201</v>
      </c>
      <c r="E14" s="24">
        <f t="shared" si="0"/>
        <v>-12.838041328376898</v>
      </c>
      <c r="F14" s="24">
        <f t="shared" si="0"/>
        <v>-12.583098134569944</v>
      </c>
      <c r="G14" s="50">
        <v>0.85708233841043702</v>
      </c>
      <c r="H14" s="14">
        <v>-0.50616932584915197</v>
      </c>
      <c r="I14" s="24">
        <f t="shared" si="1"/>
        <v>-13.773575993411615</v>
      </c>
      <c r="J14" s="50">
        <v>0.90347503739094703</v>
      </c>
      <c r="K14" s="14">
        <v>-0.49821581689839001</v>
      </c>
      <c r="L14" s="24">
        <f t="shared" si="2"/>
        <v>-13.557149879948851</v>
      </c>
      <c r="M14" s="50">
        <v>0.89427836148255602</v>
      </c>
      <c r="N14" s="51">
        <v>12.768000000000001</v>
      </c>
      <c r="O14" s="14">
        <f t="shared" si="3"/>
        <v>7.0041328376897027E-2</v>
      </c>
      <c r="P14" s="14">
        <f t="shared" si="4"/>
        <v>-0.18490186543005649</v>
      </c>
      <c r="Q14" s="14">
        <f t="shared" si="5"/>
        <v>1.0055759934116146</v>
      </c>
      <c r="R14" s="14">
        <f t="shared" si="6"/>
        <v>0.78914987994884989</v>
      </c>
    </row>
    <row r="15" spans="1:18" ht="15.75" customHeight="1">
      <c r="A15" s="1" t="s">
        <v>151</v>
      </c>
      <c r="B15" s="1" t="s">
        <v>139</v>
      </c>
      <c r="C15" s="14">
        <v>-0.53158596800046598</v>
      </c>
      <c r="D15" s="14">
        <v>-0.50097848184541804</v>
      </c>
      <c r="E15" s="24">
        <f t="shared" si="0"/>
        <v>-14.465198409647881</v>
      </c>
      <c r="F15" s="24">
        <f t="shared" si="0"/>
        <v>-13.632325860888409</v>
      </c>
      <c r="G15" s="50">
        <v>0.85401172931342395</v>
      </c>
      <c r="H15" s="14">
        <v>-0.54920347086072596</v>
      </c>
      <c r="I15" s="24">
        <f t="shared" si="1"/>
        <v>-14.94459532697956</v>
      </c>
      <c r="J15" s="50">
        <v>0.89924200038348201</v>
      </c>
      <c r="K15" s="14">
        <v>-0.54102700585196195</v>
      </c>
      <c r="L15" s="24">
        <f t="shared" si="2"/>
        <v>-14.722102267040079</v>
      </c>
      <c r="M15" s="50">
        <v>0.89086820172692904</v>
      </c>
      <c r="N15" s="51">
        <v>13.672000000000001</v>
      </c>
      <c r="O15" s="14">
        <f t="shared" si="3"/>
        <v>0.79319840964788035</v>
      </c>
      <c r="P15" s="14">
        <f t="shared" si="4"/>
        <v>-3.9674139111591344E-2</v>
      </c>
      <c r="Q15" s="14">
        <f t="shared" si="5"/>
        <v>1.2725953269795589</v>
      </c>
      <c r="R15" s="14">
        <f t="shared" si="6"/>
        <v>1.0501022670400779</v>
      </c>
    </row>
    <row r="16" spans="1:18" ht="15.75" customHeight="1">
      <c r="A16" s="16" t="s">
        <v>60</v>
      </c>
      <c r="B16" s="1" t="s">
        <v>148</v>
      </c>
      <c r="C16" s="14">
        <v>-0.65533567240879598</v>
      </c>
      <c r="D16" s="14">
        <v>-0.54761746668285205</v>
      </c>
      <c r="E16" s="24">
        <f t="shared" si="0"/>
        <v>-17.832601116184712</v>
      </c>
      <c r="F16" s="24">
        <f t="shared" si="0"/>
        <v>-14.90143793289376</v>
      </c>
      <c r="G16" s="50">
        <v>0.89598813250520304</v>
      </c>
      <c r="H16" s="14">
        <v>-0.59916146891265598</v>
      </c>
      <c r="I16" s="24">
        <f t="shared" si="1"/>
        <v>-16.304022395169849</v>
      </c>
      <c r="J16" s="50">
        <v>0.93572815218812699</v>
      </c>
      <c r="K16" s="14">
        <v>-0.59117649581005904</v>
      </c>
      <c r="L16" s="24">
        <f t="shared" si="2"/>
        <v>-16.086740098085841</v>
      </c>
      <c r="M16" s="50">
        <v>0.92909179962023203</v>
      </c>
      <c r="N16" s="51">
        <v>15.875999999999999</v>
      </c>
      <c r="O16" s="14">
        <f t="shared" si="3"/>
        <v>1.9566011161847126</v>
      </c>
      <c r="P16" s="14">
        <f t="shared" si="4"/>
        <v>-0.97456206710623938</v>
      </c>
      <c r="Q16" s="14">
        <f t="shared" si="5"/>
        <v>0.42802239516984919</v>
      </c>
      <c r="R16" s="14">
        <f t="shared" si="6"/>
        <v>0.21074009808584115</v>
      </c>
    </row>
    <row r="17" spans="1:19" ht="15.75" customHeight="1">
      <c r="A17" s="1" t="s">
        <v>152</v>
      </c>
      <c r="B17" s="1" t="s">
        <v>153</v>
      </c>
      <c r="C17" s="14">
        <v>-0.41365228083024802</v>
      </c>
      <c r="D17" s="14">
        <v>-0.37328921925959901</v>
      </c>
      <c r="E17" s="24">
        <f t="shared" si="0"/>
        <v>-11.256057674584211</v>
      </c>
      <c r="F17" s="24">
        <f t="shared" si="0"/>
        <v>-10.157722260960654</v>
      </c>
      <c r="G17" s="50">
        <v>0.86337996807677697</v>
      </c>
      <c r="H17" s="14">
        <v>-0.40400942683896002</v>
      </c>
      <c r="I17" s="24">
        <f t="shared" si="1"/>
        <v>-10.993662117485677</v>
      </c>
      <c r="J17" s="50">
        <v>0.88941298610145403</v>
      </c>
      <c r="K17" s="14">
        <v>-0.399413374190278</v>
      </c>
      <c r="L17" s="24">
        <f t="shared" si="2"/>
        <v>-10.868597090441332</v>
      </c>
      <c r="M17" s="50">
        <v>0.88529149899055604</v>
      </c>
      <c r="N17" s="51">
        <v>10.311</v>
      </c>
      <c r="O17" s="14">
        <f t="shared" si="3"/>
        <v>0.94505767458421097</v>
      </c>
      <c r="P17" s="14">
        <f t="shared" si="4"/>
        <v>-0.15327773903934627</v>
      </c>
      <c r="Q17" s="14">
        <f t="shared" si="5"/>
        <v>0.68266211748567684</v>
      </c>
      <c r="R17" s="14">
        <f t="shared" si="6"/>
        <v>0.5575970904413321</v>
      </c>
    </row>
    <row r="18" spans="1:19" ht="15.75" customHeight="1">
      <c r="A18" s="1" t="s">
        <v>154</v>
      </c>
      <c r="B18" s="1" t="s">
        <v>155</v>
      </c>
      <c r="C18" s="14">
        <v>-0.53820321486901102</v>
      </c>
      <c r="D18" s="14">
        <v>-0.510395021117512</v>
      </c>
      <c r="E18" s="24">
        <f t="shared" ref="E18:F33" si="7">C18*27.2114</f>
        <v>-14.645262961086607</v>
      </c>
      <c r="F18" s="24">
        <f t="shared" si="7"/>
        <v>-13.888563077637066</v>
      </c>
      <c r="G18" s="50">
        <v>0.91648096931809198</v>
      </c>
      <c r="H18" s="14">
        <v>-0.51756746912954499</v>
      </c>
      <c r="I18" s="24">
        <f t="shared" si="1"/>
        <v>-14.083735429471702</v>
      </c>
      <c r="J18" s="50">
        <v>0.92234627872003605</v>
      </c>
      <c r="K18" s="14">
        <v>-0.516672132288302</v>
      </c>
      <c r="L18" s="24">
        <f t="shared" si="2"/>
        <v>-14.059372060549901</v>
      </c>
      <c r="M18" s="50">
        <v>0.92160208813794298</v>
      </c>
      <c r="N18" s="51">
        <v>14.305</v>
      </c>
      <c r="O18" s="14">
        <f t="shared" si="3"/>
        <v>0.34026296108660681</v>
      </c>
      <c r="P18" s="14">
        <f t="shared" si="4"/>
        <v>-0.41643692236293361</v>
      </c>
      <c r="Q18" s="14">
        <f t="shared" si="5"/>
        <v>-0.22126457052829807</v>
      </c>
      <c r="R18" s="14">
        <f t="shared" si="6"/>
        <v>-0.24562793945009886</v>
      </c>
    </row>
    <row r="19" spans="1:19" ht="15.75" customHeight="1">
      <c r="A19" s="1" t="s">
        <v>156</v>
      </c>
      <c r="B19" s="1" t="s">
        <v>157</v>
      </c>
      <c r="C19" s="14">
        <v>-0.47816981752469401</v>
      </c>
      <c r="D19" s="14">
        <v>-0.44677890850378299</v>
      </c>
      <c r="E19" s="24">
        <f t="shared" si="7"/>
        <v>-13.01167017259146</v>
      </c>
      <c r="F19" s="24">
        <f t="shared" si="7"/>
        <v>-12.157479590859841</v>
      </c>
      <c r="G19" s="50">
        <v>0.91330878232359303</v>
      </c>
      <c r="H19" s="14">
        <v>-0.45511247122631598</v>
      </c>
      <c r="I19" s="24">
        <f t="shared" si="1"/>
        <v>-12.384247499527776</v>
      </c>
      <c r="J19" s="50">
        <v>0.91947067904351698</v>
      </c>
      <c r="K19" s="14">
        <v>-0.45404566879727698</v>
      </c>
      <c r="L19" s="24">
        <f t="shared" si="2"/>
        <v>-12.355218311910223</v>
      </c>
      <c r="M19" s="50">
        <v>0.91866900974000598</v>
      </c>
      <c r="N19" s="51">
        <v>12.64</v>
      </c>
      <c r="O19" s="14">
        <f t="shared" si="3"/>
        <v>0.37167017259145929</v>
      </c>
      <c r="P19" s="14">
        <f t="shared" si="4"/>
        <v>-0.48252040914015915</v>
      </c>
      <c r="Q19" s="14">
        <f t="shared" si="5"/>
        <v>-0.25575250047222475</v>
      </c>
      <c r="R19" s="14">
        <f t="shared" si="6"/>
        <v>-0.28478168808977777</v>
      </c>
    </row>
    <row r="20" spans="1:19" ht="15.75" customHeight="1">
      <c r="A20" s="52" t="s">
        <v>158</v>
      </c>
      <c r="B20" s="52" t="s">
        <v>159</v>
      </c>
      <c r="C20" s="53">
        <v>-0.52469196637925397</v>
      </c>
      <c r="D20" s="53">
        <v>-0.46957413398314901</v>
      </c>
      <c r="E20" s="54">
        <f t="shared" si="7"/>
        <v>-14.277602973932431</v>
      </c>
      <c r="F20" s="54">
        <f t="shared" si="7"/>
        <v>-12.777769589469061</v>
      </c>
      <c r="G20" s="55">
        <v>0.91022674164903905</v>
      </c>
      <c r="H20" s="53">
        <v>-0.491176614948166</v>
      </c>
      <c r="I20" s="54">
        <f t="shared" si="1"/>
        <v>-13.365603340000526</v>
      </c>
      <c r="J20" s="55">
        <v>0.92549249688957302</v>
      </c>
      <c r="K20" s="53">
        <v>-0.488208291902955</v>
      </c>
      <c r="L20" s="54">
        <f t="shared" si="2"/>
        <v>-13.284831114288071</v>
      </c>
      <c r="M20" s="55">
        <v>0.92332747571347895</v>
      </c>
      <c r="N20" s="56">
        <v>13.201000000000001</v>
      </c>
      <c r="O20" s="53">
        <f t="shared" si="3"/>
        <v>1.076602973932431</v>
      </c>
      <c r="P20" s="53">
        <f t="shared" si="4"/>
        <v>-0.42323041053093924</v>
      </c>
      <c r="Q20" s="53">
        <f t="shared" si="5"/>
        <v>0.16460334000052512</v>
      </c>
      <c r="R20" s="53">
        <f t="shared" si="6"/>
        <v>8.3831114288070552E-2</v>
      </c>
      <c r="S20" s="1"/>
    </row>
    <row r="21" spans="1:19" ht="15.75" customHeight="1">
      <c r="A21" s="1" t="s">
        <v>48</v>
      </c>
      <c r="B21" s="1" t="s">
        <v>160</v>
      </c>
      <c r="C21" s="14">
        <v>-0.30351863760130698</v>
      </c>
      <c r="D21" s="14">
        <v>-0.29339004111482297</v>
      </c>
      <c r="E21" s="24">
        <f t="shared" si="7"/>
        <v>-8.2591670552242054</v>
      </c>
      <c r="F21" s="24">
        <f t="shared" si="7"/>
        <v>-7.9835537647918944</v>
      </c>
      <c r="G21" s="50">
        <v>0.91225063370475301</v>
      </c>
      <c r="H21" s="14">
        <v>-0.28838350507875798</v>
      </c>
      <c r="I21" s="24">
        <f t="shared" si="1"/>
        <v>-7.8473189101001157</v>
      </c>
      <c r="J21" s="50">
        <v>0.90912270803121698</v>
      </c>
      <c r="K21" s="14">
        <v>-0.28846206482771403</v>
      </c>
      <c r="L21" s="24">
        <f t="shared" si="2"/>
        <v>-7.8494566308528579</v>
      </c>
      <c r="M21" s="50">
        <v>0.90917684878078897</v>
      </c>
      <c r="N21" s="51">
        <v>7.9630000000000001</v>
      </c>
      <c r="O21" s="14">
        <f t="shared" si="3"/>
        <v>0.29616705522420528</v>
      </c>
      <c r="P21" s="14">
        <f t="shared" si="4"/>
        <v>2.0553764791894302E-2</v>
      </c>
      <c r="Q21" s="14">
        <f t="shared" si="5"/>
        <v>-0.11568108989988435</v>
      </c>
      <c r="R21" s="14">
        <f t="shared" si="6"/>
        <v>-0.11354336914714214</v>
      </c>
    </row>
    <row r="22" spans="1:19" ht="15.75" customHeight="1">
      <c r="A22" s="1" t="s">
        <v>45</v>
      </c>
      <c r="B22" s="1" t="s">
        <v>161</v>
      </c>
      <c r="C22" s="14">
        <v>-0.180194918669253</v>
      </c>
      <c r="D22" s="14">
        <v>-0.190300009318465</v>
      </c>
      <c r="E22" s="24">
        <f t="shared" si="7"/>
        <v>-4.9033560098765108</v>
      </c>
      <c r="F22" s="24">
        <f t="shared" si="7"/>
        <v>-5.178329673568479</v>
      </c>
      <c r="G22" s="50">
        <v>0.9251016230754</v>
      </c>
      <c r="H22" s="14">
        <v>-0.18581829767081301</v>
      </c>
      <c r="I22" s="24">
        <f t="shared" si="1"/>
        <v>-5.0563760252395618</v>
      </c>
      <c r="J22" s="50">
        <v>0.89659743865893005</v>
      </c>
      <c r="K22" s="14">
        <v>-0.186017508224599</v>
      </c>
      <c r="L22" s="24">
        <f t="shared" si="2"/>
        <v>-5.0617968233028536</v>
      </c>
      <c r="M22" s="50">
        <v>0.89780701470009106</v>
      </c>
      <c r="N22" s="51">
        <v>5.3120000000000003</v>
      </c>
      <c r="O22" s="14">
        <f t="shared" si="3"/>
        <v>-0.40864399012348951</v>
      </c>
      <c r="P22" s="14">
        <f t="shared" si="4"/>
        <v>-0.13367032643152132</v>
      </c>
      <c r="Q22" s="14">
        <f t="shared" si="5"/>
        <v>-0.25562397476043852</v>
      </c>
      <c r="R22" s="14">
        <f t="shared" si="6"/>
        <v>-0.25020317669714665</v>
      </c>
    </row>
    <row r="23" spans="1:19" ht="15.75" customHeight="1">
      <c r="A23" s="1" t="s">
        <v>162</v>
      </c>
      <c r="B23" s="1" t="s">
        <v>163</v>
      </c>
      <c r="C23" s="14">
        <v>-0.50007771515812804</v>
      </c>
      <c r="D23" s="14">
        <v>-0.37409298494917498</v>
      </c>
      <c r="E23" s="24">
        <f t="shared" si="7"/>
        <v>-13.607814738253886</v>
      </c>
      <c r="F23" s="24">
        <f t="shared" si="7"/>
        <v>-10.179593850645981</v>
      </c>
      <c r="G23" s="50">
        <v>0.84643394096867997</v>
      </c>
      <c r="H23" s="14">
        <v>-0.46810368921939799</v>
      </c>
      <c r="I23" s="24">
        <f t="shared" si="1"/>
        <v>-12.737756728824728</v>
      </c>
      <c r="J23" s="50">
        <v>0.98704229753222295</v>
      </c>
      <c r="K23" s="14">
        <v>-0.45070294017557899</v>
      </c>
      <c r="L23" s="24">
        <f t="shared" si="2"/>
        <v>-12.264257986293751</v>
      </c>
      <c r="M23" s="50">
        <v>0.95352320227040299</v>
      </c>
      <c r="N23" s="51">
        <v>11.44</v>
      </c>
      <c r="O23" s="14">
        <f t="shared" si="3"/>
        <v>2.1678147382538864</v>
      </c>
      <c r="P23" s="14">
        <f t="shared" si="4"/>
        <v>-1.2604061493540186</v>
      </c>
      <c r="Q23" s="14">
        <f t="shared" si="5"/>
        <v>1.2977567288247283</v>
      </c>
      <c r="R23" s="14">
        <f t="shared" si="6"/>
        <v>0.8242579862937518</v>
      </c>
    </row>
    <row r="24" spans="1:19" ht="15.75" customHeight="1">
      <c r="A24" s="1" t="s">
        <v>164</v>
      </c>
      <c r="B24" s="1" t="s">
        <v>165</v>
      </c>
      <c r="C24" s="14">
        <v>-0.85202559500769703</v>
      </c>
      <c r="D24" s="14">
        <v>-0.74253799741690996</v>
      </c>
      <c r="E24" s="24">
        <f t="shared" si="7"/>
        <v>-23.18480927599245</v>
      </c>
      <c r="F24" s="24">
        <f t="shared" si="7"/>
        <v>-20.205498462910505</v>
      </c>
      <c r="G24" s="50">
        <v>0.92102272669960905</v>
      </c>
      <c r="H24" s="14">
        <v>-0.78626096523308697</v>
      </c>
      <c r="I24" s="24">
        <f t="shared" si="1"/>
        <v>-21.395261629343622</v>
      </c>
      <c r="J24" s="50">
        <v>0.94732916927131805</v>
      </c>
      <c r="K24" s="14">
        <v>-0.780795426654739</v>
      </c>
      <c r="L24" s="24">
        <f t="shared" si="2"/>
        <v>-21.246536672872764</v>
      </c>
      <c r="M24" s="50">
        <v>0.94387967102618398</v>
      </c>
      <c r="N24" s="51">
        <v>21.344999999999999</v>
      </c>
      <c r="O24" s="14">
        <f t="shared" si="3"/>
        <v>1.8398092759924509</v>
      </c>
      <c r="P24" s="14">
        <f t="shared" si="4"/>
        <v>-1.1395015370894939</v>
      </c>
      <c r="Q24" s="14">
        <f t="shared" si="5"/>
        <v>5.0261629343623326E-2</v>
      </c>
      <c r="R24" s="14">
        <f t="shared" si="6"/>
        <v>-9.8463327127234379E-2</v>
      </c>
    </row>
    <row r="25" spans="1:19" ht="15.75" customHeight="1">
      <c r="A25" s="1" t="s">
        <v>166</v>
      </c>
      <c r="B25" s="1" t="s">
        <v>167</v>
      </c>
      <c r="C25" s="14">
        <v>-0.49270039349936201</v>
      </c>
      <c r="D25" s="14">
        <v>-0.48039791812046301</v>
      </c>
      <c r="E25" s="24">
        <f t="shared" si="7"/>
        <v>-13.40706748766854</v>
      </c>
      <c r="F25" s="24">
        <f t="shared" si="7"/>
        <v>-13.072299909143167</v>
      </c>
      <c r="G25" s="50">
        <v>0.93661140355554096</v>
      </c>
      <c r="H25" s="14">
        <v>-0.47641555654317103</v>
      </c>
      <c r="I25" s="24">
        <f t="shared" si="1"/>
        <v>-12.963934275318845</v>
      </c>
      <c r="J25" s="50">
        <v>0.92888552099191202</v>
      </c>
      <c r="K25" s="14">
        <v>-0.476712531507824</v>
      </c>
      <c r="L25" s="24">
        <f t="shared" si="2"/>
        <v>-12.972015379872003</v>
      </c>
      <c r="M25" s="50">
        <v>0.92945669262594499</v>
      </c>
      <c r="N25" s="65">
        <v>13.284000000000001</v>
      </c>
      <c r="O25" s="14">
        <f t="shared" si="3"/>
        <v>0.12306748766853914</v>
      </c>
      <c r="P25" s="14">
        <f t="shared" si="4"/>
        <v>-0.21170009085683361</v>
      </c>
      <c r="Q25" s="14">
        <f t="shared" si="5"/>
        <v>-0.32006572468115557</v>
      </c>
      <c r="R25" s="14">
        <f t="shared" si="6"/>
        <v>-0.31198462012799766</v>
      </c>
    </row>
    <row r="26" spans="1:19" ht="15.75" customHeight="1">
      <c r="A26" s="1" t="s">
        <v>168</v>
      </c>
      <c r="B26" s="1" t="s">
        <v>160</v>
      </c>
      <c r="C26" s="14">
        <v>-0.39133608582489199</v>
      </c>
      <c r="D26" s="14">
        <v>-0.39100719159184599</v>
      </c>
      <c r="E26" s="24">
        <f t="shared" si="7"/>
        <v>-10.648802765815466</v>
      </c>
      <c r="F26" s="24">
        <f t="shared" si="7"/>
        <v>-10.639853093282358</v>
      </c>
      <c r="G26" s="50">
        <v>0.93615235934144203</v>
      </c>
      <c r="H26" s="14">
        <v>-0.38939715331670399</v>
      </c>
      <c r="I26" s="24">
        <f t="shared" si="1"/>
        <v>-10.596041697762159</v>
      </c>
      <c r="J26" s="50">
        <v>0.92869807801911697</v>
      </c>
      <c r="K26" s="14">
        <v>-0.38954815609137899</v>
      </c>
      <c r="L26" s="24">
        <f t="shared" si="2"/>
        <v>-10.600150694664951</v>
      </c>
      <c r="M26" s="50">
        <v>0.92939364894932497</v>
      </c>
      <c r="N26" s="65">
        <v>11.154999999999999</v>
      </c>
      <c r="O26" s="14">
        <f t="shared" si="3"/>
        <v>-0.50619723418453333</v>
      </c>
      <c r="P26" s="14">
        <f t="shared" si="4"/>
        <v>-0.51514690671764107</v>
      </c>
      <c r="Q26" s="14">
        <f t="shared" si="5"/>
        <v>-0.5589583022378406</v>
      </c>
      <c r="R26" s="14">
        <f t="shared" si="6"/>
        <v>-0.55484930533504873</v>
      </c>
    </row>
    <row r="27" spans="1:19" ht="15.75" customHeight="1">
      <c r="A27" s="1" t="s">
        <v>169</v>
      </c>
      <c r="B27" s="1" t="s">
        <v>170</v>
      </c>
      <c r="C27" s="14">
        <v>-0.38347882775468201</v>
      </c>
      <c r="D27" s="14">
        <v>-0.380362274946</v>
      </c>
      <c r="E27" s="24">
        <f t="shared" si="7"/>
        <v>-10.434995773563754</v>
      </c>
      <c r="F27" s="24">
        <f t="shared" si="7"/>
        <v>-10.350190008465585</v>
      </c>
      <c r="G27" s="50">
        <v>0.86181455558879705</v>
      </c>
      <c r="H27" s="14">
        <v>-0.40959459335024601</v>
      </c>
      <c r="I27" s="24">
        <f t="shared" si="1"/>
        <v>-11.145642317490884</v>
      </c>
      <c r="J27" s="50">
        <v>0.889685623380851</v>
      </c>
      <c r="K27" s="14">
        <v>-0.40457418261115702</v>
      </c>
      <c r="L27" s="24">
        <f t="shared" si="2"/>
        <v>-11.009029912705239</v>
      </c>
      <c r="M27" s="50">
        <v>0.88463627755531704</v>
      </c>
      <c r="N27" s="65">
        <v>10.641999999999999</v>
      </c>
      <c r="O27" s="14">
        <f t="shared" si="3"/>
        <v>-0.20700422643624528</v>
      </c>
      <c r="P27" s="14">
        <f t="shared" si="4"/>
        <v>-0.29180999153441434</v>
      </c>
      <c r="Q27" s="14">
        <f t="shared" si="5"/>
        <v>0.50364231749088439</v>
      </c>
      <c r="R27" s="14">
        <f t="shared" si="6"/>
        <v>0.36702991270523988</v>
      </c>
    </row>
    <row r="28" spans="1:19" ht="15.75" customHeight="1">
      <c r="A28" s="1" t="s">
        <v>171</v>
      </c>
      <c r="B28" s="1" t="s">
        <v>172</v>
      </c>
      <c r="C28" s="14">
        <v>-0.48415232956186299</v>
      </c>
      <c r="D28" s="14">
        <v>-0.37581855917659401</v>
      </c>
      <c r="E28" s="24">
        <f t="shared" si="7"/>
        <v>-13.17446270063968</v>
      </c>
      <c r="F28" s="24">
        <f t="shared" si="7"/>
        <v>-10.226549141177971</v>
      </c>
      <c r="G28" s="50">
        <v>0.87001288035021496</v>
      </c>
      <c r="H28" s="14">
        <v>-0.42342174691309298</v>
      </c>
      <c r="I28" s="24">
        <f t="shared" si="1"/>
        <v>-11.521898523950938</v>
      </c>
      <c r="J28" s="50">
        <v>0.90232033593085104</v>
      </c>
      <c r="K28" s="14">
        <v>-0.41488136134311898</v>
      </c>
      <c r="L28" s="24">
        <f t="shared" si="2"/>
        <v>-11.289502676052148</v>
      </c>
      <c r="M28" s="50">
        <v>0.89615670564000605</v>
      </c>
      <c r="N28" s="65">
        <v>11.401999999999999</v>
      </c>
      <c r="O28" s="14">
        <f t="shared" si="3"/>
        <v>1.7724627006396805</v>
      </c>
      <c r="P28" s="14">
        <f t="shared" si="4"/>
        <v>-1.1754508588220283</v>
      </c>
      <c r="Q28" s="14">
        <f t="shared" si="5"/>
        <v>0.1198985239509387</v>
      </c>
      <c r="R28" s="14">
        <f t="shared" si="6"/>
        <v>-0.11249732394785106</v>
      </c>
    </row>
    <row r="29" spans="1:19" ht="15.75" customHeight="1">
      <c r="A29" s="1" t="s">
        <v>173</v>
      </c>
      <c r="B29" s="1" t="s">
        <v>174</v>
      </c>
      <c r="C29" s="14">
        <v>-0.92065376658696896</v>
      </c>
      <c r="D29" s="14">
        <v>-0.90297529752982597</v>
      </c>
      <c r="E29" s="24">
        <f t="shared" si="7"/>
        <v>-25.052277904104649</v>
      </c>
      <c r="F29" s="24">
        <f t="shared" si="7"/>
        <v>-24.571222011203108</v>
      </c>
      <c r="G29" s="50">
        <v>0.96631379897953495</v>
      </c>
      <c r="H29" s="14">
        <v>-0.89756611564044497</v>
      </c>
      <c r="I29" s="24">
        <f t="shared" si="1"/>
        <v>-24.424030599138405</v>
      </c>
      <c r="J29" s="50">
        <v>0.96259739624988105</v>
      </c>
      <c r="K29" s="14">
        <v>-0.89759580981834797</v>
      </c>
      <c r="L29" s="24">
        <f t="shared" si="2"/>
        <v>-24.424838619290995</v>
      </c>
      <c r="M29" s="50">
        <v>0.96261801489749699</v>
      </c>
      <c r="N29" s="65">
        <v>24.515000000000001</v>
      </c>
      <c r="O29" s="14">
        <f t="shared" si="3"/>
        <v>0.53727790410464848</v>
      </c>
      <c r="P29" s="14">
        <f t="shared" si="4"/>
        <v>5.6222011203107769E-2</v>
      </c>
      <c r="Q29" s="14">
        <f t="shared" si="5"/>
        <v>-9.0969400861595773E-2</v>
      </c>
      <c r="R29" s="14">
        <f t="shared" si="6"/>
        <v>-9.0161380709005812E-2</v>
      </c>
    </row>
    <row r="30" spans="1:19" ht="15.75" customHeight="1">
      <c r="A30" s="1" t="s">
        <v>175</v>
      </c>
      <c r="B30" s="1" t="s">
        <v>172</v>
      </c>
      <c r="C30" s="14">
        <v>-0.38525095850267599</v>
      </c>
      <c r="D30" s="14">
        <v>-0.32463773181479799</v>
      </c>
      <c r="E30" s="24">
        <f t="shared" si="7"/>
        <v>-10.483217932199718</v>
      </c>
      <c r="F30" s="24">
        <f t="shared" si="7"/>
        <v>-8.8338471755051948</v>
      </c>
      <c r="G30" s="50">
        <v>0.89067402062455203</v>
      </c>
      <c r="H30" s="14">
        <v>-0.349846879548047</v>
      </c>
      <c r="I30" s="24">
        <f t="shared" si="1"/>
        <v>-9.5198233781337258</v>
      </c>
      <c r="J30" s="50">
        <v>0.91080749194287702</v>
      </c>
      <c r="K30" s="14">
        <v>-0.34588824944282898</v>
      </c>
      <c r="L30" s="24">
        <f t="shared" si="2"/>
        <v>-9.4121035108885973</v>
      </c>
      <c r="M30" s="50">
        <v>0.90750544894863205</v>
      </c>
      <c r="N30" s="65">
        <v>9.5820000000000007</v>
      </c>
      <c r="O30" s="14">
        <f t="shared" si="3"/>
        <v>0.90121793219971735</v>
      </c>
      <c r="P30" s="14">
        <f t="shared" si="4"/>
        <v>-0.74815282449480591</v>
      </c>
      <c r="Q30" s="14">
        <f t="shared" si="5"/>
        <v>-6.2176621866274928E-2</v>
      </c>
      <c r="R30" s="14">
        <f t="shared" si="6"/>
        <v>-0.16989648911140343</v>
      </c>
    </row>
    <row r="31" spans="1:19" ht="15.75" customHeight="1">
      <c r="A31" s="1" t="s">
        <v>176</v>
      </c>
      <c r="B31" s="1" t="s">
        <v>177</v>
      </c>
      <c r="C31" s="14">
        <v>-0.406720830106655</v>
      </c>
      <c r="D31" s="14">
        <v>-0.39046646772828703</v>
      </c>
      <c r="E31" s="24">
        <f t="shared" si="7"/>
        <v>-11.067443196364232</v>
      </c>
      <c r="F31" s="24">
        <f t="shared" si="7"/>
        <v>-10.625139239941509</v>
      </c>
      <c r="G31" s="14">
        <v>0.87381356667496801</v>
      </c>
      <c r="H31" s="14">
        <v>-0.40737212281433899</v>
      </c>
      <c r="I31" s="24">
        <f t="shared" si="1"/>
        <v>-11.085165782750105</v>
      </c>
      <c r="J31" s="14">
        <v>0.885033867218467</v>
      </c>
      <c r="K31" s="14">
        <v>-0.40450687039238797</v>
      </c>
      <c r="L31" s="24">
        <f t="shared" si="2"/>
        <v>-11.007198252995426</v>
      </c>
      <c r="M31" s="14">
        <v>0.88309827633767601</v>
      </c>
      <c r="N31" s="66">
        <v>11.236000000000001</v>
      </c>
      <c r="O31" s="14">
        <f t="shared" si="3"/>
        <v>-0.1685568036357683</v>
      </c>
      <c r="P31" s="14">
        <f t="shared" si="4"/>
        <v>-0.61086076005849144</v>
      </c>
      <c r="Q31" s="14">
        <f t="shared" si="5"/>
        <v>-0.15083421724989599</v>
      </c>
      <c r="R31" s="14">
        <f t="shared" si="6"/>
        <v>-0.22880174700457445</v>
      </c>
    </row>
    <row r="32" spans="1:19" ht="15.75" customHeight="1">
      <c r="A32" s="1" t="s">
        <v>178</v>
      </c>
      <c r="B32" s="1" t="s">
        <v>179</v>
      </c>
      <c r="C32" s="14">
        <v>-0.46133688910313803</v>
      </c>
      <c r="D32" s="14">
        <v>-0.43634538743054502</v>
      </c>
      <c r="E32" s="24">
        <f t="shared" si="7"/>
        <v>-12.553622624141131</v>
      </c>
      <c r="F32" s="24">
        <f t="shared" si="7"/>
        <v>-11.873568875527534</v>
      </c>
      <c r="G32" s="14">
        <v>0.91973952019400596</v>
      </c>
      <c r="H32" s="14">
        <v>-0.43497638461879701</v>
      </c>
      <c r="I32" s="24">
        <f t="shared" si="1"/>
        <v>-11.836316392415933</v>
      </c>
      <c r="J32" s="14">
        <v>0.91318460672525803</v>
      </c>
      <c r="K32" s="14">
        <v>-0.43511753237605799</v>
      </c>
      <c r="L32" s="24">
        <f t="shared" si="2"/>
        <v>-11.840157220497865</v>
      </c>
      <c r="M32" s="14">
        <v>0.91385793301780605</v>
      </c>
      <c r="N32" s="66">
        <v>12.233000000000001</v>
      </c>
      <c r="O32" s="14">
        <f t="shared" si="3"/>
        <v>0.32062262414113007</v>
      </c>
      <c r="P32" s="14">
        <f t="shared" si="4"/>
        <v>-0.35943112447246683</v>
      </c>
      <c r="Q32" s="14">
        <f t="shared" si="5"/>
        <v>-0.39668360758406784</v>
      </c>
      <c r="R32" s="14">
        <f t="shared" si="6"/>
        <v>-0.39284277950213564</v>
      </c>
    </row>
    <row r="33" spans="1:18" ht="15.75" customHeight="1">
      <c r="A33" s="1" t="s">
        <v>180</v>
      </c>
      <c r="B33" s="1" t="s">
        <v>160</v>
      </c>
      <c r="C33" s="14">
        <v>-0.59334785436399795</v>
      </c>
      <c r="D33" s="14">
        <v>-0.59812672181929605</v>
      </c>
      <c r="E33" s="24">
        <f t="shared" si="7"/>
        <v>-16.145825804240495</v>
      </c>
      <c r="F33" s="24">
        <f t="shared" si="7"/>
        <v>-16.275865478113595</v>
      </c>
      <c r="G33" s="14">
        <v>0.96415906547784203</v>
      </c>
      <c r="H33" s="14">
        <v>-0.59502243059409599</v>
      </c>
      <c r="I33" s="24">
        <f t="shared" si="1"/>
        <v>-16.191393367868184</v>
      </c>
      <c r="J33" s="14">
        <v>0.96010076443248804</v>
      </c>
      <c r="K33" s="14">
        <v>-0.59510625537319495</v>
      </c>
      <c r="L33" s="24">
        <f t="shared" si="2"/>
        <v>-16.193674357462157</v>
      </c>
      <c r="M33" s="14">
        <v>0.96020972579852903</v>
      </c>
      <c r="N33" s="66">
        <v>16.399000000000001</v>
      </c>
      <c r="O33" s="14">
        <f t="shared" si="3"/>
        <v>-0.25317419575950595</v>
      </c>
      <c r="P33" s="14">
        <f t="shared" si="4"/>
        <v>-0.12313452188640639</v>
      </c>
      <c r="Q33" s="14">
        <f t="shared" si="5"/>
        <v>-0.20760663213181729</v>
      </c>
      <c r="R33" s="14">
        <f t="shared" si="6"/>
        <v>-0.20532564253784358</v>
      </c>
    </row>
    <row r="34" spans="1:18" ht="15.75" customHeight="1">
      <c r="A34" s="1" t="s">
        <v>181</v>
      </c>
      <c r="B34" s="1" t="s">
        <v>182</v>
      </c>
      <c r="C34" s="14">
        <v>-0.37813609807314502</v>
      </c>
      <c r="D34" s="14">
        <v>-0.372639042014837</v>
      </c>
      <c r="E34" s="24">
        <f t="shared" ref="E34:F36" si="8">C34*27.2114</f>
        <v>-10.289612619107579</v>
      </c>
      <c r="F34" s="24">
        <f t="shared" si="8"/>
        <v>-10.140030027882537</v>
      </c>
      <c r="G34" s="14">
        <v>0.92381070861474501</v>
      </c>
      <c r="H34" s="14">
        <v>-0.371847360270394</v>
      </c>
      <c r="I34" s="24">
        <f t="shared" si="1"/>
        <v>-10.1184872592618</v>
      </c>
      <c r="J34" s="14">
        <v>0.91773301985918299</v>
      </c>
      <c r="K34" s="14">
        <v>-0.37193005319063199</v>
      </c>
      <c r="L34" s="24">
        <f t="shared" si="2"/>
        <v>-10.120737449391564</v>
      </c>
      <c r="M34" s="14">
        <v>0.91836711055424802</v>
      </c>
      <c r="N34" s="66">
        <v>10.526</v>
      </c>
      <c r="O34" s="14">
        <f t="shared" si="3"/>
        <v>-0.2363873808924204</v>
      </c>
      <c r="P34" s="14">
        <f t="shared" si="4"/>
        <v>-0.3859699721174632</v>
      </c>
      <c r="Q34" s="14">
        <f t="shared" si="5"/>
        <v>-0.40751274073820021</v>
      </c>
      <c r="R34" s="14">
        <f t="shared" si="6"/>
        <v>-0.40526255060843575</v>
      </c>
    </row>
    <row r="35" spans="1:18" ht="15.75" customHeight="1">
      <c r="A35" s="1" t="s">
        <v>183</v>
      </c>
      <c r="B35" s="1" t="s">
        <v>184</v>
      </c>
      <c r="C35" s="58">
        <v>-0.35942407329693599</v>
      </c>
      <c r="D35" s="58">
        <v>-0.38002832017624999</v>
      </c>
      <c r="E35" s="24">
        <f t="shared" si="8"/>
        <v>-9.7804322281122449</v>
      </c>
      <c r="F35" s="24">
        <f t="shared" si="8"/>
        <v>-10.341102631644009</v>
      </c>
      <c r="G35" s="59">
        <v>0.89781111999135899</v>
      </c>
      <c r="H35" s="58">
        <v>-0.38100713908070799</v>
      </c>
      <c r="I35" s="24">
        <f t="shared" si="1"/>
        <v>-10.367737664380778</v>
      </c>
      <c r="J35" s="59">
        <v>0.89461024993736404</v>
      </c>
      <c r="K35" s="58">
        <v>-0.38090214685898299</v>
      </c>
      <c r="L35" s="24">
        <f t="shared" si="2"/>
        <v>-10.36488067903853</v>
      </c>
      <c r="M35" s="59">
        <v>0.89495540507913696</v>
      </c>
      <c r="N35" s="66">
        <v>10.571</v>
      </c>
      <c r="O35" s="14">
        <f t="shared" si="3"/>
        <v>-0.79056777188775484</v>
      </c>
      <c r="P35" s="14">
        <f t="shared" si="4"/>
        <v>-0.22989736835599039</v>
      </c>
      <c r="Q35" s="14">
        <f t="shared" si="5"/>
        <v>-0.2032623356192218</v>
      </c>
      <c r="R35" s="14">
        <f t="shared" si="6"/>
        <v>-0.20611932096147001</v>
      </c>
    </row>
    <row r="36" spans="1:18" ht="15.75" customHeight="1">
      <c r="A36" s="1" t="s">
        <v>185</v>
      </c>
      <c r="B36" s="1" t="s">
        <v>160</v>
      </c>
      <c r="C36" s="58">
        <v>-0.43399001263660097</v>
      </c>
      <c r="D36" s="58">
        <v>-0.43669758490795202</v>
      </c>
      <c r="E36" s="24">
        <f t="shared" si="8"/>
        <v>-11.809475829859604</v>
      </c>
      <c r="F36" s="24">
        <f t="shared" si="8"/>
        <v>-11.883152661964246</v>
      </c>
      <c r="G36" s="59">
        <v>0.84697735659273099</v>
      </c>
      <c r="H36" s="58">
        <v>-0.46515605080389699</v>
      </c>
      <c r="I36" s="24">
        <f t="shared" si="1"/>
        <v>-12.657547360845163</v>
      </c>
      <c r="J36" s="59">
        <v>0.89814938410562795</v>
      </c>
      <c r="K36" s="58">
        <v>-0.45978250162198098</v>
      </c>
      <c r="L36" s="24">
        <f t="shared" si="2"/>
        <v>-12.511325564636374</v>
      </c>
      <c r="M36" s="59">
        <v>0.88749967666555596</v>
      </c>
      <c r="N36" s="66">
        <v>11.631</v>
      </c>
      <c r="O36" s="14">
        <f t="shared" si="3"/>
        <v>0.17847582985960386</v>
      </c>
      <c r="P36" s="14">
        <f t="shared" si="4"/>
        <v>0.25215266196424579</v>
      </c>
      <c r="Q36" s="14">
        <f t="shared" si="5"/>
        <v>1.0265473608451625</v>
      </c>
      <c r="R36" s="14">
        <f t="shared" si="6"/>
        <v>0.88032556463637412</v>
      </c>
    </row>
    <row r="38" spans="1:18" ht="15.75" customHeight="1">
      <c r="N38" s="1" t="s">
        <v>5</v>
      </c>
      <c r="O38" s="14">
        <f ca="1">IFERROR(__xludf.DUMMYFUNCTION("ARRAYFORMULA(SUM(FILTER(O2:O36, ROW(O2:O36)&lt;&gt;3, ROW(O2:O36)&lt;&gt;4)) / (ROWS(O2:O36)-2))"),0.531864094466771)</f>
        <v>0.53186409446677096</v>
      </c>
      <c r="P38" s="14">
        <f ca="1">IFERROR(__xludf.DUMMYFUNCTION("ARRAYFORMULA(SUM(FILTER(P2:P36, ROW(P2:P36)&lt;&gt;3, ROW(P2:P36)&lt;&gt;4)) / (ROWS(P2:P36)-2))"),-0.449416214565788)</f>
        <v>-0.44941621456578801</v>
      </c>
      <c r="Q38" s="14">
        <f ca="1">IFERROR(__xludf.DUMMYFUNCTION("ARRAYFORMULA(SUM(FILTER(Q2:Q36, ROW(Q2:Q36)&lt;&gt;3, ROW(Q2:Q36)&lt;&gt;4)) / (ROWS(Q2:Q36)-2))"),0.172376801566256)</f>
        <v>0.17237680156625601</v>
      </c>
      <c r="R38" s="14">
        <f ca="1">IFERROR(__xludf.DUMMYFUNCTION("ARRAYFORMULA(SUM(FILTER(R2:R36, ROW(R2:R36)&lt;&gt;3, ROW(R2:R36)&lt;&gt;4)) / (ROWS(R2:R36)-2))"),0.0657470254985968)</f>
        <v>6.5747025498596803E-2</v>
      </c>
    </row>
    <row r="39" spans="1:18" ht="15.75" customHeight="1">
      <c r="N39" s="9" t="s">
        <v>6</v>
      </c>
      <c r="O39" s="31">
        <f ca="1">IFERROR(__xludf.DUMMYFUNCTION("ARRAYFORMULA(SUM(ABS(FILTER(O2:O36, ROW(O2:O36)&lt;&gt;3, ROW(O2:O36)&lt;&gt;4))) / (ROWS(O2:O36)-2))"),0.793726029952561)</f>
        <v>0.79372602995256103</v>
      </c>
      <c r="P39" s="31">
        <f ca="1">IFERROR(__xludf.DUMMYFUNCTION("ARRAYFORMULA(SUM(ABS(FILTER(P2:P36, ROW(P2:P36)&lt;&gt;3, ROW(P2:P36)&lt;&gt;4))) / (ROWS(P2:P36)-2))"),0.52329248461722)</f>
        <v>0.52329248461722</v>
      </c>
      <c r="Q39" s="31">
        <f ca="1">IFERROR(__xludf.DUMMYFUNCTION("ARRAYFORMULA(SUM(ABS(FILTER(Q2:Q36, ROW(Q2:Q36)&lt;&gt;3, ROW(Q2:Q36)&lt;&gt;4))) / (ROWS(Q2:Q36)-2))"),0.402077833336547)</f>
        <v>0.40207783333654701</v>
      </c>
      <c r="R39" s="31">
        <f ca="1">IFERROR(__xludf.DUMMYFUNCTION("ARRAYFORMULA(SUM(ABS(FILTER(R2:R36, ROW(R2:R36)&lt;&gt;3, ROW(R2:R36)&lt;&gt;4))) / (ROWS(R2:R36)-2))"),0.335045502983313)</f>
        <v>0.33504550298331298</v>
      </c>
    </row>
    <row r="40" spans="1:18" ht="15.75" customHeight="1">
      <c r="N40" s="9" t="s">
        <v>7</v>
      </c>
      <c r="O40" s="31">
        <f ca="1">IFERROR(__xludf.DUMMYFUNCTION("ARRAYFORMULA(sqrt(SUM(ABS(FILTER(O2:O36, ROW(O2:O36)&lt;&gt;3, ROW(O2:O36)&lt;&gt;4))^2) / (ROWS(O2:O36)-2)))"),1.02373741365752)</f>
        <v>1.0237374136575199</v>
      </c>
      <c r="P40" s="31">
        <f ca="1">IFERROR(__xludf.DUMMYFUNCTION("ARRAYFORMULA(sqrt(SUM(ABS(FILTER(P2:P36, ROW(P2:P36)&lt;&gt;3, ROW(P2:P36)&lt;&gt;4))^2) / (ROWS(P2:P36)-2)))"),0.643204475159996)</f>
        <v>0.64320447515999601</v>
      </c>
      <c r="Q40" s="31">
        <f ca="1">IFERROR(__xludf.DUMMYFUNCTION("ARRAYFORMULA(sqrt(SUM(ABS(FILTER(Q2:Q36, ROW(Q2:Q36)&lt;&gt;3, ROW(Q2:Q36)&lt;&gt;4))^2) / (ROWS(Q2:Q36)-2)))"),0.577641167647966)</f>
        <v>0.57764116764796603</v>
      </c>
      <c r="R40" s="31">
        <f ca="1">IFERROR(__xludf.DUMMYFUNCTION("ARRAYFORMULA(sqrt(SUM(ABS(FILTER(R2:R36, ROW(R2:R36)&lt;&gt;3, ROW(R2:R36)&lt;&gt;4))^2) / (ROWS(R2:R36)-2)))"),0.483832533529626)</f>
        <v>0.48383253352962602</v>
      </c>
    </row>
    <row r="41" spans="1:18" ht="15.75" customHeight="1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5.75" customHeight="1">
      <c r="O43" s="1" t="s">
        <v>16</v>
      </c>
      <c r="P43" s="58">
        <f ca="1">IFERROR(__xludf.DUMMYFUNCTION("AVERAGE(FILTER(G2:G36, (ROW(G2:G36)&lt;&gt;3) * (ROW(G2:G36)&lt;&gt;4)))"),0.895182019582356)</f>
        <v>0.89518201958235599</v>
      </c>
      <c r="Q43" s="58">
        <f ca="1">IFERROR(__xludf.DUMMYFUNCTION("AVERAGE(FILTER(J2:J36, (ROW(J2:J36)&lt;&gt;3) * (ROW(J2:J36)&lt;&gt;4)))"),0.914775216557121)</f>
        <v>0.91477521655712102</v>
      </c>
      <c r="R43" s="58">
        <f ca="1">IFERROR(__xludf.DUMMYFUNCTION("AVERAGE(FILTER(M2:M36, (ROW(M2:M36)&lt;&gt;3) * (ROW(M2:M36)&lt;&gt;4)))"),0.910796066038722)</f>
        <v>0.91079606603872199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E8DE-F32F-4969-B166-14150716B503}">
  <sheetPr>
    <outlinePr summaryBelow="0" summaryRight="0"/>
  </sheetPr>
  <dimension ref="A1:S55"/>
  <sheetViews>
    <sheetView workbookViewId="0">
      <selection activeCell="D25" sqref="D25"/>
    </sheetView>
  </sheetViews>
  <sheetFormatPr defaultColWidth="12.6640625" defaultRowHeight="15.75" customHeight="1"/>
  <cols>
    <col min="1" max="1" width="9.44140625" style="2" customWidth="1"/>
    <col min="2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5.75" customHeight="1">
      <c r="A1" s="1" t="s">
        <v>61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28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5.75" customHeight="1">
      <c r="A2" s="1" t="s">
        <v>128</v>
      </c>
      <c r="B2" s="1" t="s">
        <v>129</v>
      </c>
      <c r="C2" s="67">
        <v>-0.61499999999999999</v>
      </c>
      <c r="D2" s="67">
        <v>-0.53600000000000003</v>
      </c>
      <c r="E2" s="24">
        <f t="shared" ref="E2:F17" si="0">C2*27.2114</f>
        <v>-16.735011</v>
      </c>
      <c r="F2" s="24">
        <f t="shared" si="0"/>
        <v>-14.585310400000001</v>
      </c>
      <c r="G2" s="50">
        <v>0.88200000000000001</v>
      </c>
      <c r="H2" s="14">
        <v>-0.57296702405704902</v>
      </c>
      <c r="I2" s="24">
        <f t="shared" ref="I2:I36" si="1">H2*27.2114</f>
        <v>-15.591234878425984</v>
      </c>
      <c r="J2" s="50">
        <v>0.910035764593082</v>
      </c>
      <c r="K2" s="14">
        <v>-0.56585366941871396</v>
      </c>
      <c r="L2" s="24">
        <f t="shared" ref="L2:L36" si="2">K2*27.2114</f>
        <v>-15.397670540020394</v>
      </c>
      <c r="M2" s="50">
        <v>0.90425584475564902</v>
      </c>
      <c r="N2" s="51">
        <v>15.58</v>
      </c>
      <c r="O2" s="14">
        <f t="shared" ref="O2:O36" si="3">-E2-N2</f>
        <v>1.155011</v>
      </c>
      <c r="P2" s="14">
        <f t="shared" ref="P2:P36" si="4">-F2-N2</f>
        <v>-0.99468959999999917</v>
      </c>
      <c r="Q2" s="14">
        <f t="shared" ref="Q2:Q36" si="5">-I2-N2</f>
        <v>1.1234878425984363E-2</v>
      </c>
      <c r="R2" s="14">
        <f t="shared" ref="R2:R36" si="6">-L2-N2</f>
        <v>-0.1823294599796057</v>
      </c>
    </row>
    <row r="3" spans="1:18" ht="15.75" customHeight="1">
      <c r="B3" s="1" t="s">
        <v>130</v>
      </c>
      <c r="C3" s="67">
        <v>-0.60199999999999998</v>
      </c>
      <c r="D3" s="67">
        <v>-0.622</v>
      </c>
      <c r="E3" s="24">
        <f t="shared" si="0"/>
        <v>-16.381262800000002</v>
      </c>
      <c r="F3" s="24">
        <f t="shared" si="0"/>
        <v>-16.925490800000002</v>
      </c>
      <c r="G3" s="50">
        <v>0.91</v>
      </c>
      <c r="H3" s="14">
        <v>-0.62858100756478896</v>
      </c>
      <c r="I3" s="24">
        <f t="shared" si="1"/>
        <v>-17.104569229248501</v>
      </c>
      <c r="J3" s="50">
        <v>0.913511491805996</v>
      </c>
      <c r="K3" s="14">
        <v>-0.62791834801104995</v>
      </c>
      <c r="L3" s="24">
        <f t="shared" si="2"/>
        <v>-17.086537335067884</v>
      </c>
      <c r="M3" s="50">
        <v>0.91312079664182599</v>
      </c>
      <c r="N3" s="51">
        <v>16.93</v>
      </c>
      <c r="O3" s="14">
        <f t="shared" si="3"/>
        <v>-0.54873719999999793</v>
      </c>
      <c r="P3" s="14">
        <f t="shared" si="4"/>
        <v>-4.5091999999975485E-3</v>
      </c>
      <c r="Q3" s="14">
        <f t="shared" si="5"/>
        <v>0.17456922924850105</v>
      </c>
      <c r="R3" s="14">
        <f t="shared" si="6"/>
        <v>0.1565373350678847</v>
      </c>
    </row>
    <row r="4" spans="1:18" ht="15.75" customHeight="1">
      <c r="B4" s="1" t="s">
        <v>131</v>
      </c>
      <c r="C4" s="68">
        <v>-0.76400000000000001</v>
      </c>
      <c r="D4" s="68">
        <v>-0.65</v>
      </c>
      <c r="E4" s="24">
        <f t="shared" si="0"/>
        <v>-20.789509600000002</v>
      </c>
      <c r="F4" s="24">
        <f t="shared" si="0"/>
        <v>-17.68741</v>
      </c>
      <c r="G4" s="50">
        <v>0.84399999999999997</v>
      </c>
      <c r="H4" s="14">
        <v>-0.69625017515279897</v>
      </c>
      <c r="I4" s="24">
        <f t="shared" si="1"/>
        <v>-18.945942016152873</v>
      </c>
      <c r="J4" s="50">
        <v>0.88465765482157299</v>
      </c>
      <c r="K4" s="14">
        <v>-0.686355808200657</v>
      </c>
      <c r="L4" s="24">
        <f t="shared" si="2"/>
        <v>-18.676702439271359</v>
      </c>
      <c r="M4" s="50">
        <v>0.87511936052550598</v>
      </c>
      <c r="N4" s="51">
        <v>19.75</v>
      </c>
      <c r="O4" s="14">
        <f t="shared" si="3"/>
        <v>1.0395096000000024</v>
      </c>
      <c r="P4" s="14">
        <f t="shared" si="4"/>
        <v>-2.0625900000000001</v>
      </c>
      <c r="Q4" s="14">
        <f t="shared" si="5"/>
        <v>-0.80405798384712668</v>
      </c>
      <c r="R4" s="14">
        <f t="shared" si="6"/>
        <v>-1.0732975607286406</v>
      </c>
    </row>
    <row r="5" spans="1:18" ht="15.75" customHeight="1">
      <c r="A5" s="1" t="s">
        <v>132</v>
      </c>
      <c r="B5" s="1" t="s">
        <v>133</v>
      </c>
      <c r="C5" s="14">
        <v>-0.50629565700000001</v>
      </c>
      <c r="D5" s="14">
        <v>-0.42024421000000001</v>
      </c>
      <c r="E5" s="24">
        <f t="shared" si="0"/>
        <v>-13.7770136408898</v>
      </c>
      <c r="F5" s="24">
        <f t="shared" si="0"/>
        <v>-11.435433295994001</v>
      </c>
      <c r="G5" s="50">
        <v>0.88793833700000002</v>
      </c>
      <c r="H5" s="14">
        <v>-0.462227260972428</v>
      </c>
      <c r="I5" s="24">
        <f t="shared" si="1"/>
        <v>-12.577850889225127</v>
      </c>
      <c r="J5" s="50">
        <v>0.925560515352436</v>
      </c>
      <c r="K5" s="14">
        <v>-0.455397317072748</v>
      </c>
      <c r="L5" s="24">
        <f t="shared" si="2"/>
        <v>-12.391998553793375</v>
      </c>
      <c r="M5" s="50">
        <v>0.91896843669181305</v>
      </c>
      <c r="N5" s="51">
        <v>12.62</v>
      </c>
      <c r="O5" s="14">
        <f t="shared" si="3"/>
        <v>1.1570136408898009</v>
      </c>
      <c r="P5" s="14">
        <f t="shared" si="4"/>
        <v>-1.1845667040059986</v>
      </c>
      <c r="Q5" s="14">
        <f t="shared" si="5"/>
        <v>-4.2149110774872156E-2</v>
      </c>
      <c r="R5" s="14">
        <f t="shared" si="6"/>
        <v>-0.22800144620662444</v>
      </c>
    </row>
    <row r="6" spans="1:18" ht="15.75" customHeight="1">
      <c r="A6" s="1" t="s">
        <v>134</v>
      </c>
      <c r="B6" s="1" t="s">
        <v>135</v>
      </c>
      <c r="C6" s="14">
        <v>-0.53489197799999999</v>
      </c>
      <c r="D6" s="14">
        <v>-0.49552295200000002</v>
      </c>
      <c r="E6" s="24">
        <f t="shared" si="0"/>
        <v>-14.5551595701492</v>
      </c>
      <c r="F6" s="24">
        <f t="shared" si="0"/>
        <v>-13.483873256052801</v>
      </c>
      <c r="G6" s="50">
        <v>0.90915325499999999</v>
      </c>
      <c r="H6" s="14">
        <v>-0.50623994088046798</v>
      </c>
      <c r="I6" s="24">
        <f t="shared" si="1"/>
        <v>-13.775497527274768</v>
      </c>
      <c r="J6" s="50">
        <v>0.91121512657848502</v>
      </c>
      <c r="K6" s="14">
        <v>-0.50458334336209698</v>
      </c>
      <c r="L6" s="24">
        <f t="shared" si="2"/>
        <v>-13.730419189563367</v>
      </c>
      <c r="M6" s="50">
        <v>0.91090831328729704</v>
      </c>
      <c r="N6" s="51">
        <v>14.01</v>
      </c>
      <c r="O6" s="14">
        <f t="shared" si="3"/>
        <v>0.54515957014920069</v>
      </c>
      <c r="P6" s="14">
        <f t="shared" si="4"/>
        <v>-0.52612674394719861</v>
      </c>
      <c r="Q6" s="14">
        <f t="shared" si="5"/>
        <v>-0.23450247272523228</v>
      </c>
      <c r="R6" s="14">
        <f t="shared" si="6"/>
        <v>-0.27958081043663263</v>
      </c>
    </row>
    <row r="7" spans="1:18" ht="15.75" customHeight="1">
      <c r="A7" s="1" t="s">
        <v>136</v>
      </c>
      <c r="B7" s="1" t="s">
        <v>137</v>
      </c>
      <c r="C7" s="14">
        <v>-0.422428849</v>
      </c>
      <c r="D7" s="14">
        <v>-0.36787439700000002</v>
      </c>
      <c r="E7" s="24">
        <f t="shared" si="0"/>
        <v>-11.4948803816786</v>
      </c>
      <c r="F7" s="24">
        <f t="shared" si="0"/>
        <v>-10.010377366525802</v>
      </c>
      <c r="G7" s="50">
        <v>0.895383661</v>
      </c>
      <c r="H7" s="14">
        <v>-0.39194377583639101</v>
      </c>
      <c r="I7" s="24">
        <f t="shared" si="1"/>
        <v>-10.665338861794371</v>
      </c>
      <c r="J7" s="50">
        <v>0.91837979254243296</v>
      </c>
      <c r="K7" s="14">
        <v>-0.38824561180130701</v>
      </c>
      <c r="L7" s="24">
        <f t="shared" si="2"/>
        <v>-10.564706640970085</v>
      </c>
      <c r="M7" s="50">
        <v>0.91466879984819904</v>
      </c>
      <c r="N7" s="51">
        <v>10.8</v>
      </c>
      <c r="O7" s="14">
        <f t="shared" si="3"/>
        <v>0.69488038167859933</v>
      </c>
      <c r="P7" s="14">
        <f t="shared" si="4"/>
        <v>-0.78962263347419892</v>
      </c>
      <c r="Q7" s="14">
        <f t="shared" si="5"/>
        <v>-0.13466113820562953</v>
      </c>
      <c r="R7" s="14">
        <f t="shared" si="6"/>
        <v>-0.23529335902991555</v>
      </c>
    </row>
    <row r="8" spans="1:18" ht="15.75" customHeight="1">
      <c r="A8" s="1" t="s">
        <v>138</v>
      </c>
      <c r="B8" s="1" t="s">
        <v>139</v>
      </c>
      <c r="C8" s="14">
        <v>-0.66296355299999998</v>
      </c>
      <c r="D8" s="14">
        <v>-0.51402796900000003</v>
      </c>
      <c r="E8" s="24">
        <f t="shared" si="0"/>
        <v>-18.0401664261042</v>
      </c>
      <c r="F8" s="24">
        <f t="shared" si="0"/>
        <v>-13.987420675646602</v>
      </c>
      <c r="G8" s="50">
        <v>0.86449609900000002</v>
      </c>
      <c r="H8" s="14">
        <v>-0.57736132632720005</v>
      </c>
      <c r="I8" s="24">
        <f t="shared" si="1"/>
        <v>-15.710809995219972</v>
      </c>
      <c r="J8" s="50">
        <v>0.90046735884274998</v>
      </c>
      <c r="K8" s="14">
        <v>-0.56552968535303205</v>
      </c>
      <c r="L8" s="24">
        <f t="shared" si="2"/>
        <v>-15.388854480015498</v>
      </c>
      <c r="M8" s="50">
        <v>0.89331023678249499</v>
      </c>
      <c r="N8" s="51">
        <v>15.87</v>
      </c>
      <c r="O8" s="14">
        <f t="shared" si="3"/>
        <v>2.1701664261042009</v>
      </c>
      <c r="P8" s="14">
        <f t="shared" si="4"/>
        <v>-1.8825793243533973</v>
      </c>
      <c r="Q8" s="14">
        <f t="shared" si="5"/>
        <v>-0.15919000478002765</v>
      </c>
      <c r="R8" s="14">
        <f t="shared" si="6"/>
        <v>-0.48114551998450139</v>
      </c>
    </row>
    <row r="9" spans="1:18" ht="15.75" customHeight="1">
      <c r="A9" s="1" t="s">
        <v>140</v>
      </c>
      <c r="B9" s="1" t="s">
        <v>141</v>
      </c>
      <c r="C9" s="14">
        <v>-0.52923673000000004</v>
      </c>
      <c r="D9" s="14">
        <v>-0.40461891900000002</v>
      </c>
      <c r="E9" s="24">
        <f t="shared" si="0"/>
        <v>-14.401272354722002</v>
      </c>
      <c r="F9" s="24">
        <f t="shared" si="0"/>
        <v>-11.010247252476601</v>
      </c>
      <c r="G9" s="50">
        <v>0.79996476599999999</v>
      </c>
      <c r="H9" s="14">
        <v>-0.52087461786355804</v>
      </c>
      <c r="I9" s="24">
        <f t="shared" si="1"/>
        <v>-14.173727576532423</v>
      </c>
      <c r="J9" s="50">
        <v>0.94083314990685396</v>
      </c>
      <c r="K9" s="14">
        <v>-0.48786550280771301</v>
      </c>
      <c r="L9" s="24">
        <f t="shared" si="2"/>
        <v>-13.275503343101802</v>
      </c>
      <c r="M9" s="50">
        <v>0.88974001864887997</v>
      </c>
      <c r="N9" s="51">
        <v>12.73</v>
      </c>
      <c r="O9" s="14">
        <f t="shared" si="3"/>
        <v>1.6712723547220012</v>
      </c>
      <c r="P9" s="14">
        <f t="shared" si="4"/>
        <v>-1.7197527475233993</v>
      </c>
      <c r="Q9" s="14">
        <f t="shared" si="5"/>
        <v>1.4437275765324227</v>
      </c>
      <c r="R9" s="14">
        <f t="shared" si="6"/>
        <v>0.54550334310180126</v>
      </c>
    </row>
    <row r="10" spans="1:18" ht="15.75" customHeight="1">
      <c r="A10" s="1" t="s">
        <v>142</v>
      </c>
      <c r="B10" s="1" t="s">
        <v>143</v>
      </c>
      <c r="C10" s="14">
        <v>-0.43703024099999999</v>
      </c>
      <c r="D10" s="14">
        <v>-0.36235489500000001</v>
      </c>
      <c r="E10" s="24">
        <f t="shared" si="0"/>
        <v>-11.892204699947401</v>
      </c>
      <c r="F10" s="24">
        <f t="shared" si="0"/>
        <v>-9.8601839898030015</v>
      </c>
      <c r="G10" s="50">
        <v>0.88025228099999997</v>
      </c>
      <c r="H10" s="14">
        <v>-0.40226361479464101</v>
      </c>
      <c r="I10" s="24">
        <f t="shared" si="1"/>
        <v>-10.946156127622896</v>
      </c>
      <c r="J10" s="50">
        <v>0.91868523305907901</v>
      </c>
      <c r="K10" s="14">
        <v>-0.39528532280008299</v>
      </c>
      <c r="L10" s="24">
        <f t="shared" si="2"/>
        <v>-10.756267032842178</v>
      </c>
      <c r="M10" s="50">
        <v>0.91142174202414805</v>
      </c>
      <c r="N10" s="51">
        <v>10.9</v>
      </c>
      <c r="O10" s="14">
        <f t="shared" si="3"/>
        <v>0.99220469994740057</v>
      </c>
      <c r="P10" s="14">
        <f t="shared" si="4"/>
        <v>-1.0398160101969989</v>
      </c>
      <c r="Q10" s="14">
        <f t="shared" si="5"/>
        <v>4.6156127622895227E-2</v>
      </c>
      <c r="R10" s="14">
        <f t="shared" si="6"/>
        <v>-0.14373296715782224</v>
      </c>
    </row>
    <row r="11" spans="1:18" ht="15.75" customHeight="1">
      <c r="A11" s="1" t="s">
        <v>144</v>
      </c>
      <c r="B11" s="1" t="s">
        <v>130</v>
      </c>
      <c r="C11" s="14">
        <v>-0.39954703000000003</v>
      </c>
      <c r="D11" s="14">
        <v>-0.40783492199999999</v>
      </c>
      <c r="E11" s="24">
        <f t="shared" si="0"/>
        <v>-10.872234052142002</v>
      </c>
      <c r="F11" s="24">
        <f t="shared" si="0"/>
        <v>-11.0977591965108</v>
      </c>
      <c r="G11" s="50">
        <v>0.90104183800000004</v>
      </c>
      <c r="H11" s="14">
        <v>-0.41679012339378702</v>
      </c>
      <c r="I11" s="24">
        <f t="shared" si="1"/>
        <v>-11.341442763717696</v>
      </c>
      <c r="J11" s="50">
        <v>0.909657858703116</v>
      </c>
      <c r="K11" s="14">
        <v>-0.41561869198746498</v>
      </c>
      <c r="L11" s="24">
        <f t="shared" si="2"/>
        <v>-11.309566475147705</v>
      </c>
      <c r="M11" s="50">
        <v>0.90850986274953205</v>
      </c>
      <c r="N11" s="51">
        <v>11.49</v>
      </c>
      <c r="O11" s="14">
        <f t="shared" si="3"/>
        <v>-0.61776594785799865</v>
      </c>
      <c r="P11" s="14">
        <f t="shared" si="4"/>
        <v>-0.39224080348919976</v>
      </c>
      <c r="Q11" s="14">
        <f t="shared" si="5"/>
        <v>-0.14855723628230422</v>
      </c>
      <c r="R11" s="14">
        <f t="shared" si="6"/>
        <v>-0.18043352485229569</v>
      </c>
    </row>
    <row r="12" spans="1:18" ht="15.75" customHeight="1">
      <c r="A12" s="1" t="s">
        <v>145</v>
      </c>
      <c r="B12" s="1" t="s">
        <v>146</v>
      </c>
      <c r="C12" s="14">
        <v>-0.36878386499999999</v>
      </c>
      <c r="D12" s="14">
        <v>-0.37217858199999998</v>
      </c>
      <c r="E12" s="24">
        <f t="shared" si="0"/>
        <v>-10.035125264061</v>
      </c>
      <c r="F12" s="24">
        <f t="shared" si="0"/>
        <v>-10.127500266234799</v>
      </c>
      <c r="G12" s="50">
        <v>0.90183446300000003</v>
      </c>
      <c r="H12" s="14">
        <v>-0.38223970900940102</v>
      </c>
      <c r="I12" s="24">
        <f t="shared" si="1"/>
        <v>-10.401277617738415</v>
      </c>
      <c r="J12" s="50">
        <v>0.91088659182032405</v>
      </c>
      <c r="K12" s="14">
        <v>-0.38083088851059199</v>
      </c>
      <c r="L12" s="24">
        <f t="shared" si="2"/>
        <v>-10.362941639617123</v>
      </c>
      <c r="M12" s="50">
        <v>0.90959399090394699</v>
      </c>
      <c r="N12" s="51">
        <v>10.68</v>
      </c>
      <c r="O12" s="14">
        <f t="shared" si="3"/>
        <v>-0.64487473593900013</v>
      </c>
      <c r="P12" s="14">
        <f t="shared" si="4"/>
        <v>-0.55249973376520067</v>
      </c>
      <c r="Q12" s="14">
        <f t="shared" si="5"/>
        <v>-0.2787223822615843</v>
      </c>
      <c r="R12" s="14">
        <f t="shared" si="6"/>
        <v>-0.31705836038287671</v>
      </c>
    </row>
    <row r="13" spans="1:18" ht="15.75" customHeight="1">
      <c r="A13" s="1" t="s">
        <v>147</v>
      </c>
      <c r="B13" s="1" t="s">
        <v>148</v>
      </c>
      <c r="C13" s="14">
        <v>-0.48644610100000002</v>
      </c>
      <c r="D13" s="14">
        <v>-0.49537560800000002</v>
      </c>
      <c r="E13" s="24">
        <f t="shared" si="0"/>
        <v>-13.236879432751401</v>
      </c>
      <c r="F13" s="24">
        <f t="shared" si="0"/>
        <v>-13.479863819531202</v>
      </c>
      <c r="G13" s="50">
        <v>0.89566872799999997</v>
      </c>
      <c r="H13" s="14">
        <v>-0.50747928936022502</v>
      </c>
      <c r="I13" s="24">
        <f t="shared" si="1"/>
        <v>-13.809221934496827</v>
      </c>
      <c r="J13" s="50">
        <v>0.90940015393205398</v>
      </c>
      <c r="K13" s="14">
        <v>-0.50592107486150395</v>
      </c>
      <c r="L13" s="24">
        <f t="shared" si="2"/>
        <v>-13.766820736486329</v>
      </c>
      <c r="M13" s="50">
        <v>0.907577162305096</v>
      </c>
      <c r="N13" s="51">
        <v>13.61</v>
      </c>
      <c r="O13" s="14">
        <f t="shared" si="3"/>
        <v>-0.37312056724859843</v>
      </c>
      <c r="P13" s="14">
        <f t="shared" si="4"/>
        <v>-0.13013618046879749</v>
      </c>
      <c r="Q13" s="14">
        <f t="shared" si="5"/>
        <v>0.19922193449682801</v>
      </c>
      <c r="R13" s="14">
        <f t="shared" si="6"/>
        <v>0.15682073648632944</v>
      </c>
    </row>
    <row r="14" spans="1:18" ht="15.75" customHeight="1">
      <c r="A14" s="1" t="s">
        <v>149</v>
      </c>
      <c r="B14" s="1" t="s">
        <v>150</v>
      </c>
      <c r="C14" s="14">
        <v>-0.47484712400000001</v>
      </c>
      <c r="D14" s="14">
        <v>-0.46226215799999998</v>
      </c>
      <c r="E14" s="24">
        <f t="shared" si="0"/>
        <v>-12.921255030013601</v>
      </c>
      <c r="F14" s="24">
        <f t="shared" si="0"/>
        <v>-12.5788004862012</v>
      </c>
      <c r="G14" s="50">
        <v>0.85866812400000003</v>
      </c>
      <c r="H14" s="14">
        <v>-0.50530904539933696</v>
      </c>
      <c r="I14" s="24">
        <f t="shared" si="1"/>
        <v>-13.750166557979519</v>
      </c>
      <c r="J14" s="50">
        <v>0.90415150601688499</v>
      </c>
      <c r="K14" s="14">
        <v>-0.49758001307640798</v>
      </c>
      <c r="L14" s="24">
        <f t="shared" si="2"/>
        <v>-13.539848767827369</v>
      </c>
      <c r="M14" s="50">
        <v>0.89525084057120297</v>
      </c>
      <c r="N14" s="51">
        <v>12.89</v>
      </c>
      <c r="O14" s="14">
        <f t="shared" si="3"/>
        <v>3.1255030013600305E-2</v>
      </c>
      <c r="P14" s="14">
        <f t="shared" si="4"/>
        <v>-0.31119951379880106</v>
      </c>
      <c r="Q14" s="14">
        <f t="shared" si="5"/>
        <v>0.86016655797951813</v>
      </c>
      <c r="R14" s="14">
        <f t="shared" si="6"/>
        <v>0.64984876782736833</v>
      </c>
    </row>
    <row r="15" spans="1:18" ht="15.75" customHeight="1">
      <c r="A15" s="1" t="s">
        <v>151</v>
      </c>
      <c r="B15" s="1" t="s">
        <v>139</v>
      </c>
      <c r="C15" s="14">
        <v>-0.53237306500000003</v>
      </c>
      <c r="D15" s="14">
        <v>-0.50159283099999996</v>
      </c>
      <c r="E15" s="24">
        <f t="shared" si="0"/>
        <v>-14.486616420941001</v>
      </c>
      <c r="F15" s="24">
        <f t="shared" si="0"/>
        <v>-13.649043161473399</v>
      </c>
      <c r="G15" s="50">
        <v>0.85664880300000001</v>
      </c>
      <c r="H15" s="14">
        <v>-0.54786908677220902</v>
      </c>
      <c r="I15" s="24">
        <f t="shared" si="1"/>
        <v>-14.90828486779329</v>
      </c>
      <c r="J15" s="50">
        <v>0.89905868910146203</v>
      </c>
      <c r="K15" s="14">
        <v>-0.54014223486624902</v>
      </c>
      <c r="L15" s="24">
        <f t="shared" si="2"/>
        <v>-14.69802640983945</v>
      </c>
      <c r="M15" s="50">
        <v>0.89136278132890601</v>
      </c>
      <c r="N15" s="51">
        <v>13.79</v>
      </c>
      <c r="O15" s="14">
        <f t="shared" si="3"/>
        <v>0.69661642094100173</v>
      </c>
      <c r="P15" s="14">
        <f t="shared" si="4"/>
        <v>-0.14095683852660024</v>
      </c>
      <c r="Q15" s="14">
        <f t="shared" si="5"/>
        <v>1.1182848677932906</v>
      </c>
      <c r="R15" s="14">
        <f t="shared" si="6"/>
        <v>0.90802640983945082</v>
      </c>
    </row>
    <row r="16" spans="1:18" ht="15.75" customHeight="1">
      <c r="A16" s="1" t="s">
        <v>60</v>
      </c>
      <c r="B16" s="1" t="s">
        <v>148</v>
      </c>
      <c r="C16" s="14">
        <v>-0.65108238900000004</v>
      </c>
      <c r="D16" s="14">
        <v>-0.54298474699999999</v>
      </c>
      <c r="E16" s="24">
        <f t="shared" si="0"/>
        <v>-17.716863320034602</v>
      </c>
      <c r="F16" s="24">
        <f t="shared" si="0"/>
        <v>-14.775375144515801</v>
      </c>
      <c r="G16" s="50">
        <v>0.89591154799999995</v>
      </c>
      <c r="H16" s="14">
        <v>-0.59466245912802895</v>
      </c>
      <c r="I16" s="24">
        <f t="shared" si="1"/>
        <v>-16.181598040316448</v>
      </c>
      <c r="J16" s="50">
        <v>0.93572332467607999</v>
      </c>
      <c r="K16" s="14">
        <v>-0.58666709640142001</v>
      </c>
      <c r="L16" s="24">
        <f t="shared" si="2"/>
        <v>-15.964033027017601</v>
      </c>
      <c r="M16" s="50">
        <v>0.92908262997318003</v>
      </c>
      <c r="N16" s="51">
        <v>16.190000000000001</v>
      </c>
      <c r="O16" s="14">
        <f t="shared" si="3"/>
        <v>1.5268633200346002</v>
      </c>
      <c r="P16" s="14">
        <f t="shared" si="4"/>
        <v>-1.4146248554842007</v>
      </c>
      <c r="Q16" s="14">
        <f t="shared" si="5"/>
        <v>-8.4019596835531729E-3</v>
      </c>
      <c r="R16" s="14">
        <f t="shared" si="6"/>
        <v>-0.22596697298240009</v>
      </c>
    </row>
    <row r="17" spans="1:19" ht="15.75" customHeight="1">
      <c r="A17" s="1" t="s">
        <v>152</v>
      </c>
      <c r="B17" s="1" t="s">
        <v>153</v>
      </c>
      <c r="C17" s="14">
        <v>-0.41304705600000002</v>
      </c>
      <c r="D17" s="14">
        <v>-0.372462554</v>
      </c>
      <c r="E17" s="24">
        <f t="shared" si="0"/>
        <v>-11.2395886596384</v>
      </c>
      <c r="F17" s="24">
        <f t="shared" si="0"/>
        <v>-10.135227541915601</v>
      </c>
      <c r="G17" s="50">
        <v>0.866187704</v>
      </c>
      <c r="H17" s="14">
        <v>-0.40212342111110499</v>
      </c>
      <c r="I17" s="24">
        <f t="shared" si="1"/>
        <v>-10.942341261222722</v>
      </c>
      <c r="J17" s="50">
        <v>0.89070882233709903</v>
      </c>
      <c r="K17" s="14">
        <v>-0.39772466925906202</v>
      </c>
      <c r="L17" s="24">
        <f t="shared" si="2"/>
        <v>-10.82264506507604</v>
      </c>
      <c r="M17" s="50">
        <v>0.88687323445434596</v>
      </c>
      <c r="N17" s="51">
        <v>10.4</v>
      </c>
      <c r="O17" s="14">
        <f t="shared" si="3"/>
        <v>0.8395886596383999</v>
      </c>
      <c r="P17" s="14">
        <f t="shared" si="4"/>
        <v>-0.26477245808439953</v>
      </c>
      <c r="Q17" s="14">
        <f t="shared" si="5"/>
        <v>0.54234126122272208</v>
      </c>
      <c r="R17" s="14">
        <f t="shared" si="6"/>
        <v>0.42264506507603983</v>
      </c>
    </row>
    <row r="18" spans="1:19" ht="15.75" customHeight="1">
      <c r="A18" s="1" t="s">
        <v>154</v>
      </c>
      <c r="B18" s="1" t="s">
        <v>155</v>
      </c>
      <c r="C18" s="14">
        <v>-0.53938413100000004</v>
      </c>
      <c r="D18" s="14">
        <v>-0.51125613000000003</v>
      </c>
      <c r="E18" s="24">
        <f t="shared" ref="E18:F33" si="7">C18*27.2114</f>
        <v>-14.677397342293402</v>
      </c>
      <c r="F18" s="24">
        <f t="shared" si="7"/>
        <v>-13.911995055882002</v>
      </c>
      <c r="G18" s="50">
        <v>0.91639274999999998</v>
      </c>
      <c r="H18" s="14">
        <v>-0.51854919454540205</v>
      </c>
      <c r="I18" s="24">
        <f t="shared" si="1"/>
        <v>-14.110449552452755</v>
      </c>
      <c r="J18" s="50">
        <v>0.922378007028964</v>
      </c>
      <c r="K18" s="14">
        <v>-0.51763596442841797</v>
      </c>
      <c r="L18" s="24">
        <f t="shared" si="2"/>
        <v>-14.085599282447454</v>
      </c>
      <c r="M18" s="50">
        <v>0.921616071257369</v>
      </c>
      <c r="N18" s="51">
        <v>13.6</v>
      </c>
      <c r="O18" s="14">
        <f t="shared" si="3"/>
        <v>1.077397342293402</v>
      </c>
      <c r="P18" s="14">
        <f t="shared" si="4"/>
        <v>0.3119950558820026</v>
      </c>
      <c r="Q18" s="14">
        <f t="shared" si="5"/>
        <v>0.51044955245275503</v>
      </c>
      <c r="R18" s="14">
        <f t="shared" si="6"/>
        <v>0.48559928244745443</v>
      </c>
    </row>
    <row r="19" spans="1:19" ht="15.75" customHeight="1">
      <c r="A19" s="1" t="s">
        <v>156</v>
      </c>
      <c r="B19" s="1" t="s">
        <v>157</v>
      </c>
      <c r="C19" s="14">
        <v>-0.47987244600000001</v>
      </c>
      <c r="D19" s="14">
        <v>-0.44822816700000001</v>
      </c>
      <c r="E19" s="24">
        <f t="shared" si="7"/>
        <v>-13.0580010770844</v>
      </c>
      <c r="F19" s="24">
        <f t="shared" si="7"/>
        <v>-12.1969159435038</v>
      </c>
      <c r="G19" s="50">
        <v>0.91333925800000004</v>
      </c>
      <c r="H19" s="14">
        <v>-0.45658494346334699</v>
      </c>
      <c r="I19" s="24">
        <f t="shared" si="1"/>
        <v>-12.424315530558522</v>
      </c>
      <c r="J19" s="50">
        <v>0.91951369791498905</v>
      </c>
      <c r="K19" s="14">
        <v>-0.45551454262169999</v>
      </c>
      <c r="L19" s="24">
        <f t="shared" si="2"/>
        <v>-12.395188425096128</v>
      </c>
      <c r="M19" s="50">
        <v>0.91870989568573302</v>
      </c>
      <c r="N19" s="51">
        <v>12</v>
      </c>
      <c r="O19" s="14">
        <f t="shared" si="3"/>
        <v>1.0580010770844002</v>
      </c>
      <c r="P19" s="14">
        <f t="shared" si="4"/>
        <v>0.19691594350380015</v>
      </c>
      <c r="Q19" s="14">
        <f t="shared" si="5"/>
        <v>0.42431553055852156</v>
      </c>
      <c r="R19" s="14">
        <f t="shared" si="6"/>
        <v>0.39518842509612817</v>
      </c>
    </row>
    <row r="20" spans="1:19" ht="15.75" customHeight="1">
      <c r="A20" s="52" t="s">
        <v>158</v>
      </c>
      <c r="B20" s="52" t="s">
        <v>159</v>
      </c>
      <c r="C20" s="53">
        <v>-0.52556485100000006</v>
      </c>
      <c r="D20" s="53">
        <v>-0.46769890800000002</v>
      </c>
      <c r="E20" s="54">
        <f t="shared" si="7"/>
        <v>-14.301355386501402</v>
      </c>
      <c r="F20" s="54">
        <f t="shared" si="7"/>
        <v>-12.726742065151202</v>
      </c>
      <c r="G20" s="55">
        <v>0.90923455600000003</v>
      </c>
      <c r="H20" s="53">
        <v>-0.49033596893609099</v>
      </c>
      <c r="I20" s="54">
        <f t="shared" si="1"/>
        <v>-13.342728185107546</v>
      </c>
      <c r="J20" s="55">
        <v>0.92524440659429696</v>
      </c>
      <c r="K20" s="53">
        <v>-0.48721616008914997</v>
      </c>
      <c r="L20" s="54">
        <f t="shared" si="2"/>
        <v>-13.257833818649896</v>
      </c>
      <c r="M20" s="55">
        <v>0.92296375147785803</v>
      </c>
      <c r="N20" s="56">
        <v>13.1</v>
      </c>
      <c r="O20" s="53">
        <f t="shared" si="3"/>
        <v>1.2013553865014028</v>
      </c>
      <c r="P20" s="53">
        <f t="shared" si="4"/>
        <v>-0.3732579348487981</v>
      </c>
      <c r="Q20" s="53">
        <f t="shared" si="5"/>
        <v>0.24272818510754668</v>
      </c>
      <c r="R20" s="53">
        <f t="shared" si="6"/>
        <v>0.15783381864989643</v>
      </c>
      <c r="S20" s="1"/>
    </row>
    <row r="21" spans="1:19" ht="15.75" customHeight="1">
      <c r="A21" s="1" t="s">
        <v>48</v>
      </c>
      <c r="B21" s="1" t="s">
        <v>160</v>
      </c>
      <c r="C21" s="14">
        <v>-0.30299999999999999</v>
      </c>
      <c r="D21" s="14">
        <v>-0.29299999999999998</v>
      </c>
      <c r="E21" s="24">
        <f t="shared" si="7"/>
        <v>-8.2450542000000002</v>
      </c>
      <c r="F21" s="24">
        <f t="shared" si="7"/>
        <v>-7.9729402</v>
      </c>
      <c r="G21" s="50">
        <v>0.91500000000000004</v>
      </c>
      <c r="H21" s="14">
        <v>-0.28794692446613102</v>
      </c>
      <c r="I21" s="24">
        <f t="shared" si="1"/>
        <v>-7.8354389404176779</v>
      </c>
      <c r="J21" s="50">
        <v>0.91080736015999897</v>
      </c>
      <c r="K21" s="14">
        <v>-0.28803233599250599</v>
      </c>
      <c r="L21" s="24">
        <f t="shared" si="2"/>
        <v>-7.8377631076264782</v>
      </c>
      <c r="M21" s="50">
        <v>0.91087974140127803</v>
      </c>
      <c r="N21" s="51">
        <v>7.9</v>
      </c>
      <c r="O21" s="14">
        <f t="shared" si="3"/>
        <v>0.34505419999999987</v>
      </c>
      <c r="P21" s="14">
        <f t="shared" si="4"/>
        <v>7.2940199999999678E-2</v>
      </c>
      <c r="Q21" s="14">
        <f t="shared" si="5"/>
        <v>-6.45610595823225E-2</v>
      </c>
      <c r="R21" s="14">
        <f t="shared" si="6"/>
        <v>-6.2236892373522146E-2</v>
      </c>
    </row>
    <row r="22" spans="1:19" ht="15.75" customHeight="1">
      <c r="A22" s="1" t="s">
        <v>45</v>
      </c>
      <c r="B22" s="1" t="s">
        <v>161</v>
      </c>
      <c r="C22" s="14">
        <v>-0.17899999999999999</v>
      </c>
      <c r="D22" s="14">
        <v>-0.189</v>
      </c>
      <c r="E22" s="24">
        <f t="shared" si="7"/>
        <v>-4.8708406000000002</v>
      </c>
      <c r="F22" s="24">
        <f t="shared" si="7"/>
        <v>-5.1429546000000004</v>
      </c>
      <c r="G22" s="50">
        <v>0.85</v>
      </c>
      <c r="H22" s="14">
        <v>-0.18436584746693299</v>
      </c>
      <c r="I22" s="24">
        <f t="shared" si="1"/>
        <v>-5.0168528217617006</v>
      </c>
      <c r="J22" s="50">
        <v>0.89478673549900301</v>
      </c>
      <c r="K22" s="14">
        <v>-0.18456556614091199</v>
      </c>
      <c r="L22" s="24">
        <f t="shared" si="2"/>
        <v>-5.0222874464868124</v>
      </c>
      <c r="M22" s="50">
        <v>0.89598363358796396</v>
      </c>
      <c r="N22" s="51">
        <v>4.7300000000000004</v>
      </c>
      <c r="O22" s="14">
        <f t="shared" si="3"/>
        <v>0.14084059999999976</v>
      </c>
      <c r="P22" s="14">
        <f t="shared" si="4"/>
        <v>0.41295459999999995</v>
      </c>
      <c r="Q22" s="14">
        <f t="shared" si="5"/>
        <v>0.28685282176170013</v>
      </c>
      <c r="R22" s="14">
        <f t="shared" si="6"/>
        <v>0.29228744648681193</v>
      </c>
    </row>
    <row r="23" spans="1:19" ht="15.75" customHeight="1">
      <c r="A23" s="1" t="s">
        <v>162</v>
      </c>
      <c r="B23" s="1" t="s">
        <v>163</v>
      </c>
      <c r="C23" s="14">
        <v>-0.49299999999999999</v>
      </c>
      <c r="D23" s="14">
        <v>-0.36877611500000002</v>
      </c>
      <c r="E23" s="24">
        <f t="shared" si="7"/>
        <v>-13.4152202</v>
      </c>
      <c r="F23" s="24">
        <f t="shared" si="7"/>
        <v>-10.034914375711001</v>
      </c>
      <c r="G23" s="50">
        <v>0.84987335100000005</v>
      </c>
      <c r="H23" s="14">
        <v>-0.45907738110122098</v>
      </c>
      <c r="I23" s="24">
        <f t="shared" si="1"/>
        <v>-12.492138248097765</v>
      </c>
      <c r="J23" s="50">
        <v>0.98135527661727995</v>
      </c>
      <c r="K23" s="14">
        <v>-0.44262152647324698</v>
      </c>
      <c r="L23" s="24">
        <f t="shared" si="2"/>
        <v>-12.044351405474114</v>
      </c>
      <c r="M23" s="50">
        <v>0.95087346222015401</v>
      </c>
      <c r="N23" s="51">
        <v>11.3</v>
      </c>
      <c r="O23" s="14">
        <f t="shared" si="3"/>
        <v>2.1152201999999996</v>
      </c>
      <c r="P23" s="14">
        <f t="shared" si="4"/>
        <v>-1.2650856242890001</v>
      </c>
      <c r="Q23" s="14">
        <f t="shared" si="5"/>
        <v>1.1921382480977645</v>
      </c>
      <c r="R23" s="14">
        <f t="shared" si="6"/>
        <v>0.74435140547411294</v>
      </c>
    </row>
    <row r="24" spans="1:19" ht="15.75" customHeight="1">
      <c r="A24" s="1" t="s">
        <v>164</v>
      </c>
      <c r="B24" s="1" t="s">
        <v>165</v>
      </c>
      <c r="C24" s="14">
        <v>-0.85199999999999998</v>
      </c>
      <c r="D24" s="14">
        <v>-0.74167363100000006</v>
      </c>
      <c r="E24" s="24">
        <f t="shared" si="7"/>
        <v>-23.184112800000001</v>
      </c>
      <c r="F24" s="24">
        <f t="shared" si="7"/>
        <v>-20.181977842593401</v>
      </c>
      <c r="G24" s="50">
        <v>0.92064852699999999</v>
      </c>
      <c r="H24" s="14">
        <v>-0.78588637480274304</v>
      </c>
      <c r="I24" s="24">
        <f t="shared" si="1"/>
        <v>-21.385068499307362</v>
      </c>
      <c r="J24" s="50">
        <v>0.94726815267080899</v>
      </c>
      <c r="K24" s="14">
        <v>-0.78033977945217703</v>
      </c>
      <c r="L24" s="24">
        <f t="shared" si="2"/>
        <v>-21.23413787458497</v>
      </c>
      <c r="M24" s="50">
        <v>0.94376323331836098</v>
      </c>
      <c r="N24" s="51">
        <v>21.56</v>
      </c>
      <c r="O24" s="14">
        <f t="shared" si="3"/>
        <v>1.6241128000000025</v>
      </c>
      <c r="P24" s="14">
        <f t="shared" si="4"/>
        <v>-1.3780221574065976</v>
      </c>
      <c r="Q24" s="14">
        <f t="shared" si="5"/>
        <v>-0.17493150069263663</v>
      </c>
      <c r="R24" s="14">
        <f t="shared" si="6"/>
        <v>-0.32586212541502846</v>
      </c>
    </row>
    <row r="25" spans="1:19" ht="15.75" customHeight="1">
      <c r="A25" s="1" t="s">
        <v>166</v>
      </c>
      <c r="B25" s="1" t="s">
        <v>167</v>
      </c>
      <c r="C25" s="14">
        <v>-0.49385008000000002</v>
      </c>
      <c r="D25" s="14">
        <v>-0.48142990200000002</v>
      </c>
      <c r="E25" s="24">
        <f t="shared" si="7"/>
        <v>-13.438352066912001</v>
      </c>
      <c r="F25" s="24">
        <f t="shared" si="7"/>
        <v>-13.100381635282801</v>
      </c>
      <c r="G25" s="50">
        <v>0.93682120199999996</v>
      </c>
      <c r="H25" s="14">
        <v>-0.47741487515410902</v>
      </c>
      <c r="I25" s="24">
        <f t="shared" si="1"/>
        <v>-12.991127133768522</v>
      </c>
      <c r="J25" s="50">
        <v>0.92905289858309503</v>
      </c>
      <c r="K25" s="14">
        <v>-0.47771393842075399</v>
      </c>
      <c r="L25" s="24">
        <f t="shared" si="2"/>
        <v>-12.999265063942506</v>
      </c>
      <c r="M25" s="50">
        <v>0.92962648129334502</v>
      </c>
      <c r="N25" s="51">
        <v>12.03</v>
      </c>
      <c r="O25" s="14">
        <f t="shared" si="3"/>
        <v>1.408352066912002</v>
      </c>
      <c r="P25" s="14">
        <f t="shared" si="4"/>
        <v>1.0703816352828017</v>
      </c>
      <c r="Q25" s="14">
        <f t="shared" si="5"/>
        <v>0.96112713376852277</v>
      </c>
      <c r="R25" s="14">
        <f t="shared" si="6"/>
        <v>0.96926506394250644</v>
      </c>
    </row>
    <row r="26" spans="1:19" ht="15.75" customHeight="1">
      <c r="A26" s="1" t="s">
        <v>168</v>
      </c>
      <c r="B26" s="1" t="s">
        <v>160</v>
      </c>
      <c r="C26" s="14">
        <v>-0.39443966200000002</v>
      </c>
      <c r="D26" s="14">
        <v>-0.393907065</v>
      </c>
      <c r="E26" s="24">
        <f t="shared" si="7"/>
        <v>-10.733255418546801</v>
      </c>
      <c r="F26" s="24">
        <f t="shared" si="7"/>
        <v>-10.718762708541</v>
      </c>
      <c r="G26" s="50">
        <v>0.93661333999999996</v>
      </c>
      <c r="H26" s="14">
        <v>-0.39207316039076801</v>
      </c>
      <c r="I26" s="24">
        <f t="shared" si="1"/>
        <v>-10.668859596657345</v>
      </c>
      <c r="J26" s="50">
        <v>0.92895093762172698</v>
      </c>
      <c r="K26" s="14">
        <v>-0.39224112686269003</v>
      </c>
      <c r="L26" s="24">
        <f t="shared" si="2"/>
        <v>-10.673430199511404</v>
      </c>
      <c r="M26" s="50">
        <v>0.92964869662316196</v>
      </c>
      <c r="N26" s="51">
        <v>11</v>
      </c>
      <c r="O26" s="14">
        <f t="shared" si="3"/>
        <v>-0.26674458145319946</v>
      </c>
      <c r="P26" s="14">
        <f t="shared" si="4"/>
        <v>-0.28123729145900001</v>
      </c>
      <c r="Q26" s="14">
        <f t="shared" si="5"/>
        <v>-0.33114040334265482</v>
      </c>
      <c r="R26" s="14">
        <f t="shared" si="6"/>
        <v>-0.32656980048859552</v>
      </c>
    </row>
    <row r="27" spans="1:19" ht="15.75" customHeight="1">
      <c r="A27" s="1" t="s">
        <v>169</v>
      </c>
      <c r="B27" s="1" t="s">
        <v>170</v>
      </c>
      <c r="C27" s="14">
        <v>-0.385985207</v>
      </c>
      <c r="D27" s="14">
        <v>-0.38080075699999999</v>
      </c>
      <c r="E27" s="24">
        <f t="shared" si="7"/>
        <v>-10.5031978617598</v>
      </c>
      <c r="F27" s="24">
        <f t="shared" si="7"/>
        <v>-10.362121719029799</v>
      </c>
      <c r="G27" s="50">
        <v>0.86400437900000004</v>
      </c>
      <c r="H27" s="14">
        <v>-0.40908218390879703</v>
      </c>
      <c r="I27" s="24">
        <f t="shared" si="1"/>
        <v>-11.131698939215839</v>
      </c>
      <c r="J27" s="50">
        <v>0.890407231019407</v>
      </c>
      <c r="K27" s="14">
        <v>-0.40428969654172803</v>
      </c>
      <c r="L27" s="24">
        <f t="shared" si="2"/>
        <v>-11.001288648475578</v>
      </c>
      <c r="M27" s="50">
        <v>0.88569853504922902</v>
      </c>
      <c r="N27" s="51">
        <v>10.72</v>
      </c>
      <c r="O27" s="14">
        <f t="shared" si="3"/>
        <v>-0.216802138240201</v>
      </c>
      <c r="P27" s="14">
        <f t="shared" si="4"/>
        <v>-0.35787828097020125</v>
      </c>
      <c r="Q27" s="14">
        <f t="shared" si="5"/>
        <v>0.41169893921583878</v>
      </c>
      <c r="R27" s="14">
        <f t="shared" si="6"/>
        <v>0.28128864847557722</v>
      </c>
    </row>
    <row r="28" spans="1:19" ht="15.75" customHeight="1">
      <c r="A28" s="1" t="s">
        <v>171</v>
      </c>
      <c r="B28" s="1" t="s">
        <v>172</v>
      </c>
      <c r="C28" s="14">
        <v>-0.48260086600000002</v>
      </c>
      <c r="D28" s="14">
        <v>-0.37342689600000001</v>
      </c>
      <c r="E28" s="24">
        <f t="shared" si="7"/>
        <v>-13.132245205072401</v>
      </c>
      <c r="F28" s="24">
        <f t="shared" si="7"/>
        <v>-10.161468637814401</v>
      </c>
      <c r="G28" s="50">
        <v>0.89598238500000005</v>
      </c>
      <c r="H28" s="14">
        <v>-0.42075478725809001</v>
      </c>
      <c r="I28" s="24">
        <f t="shared" si="1"/>
        <v>-11.449326817994791</v>
      </c>
      <c r="J28" s="50">
        <v>0.90203108234124896</v>
      </c>
      <c r="K28" s="14">
        <v>-0.41230743792033703</v>
      </c>
      <c r="L28" s="24">
        <f t="shared" si="2"/>
        <v>-11.21946261622546</v>
      </c>
      <c r="M28" s="50">
        <v>0.89598238515100403</v>
      </c>
      <c r="N28" s="51">
        <v>11.7</v>
      </c>
      <c r="O28" s="14">
        <f t="shared" si="3"/>
        <v>1.4322452050724017</v>
      </c>
      <c r="P28" s="14">
        <f t="shared" si="4"/>
        <v>-1.5385313621855978</v>
      </c>
      <c r="Q28" s="14">
        <f t="shared" si="5"/>
        <v>-0.25067318200520816</v>
      </c>
      <c r="R28" s="14">
        <f t="shared" si="6"/>
        <v>-0.48053738377453925</v>
      </c>
    </row>
    <row r="29" spans="1:19" ht="15.75" customHeight="1">
      <c r="A29" s="1" t="s">
        <v>173</v>
      </c>
      <c r="B29" s="1" t="s">
        <v>174</v>
      </c>
      <c r="C29" s="14">
        <v>-0.92086092500000005</v>
      </c>
      <c r="D29" s="14">
        <v>-0.90342050399999996</v>
      </c>
      <c r="E29" s="24">
        <f t="shared" si="7"/>
        <v>-25.057914974545003</v>
      </c>
      <c r="F29" s="24">
        <f t="shared" si="7"/>
        <v>-24.583336702545601</v>
      </c>
      <c r="G29" s="50">
        <v>0.96649127700000004</v>
      </c>
      <c r="H29" s="14">
        <v>-0.89801957808120603</v>
      </c>
      <c r="I29" s="24">
        <f t="shared" si="1"/>
        <v>-24.43636994699893</v>
      </c>
      <c r="J29" s="50">
        <v>0.96277965674704102</v>
      </c>
      <c r="K29" s="14">
        <v>-0.89804976997621899</v>
      </c>
      <c r="L29" s="24">
        <f t="shared" si="2"/>
        <v>-24.437191510730887</v>
      </c>
      <c r="M29" s="50">
        <v>0.96280062043391901</v>
      </c>
      <c r="N29" s="51">
        <v>24.59</v>
      </c>
      <c r="O29" s="14">
        <f t="shared" si="3"/>
        <v>0.4679149745450033</v>
      </c>
      <c r="P29" s="14">
        <f t="shared" si="4"/>
        <v>-6.6632974543985313E-3</v>
      </c>
      <c r="Q29" s="14">
        <f t="shared" si="5"/>
        <v>-0.15363005300106991</v>
      </c>
      <c r="R29" s="14">
        <f t="shared" si="6"/>
        <v>-0.15280848926911261</v>
      </c>
    </row>
    <row r="30" spans="1:19" ht="15.75" customHeight="1">
      <c r="A30" s="1" t="s">
        <v>175</v>
      </c>
      <c r="B30" s="1" t="s">
        <v>172</v>
      </c>
      <c r="C30" s="14">
        <v>-0.38499028200000002</v>
      </c>
      <c r="D30" s="14">
        <v>-0.32316450699999999</v>
      </c>
      <c r="E30" s="24">
        <f t="shared" si="7"/>
        <v>-10.476124559614801</v>
      </c>
      <c r="F30" s="24">
        <f t="shared" si="7"/>
        <v>-8.7937586657797997</v>
      </c>
      <c r="G30" s="50">
        <v>0.89025597400000001</v>
      </c>
      <c r="H30" s="14">
        <v>-0.34861908399834401</v>
      </c>
      <c r="I30" s="24">
        <f t="shared" si="1"/>
        <v>-9.4864133423125381</v>
      </c>
      <c r="J30" s="50">
        <v>0.91051218933007305</v>
      </c>
      <c r="K30" s="14">
        <v>-0.34461805723420902</v>
      </c>
      <c r="L30" s="24">
        <f t="shared" si="2"/>
        <v>-9.3775398026229553</v>
      </c>
      <c r="M30" s="50">
        <v>0.90718617327794104</v>
      </c>
      <c r="N30" s="51">
        <v>8.89</v>
      </c>
      <c r="O30" s="14">
        <f t="shared" si="3"/>
        <v>1.5861245596148006</v>
      </c>
      <c r="P30" s="14">
        <f t="shared" si="4"/>
        <v>-9.6241334220200869E-2</v>
      </c>
      <c r="Q30" s="14">
        <f t="shared" si="5"/>
        <v>0.59641334231253751</v>
      </c>
      <c r="R30" s="14">
        <f t="shared" si="6"/>
        <v>0.48753980262295471</v>
      </c>
    </row>
    <row r="31" spans="1:19" ht="15.75" customHeight="1">
      <c r="A31" s="1" t="s">
        <v>176</v>
      </c>
      <c r="B31" s="1" t="s">
        <v>177</v>
      </c>
      <c r="C31" s="14">
        <v>-0.40878638</v>
      </c>
      <c r="D31" s="14">
        <v>-0.39189976300000001</v>
      </c>
      <c r="E31" s="24">
        <f t="shared" si="7"/>
        <v>-11.123649700732001</v>
      </c>
      <c r="F31" s="24">
        <f t="shared" si="7"/>
        <v>-10.664141210898201</v>
      </c>
      <c r="G31" s="14">
        <v>0.87472939199999999</v>
      </c>
      <c r="H31" s="14">
        <v>-0.408441540460174</v>
      </c>
      <c r="I31" s="24">
        <f t="shared" si="1"/>
        <v>-11.11426613407798</v>
      </c>
      <c r="J31" s="14">
        <v>0.88544909907073299</v>
      </c>
      <c r="K31" s="14">
        <v>-0.405657793088743</v>
      </c>
      <c r="L31" s="24">
        <f t="shared" si="2"/>
        <v>-11.038516470855022</v>
      </c>
      <c r="M31" s="14">
        <v>0.88361536452973199</v>
      </c>
      <c r="N31" s="57">
        <v>12.54</v>
      </c>
      <c r="O31" s="14">
        <f t="shared" si="3"/>
        <v>-1.4163502992679984</v>
      </c>
      <c r="P31" s="14">
        <f t="shared" si="4"/>
        <v>-1.8758587891017982</v>
      </c>
      <c r="Q31" s="14">
        <f t="shared" si="5"/>
        <v>-1.4257338659220196</v>
      </c>
      <c r="R31" s="14">
        <f t="shared" si="6"/>
        <v>-1.5014835291449771</v>
      </c>
    </row>
    <row r="32" spans="1:19" ht="15.75" customHeight="1">
      <c r="A32" s="1" t="s">
        <v>178</v>
      </c>
      <c r="B32" s="1" t="s">
        <v>179</v>
      </c>
      <c r="C32" s="14">
        <v>-0.46418125900000001</v>
      </c>
      <c r="D32" s="14">
        <v>-0.43928075599999999</v>
      </c>
      <c r="E32" s="24">
        <f t="shared" si="7"/>
        <v>-12.631021911152601</v>
      </c>
      <c r="F32" s="24">
        <f t="shared" si="7"/>
        <v>-11.9534443638184</v>
      </c>
      <c r="G32" s="14">
        <v>0.92048828400000005</v>
      </c>
      <c r="H32" s="14">
        <v>-0.43767871159690103</v>
      </c>
      <c r="I32" s="24">
        <f t="shared" si="1"/>
        <v>-11.909850492747912</v>
      </c>
      <c r="J32" s="14">
        <v>0.91363113451919997</v>
      </c>
      <c r="K32" s="14">
        <v>-0.437842457111636</v>
      </c>
      <c r="L32" s="24">
        <f t="shared" si="2"/>
        <v>-11.914306237447573</v>
      </c>
      <c r="M32" s="14">
        <v>0.91432893349261801</v>
      </c>
      <c r="N32" s="57">
        <v>11.9</v>
      </c>
      <c r="O32" s="14">
        <f t="shared" si="3"/>
        <v>0.73102191115260062</v>
      </c>
      <c r="P32" s="14">
        <f t="shared" si="4"/>
        <v>5.344436381840012E-2</v>
      </c>
      <c r="Q32" s="14">
        <f t="shared" si="5"/>
        <v>9.8504927479119431E-3</v>
      </c>
      <c r="R32" s="14">
        <f t="shared" si="6"/>
        <v>1.4306237447572201E-2</v>
      </c>
    </row>
    <row r="33" spans="1:18" ht="15.75" customHeight="1">
      <c r="A33" s="1" t="s">
        <v>180</v>
      </c>
      <c r="B33" s="1" t="s">
        <v>160</v>
      </c>
      <c r="C33" s="14">
        <v>-0.59421406700000001</v>
      </c>
      <c r="D33" s="14">
        <v>-0.598979398</v>
      </c>
      <c r="E33" s="24">
        <f t="shared" si="7"/>
        <v>-16.169396662763802</v>
      </c>
      <c r="F33" s="24">
        <f t="shared" si="7"/>
        <v>-16.2990679907372</v>
      </c>
      <c r="G33" s="14">
        <v>0.96426762799999999</v>
      </c>
      <c r="H33" s="14">
        <v>-0.59582281808544402</v>
      </c>
      <c r="I33" s="24">
        <f t="shared" si="1"/>
        <v>-16.213173032050253</v>
      </c>
      <c r="J33" s="14">
        <v>0.96010208071154002</v>
      </c>
      <c r="K33" s="14">
        <v>-0.59590815962509602</v>
      </c>
      <c r="L33" s="24">
        <f t="shared" si="2"/>
        <v>-16.21549529482234</v>
      </c>
      <c r="M33" s="14">
        <v>0.96021403446134201</v>
      </c>
      <c r="N33" s="57">
        <v>15.43</v>
      </c>
      <c r="O33" s="14">
        <f t="shared" si="3"/>
        <v>0.73939666276380223</v>
      </c>
      <c r="P33" s="14">
        <f t="shared" si="4"/>
        <v>0.86906799073720009</v>
      </c>
      <c r="Q33" s="14">
        <f t="shared" si="5"/>
        <v>0.78317303205025368</v>
      </c>
      <c r="R33" s="14">
        <f t="shared" si="6"/>
        <v>0.78549529482233993</v>
      </c>
    </row>
    <row r="34" spans="1:18" ht="15.75" customHeight="1">
      <c r="A34" s="1" t="s">
        <v>181</v>
      </c>
      <c r="B34" s="1" t="s">
        <v>182</v>
      </c>
      <c r="C34" s="14">
        <v>-0.38050242699999998</v>
      </c>
      <c r="D34" s="14">
        <v>-0.37428830800000001</v>
      </c>
      <c r="E34" s="24">
        <f t="shared" ref="E34:F36" si="8">C34*27.2114</f>
        <v>-10.3540037420678</v>
      </c>
      <c r="F34" s="24">
        <f t="shared" si="8"/>
        <v>-10.1849088643112</v>
      </c>
      <c r="G34" s="14">
        <v>0.92390385100000005</v>
      </c>
      <c r="H34" s="14">
        <v>-0.373495167070031</v>
      </c>
      <c r="I34" s="24">
        <f t="shared" si="1"/>
        <v>-10.163326389209441</v>
      </c>
      <c r="J34" s="14">
        <v>0.91778609192134997</v>
      </c>
      <c r="K34" s="14">
        <v>-0.37357794755792301</v>
      </c>
      <c r="L34" s="24">
        <f t="shared" si="2"/>
        <v>-10.165578962177667</v>
      </c>
      <c r="M34" s="14">
        <v>0.91842382270114398</v>
      </c>
      <c r="N34" s="57">
        <v>10.59</v>
      </c>
      <c r="O34" s="14">
        <f t="shared" si="3"/>
        <v>-0.23599625793220014</v>
      </c>
      <c r="P34" s="14">
        <f t="shared" si="4"/>
        <v>-0.4050911356887994</v>
      </c>
      <c r="Q34" s="14">
        <f t="shared" si="5"/>
        <v>-0.42667361079055866</v>
      </c>
      <c r="R34" s="14">
        <f t="shared" si="6"/>
        <v>-0.42442103782233254</v>
      </c>
    </row>
    <row r="35" spans="1:18" ht="15.75" customHeight="1">
      <c r="A35" s="1" t="s">
        <v>183</v>
      </c>
      <c r="B35" s="1" t="s">
        <v>184</v>
      </c>
      <c r="C35" s="58">
        <v>-0.36069287605442002</v>
      </c>
      <c r="D35" s="58">
        <v>-0.38063719564104498</v>
      </c>
      <c r="E35" s="24">
        <f t="shared" si="8"/>
        <v>-9.8149581274672446</v>
      </c>
      <c r="F35" s="24">
        <f t="shared" si="8"/>
        <v>-10.357670985466731</v>
      </c>
      <c r="G35" s="59">
        <v>0.89832492360017002</v>
      </c>
      <c r="H35" s="58">
        <v>-0.38172958205193003</v>
      </c>
      <c r="I35" s="24">
        <f t="shared" si="1"/>
        <v>-10.38739634904789</v>
      </c>
      <c r="J35" s="59">
        <v>0.89532201060452998</v>
      </c>
      <c r="K35" s="58">
        <v>-0.38161183259877601</v>
      </c>
      <c r="L35" s="24">
        <f t="shared" si="2"/>
        <v>-10.384192221578335</v>
      </c>
      <c r="M35" s="50">
        <v>0.89564765466678997</v>
      </c>
      <c r="N35" s="51">
        <v>10.62</v>
      </c>
      <c r="O35" s="14">
        <f t="shared" si="3"/>
        <v>-0.80504187253275461</v>
      </c>
      <c r="P35" s="14">
        <f t="shared" si="4"/>
        <v>-0.26232901453326818</v>
      </c>
      <c r="Q35" s="14">
        <f t="shared" si="5"/>
        <v>-0.23260365095210922</v>
      </c>
      <c r="R35" s="14">
        <f t="shared" si="6"/>
        <v>-0.23580777842166434</v>
      </c>
    </row>
    <row r="36" spans="1:18" ht="15.75" customHeight="1">
      <c r="A36" s="1" t="s">
        <v>185</v>
      </c>
      <c r="B36" s="1" t="s">
        <v>160</v>
      </c>
      <c r="C36" s="58">
        <v>-0.46717793070833802</v>
      </c>
      <c r="D36" s="58">
        <v>-0.38939938743136499</v>
      </c>
      <c r="E36" s="24">
        <f t="shared" si="8"/>
        <v>-12.71256554367687</v>
      </c>
      <c r="F36" s="24">
        <f t="shared" si="8"/>
        <v>-10.596102491149846</v>
      </c>
      <c r="G36" s="59">
        <v>0.83066176156405402</v>
      </c>
      <c r="H36" s="58">
        <v>-0.457172026471175</v>
      </c>
      <c r="I36" s="24">
        <f t="shared" si="1"/>
        <v>-12.440290881117733</v>
      </c>
      <c r="J36" s="59">
        <v>0.93615922031747201</v>
      </c>
      <c r="K36" s="58">
        <v>-0.43943228473609902</v>
      </c>
      <c r="L36" s="24">
        <f t="shared" si="2"/>
        <v>-11.957567672867885</v>
      </c>
      <c r="M36" s="50">
        <v>0.90299788835941597</v>
      </c>
      <c r="N36" s="51">
        <v>11.88</v>
      </c>
      <c r="O36" s="14">
        <f t="shared" si="3"/>
        <v>0.83256554367686952</v>
      </c>
      <c r="P36" s="14">
        <f t="shared" si="4"/>
        <v>-1.2838975088501545</v>
      </c>
      <c r="Q36" s="14">
        <f t="shared" si="5"/>
        <v>0.56029088111773184</v>
      </c>
      <c r="R36" s="14">
        <f t="shared" si="6"/>
        <v>7.7567672867884241E-2</v>
      </c>
    </row>
    <row r="38" spans="1:18" ht="15.75" customHeight="1">
      <c r="N38" s="1" t="s">
        <v>5</v>
      </c>
      <c r="O38" s="14">
        <f ca="1">IFERROR(__xludf.DUMMYFUNCTION("ARRAYFORMULA(SUM(FILTER(O2:O36, ROW(O2:O36)&lt;&gt;3, ROW(O2:O36)&lt;&gt;4)) / (ROWS(O2:O36)-2))"),0.65645265555344)</f>
        <v>0.65645265555344001</v>
      </c>
      <c r="P38" s="14">
        <f ca="1">IFERROR(__xludf.DUMMYFUNCTION("ARRAYFORMULA(SUM(FILTER(P2:P36, ROW(P2:P36)&lt;&gt;3, ROW(P2:P36)&lt;&gt;4)) / (ROWS(P2:P36)-2))"),-0.529696305724303)</f>
        <v>-0.52969630572430304</v>
      </c>
      <c r="Q38" s="14">
        <f ca="1">IFERROR(__xludf.DUMMYFUNCTION("ARRAYFORMULA(SUM(FILTER(Q2:Q36, ROW(Q2:Q36)&lt;&gt;3, ROW(Q2:Q36)&lt;&gt;4)) / (ROWS(Q2:Q36)-2))"),0.185879991886756)</f>
        <v>0.185879991886756</v>
      </c>
      <c r="R38" s="14">
        <f ca="1">IFERROR(__xludf.DUMMYFUNCTION("ARRAYFORMULA(SUM(FILTER(R2:R36, ROW(R2:R36)&lt;&gt;3, ROW(R2:R36)&lt;&gt;4)) / (ROWS(R2:R36)-2))"),0.0481908473618721)</f>
        <v>4.8190847361872097E-2</v>
      </c>
    </row>
    <row r="39" spans="1:18" ht="15.75" customHeight="1">
      <c r="N39" s="9" t="s">
        <v>6</v>
      </c>
      <c r="O39" s="31">
        <f ca="1">IFERROR(__xludf.DUMMYFUNCTION("ARRAYFORMULA(SUM(ABS(FILTER(O2:O36, ROW(O2:O36)&lt;&gt;3, ROW(O2:O36)&lt;&gt;4))) / (ROWS(O2:O36)-2))"),0.933828194975983)</f>
        <v>0.93382819497598302</v>
      </c>
      <c r="P39" s="31">
        <f ca="1">IFERROR(__xludf.DUMMYFUNCTION("ARRAYFORMULA(SUM(ABS(FILTER(P2:P36, ROW(P2:P36)&lt;&gt;3, ROW(P2:P36)&lt;&gt;4))) / (ROWS(P2:P36)-2))"),0.710769020222739)</f>
        <v>0.71076902022273902</v>
      </c>
      <c r="Q39" s="31">
        <f ca="1">IFERROR(__xludf.DUMMYFUNCTION("ARRAYFORMULA(SUM(ABS(FILTER(Q2:Q36, ROW(Q2:Q36)&lt;&gt;3, ROW(Q2:Q36)&lt;&gt;4))) / (ROWS(Q2:Q36)-2))"),0.43231221194747)</f>
        <v>0.43231221194746999</v>
      </c>
      <c r="R39" s="31">
        <f ca="1">IFERROR(__xludf.DUMMYFUNCTION("ARRAYFORMULA(SUM(ABS(FILTER(R2:R36, ROW(R2:R36)&lt;&gt;3, ROW(R2:R36)&lt;&gt;4))) / (ROWS(R2:R36)-2))"),0.398692026617778)</f>
        <v>0.39869202661777797</v>
      </c>
    </row>
    <row r="40" spans="1:18" ht="15.75" customHeight="1">
      <c r="N40" s="9" t="s">
        <v>7</v>
      </c>
      <c r="O40" s="31">
        <f ca="1">IFERROR(__xludf.DUMMYFUNCTION("ARRAYFORMULA(sqrt(SUM(ABS(FILTER(O2:O36, ROW(O2:O36)&lt;&gt;3, ROW(O2:O36)&lt;&gt;4))^2) / (ROWS(O2:O36)-2)))"),1.08355753822278)</f>
        <v>1.08355753822278</v>
      </c>
      <c r="P40" s="31">
        <f ca="1">IFERROR(__xludf.DUMMYFUNCTION("ARRAYFORMULA(sqrt(SUM(ABS(FILTER(P2:P36, ROW(P2:P36)&lt;&gt;3, ROW(P2:P36)&lt;&gt;4))^2) / (ROWS(P2:P36)-2)))"),0.910844714225126)</f>
        <v>0.91084471422512603</v>
      </c>
      <c r="Q40" s="31">
        <f ca="1">IFERROR(__xludf.DUMMYFUNCTION("ARRAYFORMULA(sqrt(SUM(ABS(FILTER(Q2:Q36, ROW(Q2:Q36)&lt;&gt;3, ROW(Q2:Q36)&lt;&gt;4))^2) / (ROWS(Q2:Q36)-2)))"),0.590070126578255)</f>
        <v>0.59007012657825497</v>
      </c>
      <c r="R40" s="31">
        <f ca="1">IFERROR(__xludf.DUMMYFUNCTION("ARRAYFORMULA(sqrt(SUM(ABS(FILTER(R2:R36, ROW(R2:R36)&lt;&gt;3, ROW(R2:R36)&lt;&gt;4))^2) / (ROWS(R2:R36)-2)))"),0.50150492365252)</f>
        <v>0.50150492365251997</v>
      </c>
    </row>
    <row r="41" spans="1:18" ht="15.75" customHeight="1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5.75" customHeight="1">
      <c r="O43" s="1" t="s">
        <v>16</v>
      </c>
      <c r="P43" s="58">
        <f ca="1">IFERROR(__xludf.DUMMYFUNCTION("AVERAGE(FILTER(G2:G36, (ROW(G2:G36)&lt;&gt;3) * (ROW(G2:G36)&lt;&gt;4)))"),0.893096437762552)</f>
        <v>0.89309643776255199</v>
      </c>
      <c r="Q43" s="58">
        <f ca="1">IFERROR(__xludf.DUMMYFUNCTION("AVERAGE(FILTER(J2:J36, (ROW(J2:J36)&lt;&gt;3) * (ROW(J2:J36)&lt;&gt;4)))"),0.918736398688936)</f>
        <v>0.91873639868893597</v>
      </c>
      <c r="R43" s="58">
        <f ca="1">IFERROR(__xludf.DUMMYFUNCTION("AVERAGE(FILTER(M2:M36, (ROW(M2:M36)&lt;&gt;3) * (ROW(M2:M36)&lt;&gt;4)))"),0.912802553736758)</f>
        <v>0.912802553736758</v>
      </c>
    </row>
    <row r="50" spans="1:1" ht="15.75" customHeight="1">
      <c r="A50" s="1" t="s">
        <v>187</v>
      </c>
    </row>
    <row r="51" spans="1:1" ht="15.75" customHeight="1">
      <c r="A51" s="1" t="s">
        <v>188</v>
      </c>
    </row>
    <row r="52" spans="1:1" ht="15.75" customHeight="1">
      <c r="A52" s="1" t="s">
        <v>189</v>
      </c>
    </row>
    <row r="53" spans="1:1" ht="15.75" customHeight="1">
      <c r="A53" s="1" t="s">
        <v>190</v>
      </c>
    </row>
    <row r="54" spans="1:1" ht="15.75" customHeight="1">
      <c r="A54" s="1" t="s">
        <v>191</v>
      </c>
    </row>
    <row r="55" spans="1:1" ht="15.75" customHeight="1">
      <c r="A55" s="69" t="s">
        <v>192</v>
      </c>
    </row>
  </sheetData>
  <hyperlinks>
    <hyperlink ref="A55" r:id="rId1" xr:uid="{2165E64A-DDD1-49DE-BE67-135450194D8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6382-1CDE-442C-863F-B23F12084BAF}">
  <sheetPr>
    <outlinePr summaryBelow="0" summaryRight="0"/>
  </sheetPr>
  <dimension ref="A1:S43"/>
  <sheetViews>
    <sheetView workbookViewId="0">
      <selection activeCell="D25" sqref="D25"/>
    </sheetView>
  </sheetViews>
  <sheetFormatPr defaultColWidth="12.6640625" defaultRowHeight="15.75" customHeight="1"/>
  <cols>
    <col min="1" max="1" width="9.44140625" style="2" customWidth="1"/>
    <col min="2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5.75" customHeight="1">
      <c r="A1" s="1" t="s">
        <v>61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186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5.75" customHeight="1">
      <c r="A2" s="1" t="s">
        <v>128</v>
      </c>
      <c r="B2" s="1" t="s">
        <v>129</v>
      </c>
      <c r="C2" s="67">
        <v>-0.61499999999999999</v>
      </c>
      <c r="D2" s="67">
        <v>-0.53600000000000003</v>
      </c>
      <c r="E2" s="24">
        <f t="shared" ref="E2:F17" si="0">C2*27.2114</f>
        <v>-16.735011</v>
      </c>
      <c r="F2" s="24">
        <f t="shared" si="0"/>
        <v>-14.585310400000001</v>
      </c>
      <c r="G2" s="50">
        <v>0.88200000000000001</v>
      </c>
      <c r="H2" s="14">
        <v>-0.57296702405704902</v>
      </c>
      <c r="I2" s="24">
        <f t="shared" ref="I2:I36" si="1">H2*27.2114</f>
        <v>-15.591234878425984</v>
      </c>
      <c r="J2" s="50">
        <v>0.910035764593082</v>
      </c>
      <c r="K2" s="14">
        <v>-0.56585366941871396</v>
      </c>
      <c r="L2" s="24">
        <f t="shared" ref="L2:L36" si="2">K2*27.2114</f>
        <v>-15.397670540020394</v>
      </c>
      <c r="M2" s="50">
        <v>0.90425584475564902</v>
      </c>
      <c r="N2" s="51">
        <v>15.327</v>
      </c>
      <c r="O2" s="14">
        <f t="shared" ref="O2:O36" si="3">-E2-N2</f>
        <v>1.4080110000000001</v>
      </c>
      <c r="P2" s="14">
        <f t="shared" ref="P2:P36" si="4">-F2-N2</f>
        <v>-0.74168959999999906</v>
      </c>
      <c r="Q2" s="14">
        <f t="shared" ref="Q2:Q36" si="5">-I2-N2</f>
        <v>0.26423487842598448</v>
      </c>
      <c r="R2" s="14">
        <f t="shared" ref="R2:R36" si="6">-L2-N2</f>
        <v>7.0670540020394412E-2</v>
      </c>
    </row>
    <row r="3" spans="1:18" ht="15.75" customHeight="1">
      <c r="B3" s="1" t="s">
        <v>130</v>
      </c>
      <c r="C3" s="67">
        <v>-0.60199999999999998</v>
      </c>
      <c r="D3" s="67">
        <v>-0.622</v>
      </c>
      <c r="E3" s="24">
        <f t="shared" si="0"/>
        <v>-16.381262800000002</v>
      </c>
      <c r="F3" s="24">
        <f t="shared" si="0"/>
        <v>-16.925490800000002</v>
      </c>
      <c r="G3" s="50">
        <v>0.91</v>
      </c>
      <c r="H3" s="14">
        <v>-0.62858100756478896</v>
      </c>
      <c r="I3" s="24">
        <f t="shared" si="1"/>
        <v>-17.104569229248501</v>
      </c>
      <c r="J3" s="50">
        <v>0.913511491805996</v>
      </c>
      <c r="K3" s="14">
        <v>-0.62791834801104995</v>
      </c>
      <c r="L3" s="24">
        <f t="shared" si="2"/>
        <v>-17.086537335067884</v>
      </c>
      <c r="M3" s="50">
        <v>0.91312079664182599</v>
      </c>
      <c r="N3" s="51">
        <v>17.050999999999998</v>
      </c>
      <c r="O3" s="14">
        <f t="shared" si="3"/>
        <v>-0.66973719999999659</v>
      </c>
      <c r="P3" s="14">
        <f t="shared" si="4"/>
        <v>-0.12550919999999621</v>
      </c>
      <c r="Q3" s="14">
        <f t="shared" si="5"/>
        <v>5.3569229248502381E-2</v>
      </c>
      <c r="R3" s="14">
        <f t="shared" si="6"/>
        <v>3.5537335067886033E-2</v>
      </c>
    </row>
    <row r="4" spans="1:18" ht="15.75" customHeight="1">
      <c r="B4" s="1" t="s">
        <v>131</v>
      </c>
      <c r="C4" s="70">
        <v>-0.76400000000000001</v>
      </c>
      <c r="D4" s="70">
        <v>-0.65</v>
      </c>
      <c r="E4" s="24">
        <f t="shared" si="0"/>
        <v>-20.789509600000002</v>
      </c>
      <c r="F4" s="24">
        <f t="shared" si="0"/>
        <v>-17.68741</v>
      </c>
      <c r="G4" s="50">
        <v>0.84399999999999997</v>
      </c>
      <c r="H4" s="14">
        <v>-0.69625017515279897</v>
      </c>
      <c r="I4" s="24">
        <f t="shared" si="1"/>
        <v>-18.945942016152873</v>
      </c>
      <c r="J4" s="50">
        <v>0.88465765482157299</v>
      </c>
      <c r="K4" s="14">
        <v>-0.686355808200657</v>
      </c>
      <c r="L4" s="24">
        <f t="shared" si="2"/>
        <v>-18.676702439271359</v>
      </c>
      <c r="M4" s="50">
        <v>0.87511936052550598</v>
      </c>
      <c r="N4" s="51">
        <v>18.634</v>
      </c>
      <c r="O4" s="14">
        <f t="shared" si="3"/>
        <v>2.155509600000002</v>
      </c>
      <c r="P4" s="14">
        <f t="shared" si="4"/>
        <v>-0.94659000000000049</v>
      </c>
      <c r="Q4" s="14">
        <f t="shared" si="5"/>
        <v>0.31194201615287298</v>
      </c>
      <c r="R4" s="14">
        <f t="shared" si="6"/>
        <v>4.2702439271359083E-2</v>
      </c>
    </row>
    <row r="5" spans="1:18" ht="15.75" customHeight="1">
      <c r="A5" s="1" t="s">
        <v>132</v>
      </c>
      <c r="B5" s="1" t="s">
        <v>133</v>
      </c>
      <c r="C5" s="14">
        <v>-0.50629565700000001</v>
      </c>
      <c r="D5" s="14">
        <v>-0.42024421000000001</v>
      </c>
      <c r="E5" s="24">
        <f t="shared" si="0"/>
        <v>-13.7770136408898</v>
      </c>
      <c r="F5" s="24">
        <f t="shared" si="0"/>
        <v>-11.435433295994001</v>
      </c>
      <c r="G5" s="50">
        <v>0.88793833700000002</v>
      </c>
      <c r="H5" s="14">
        <v>-0.462227260972428</v>
      </c>
      <c r="I5" s="24">
        <f t="shared" si="1"/>
        <v>-12.577850889225127</v>
      </c>
      <c r="J5" s="50">
        <v>0.925560515352436</v>
      </c>
      <c r="K5" s="14">
        <v>-0.455397317072748</v>
      </c>
      <c r="L5" s="24">
        <f t="shared" si="2"/>
        <v>-12.391998553793375</v>
      </c>
      <c r="M5" s="50">
        <v>0.91896843669181305</v>
      </c>
      <c r="N5" s="51">
        <v>12.378</v>
      </c>
      <c r="O5" s="14">
        <f t="shared" si="3"/>
        <v>1.3990136408898</v>
      </c>
      <c r="P5" s="14">
        <f t="shared" si="4"/>
        <v>-0.94256670400599951</v>
      </c>
      <c r="Q5" s="14">
        <f t="shared" si="5"/>
        <v>0.19985088922512695</v>
      </c>
      <c r="R5" s="14">
        <f t="shared" si="6"/>
        <v>1.3998553793374668E-2</v>
      </c>
    </row>
    <row r="6" spans="1:18" ht="15.75" customHeight="1">
      <c r="A6" s="1" t="s">
        <v>134</v>
      </c>
      <c r="B6" s="1" t="s">
        <v>135</v>
      </c>
      <c r="C6" s="14">
        <v>-0.53489197799999999</v>
      </c>
      <c r="D6" s="14">
        <v>-0.49552295200000002</v>
      </c>
      <c r="E6" s="24">
        <f t="shared" si="0"/>
        <v>-14.5551595701492</v>
      </c>
      <c r="F6" s="24">
        <f t="shared" si="0"/>
        <v>-13.483873256052801</v>
      </c>
      <c r="G6" s="50">
        <v>0.90915325499999999</v>
      </c>
      <c r="H6" s="14">
        <v>-0.50623994088046798</v>
      </c>
      <c r="I6" s="24">
        <f t="shared" si="1"/>
        <v>-13.775497527274768</v>
      </c>
      <c r="J6" s="50">
        <v>0.91121512657848502</v>
      </c>
      <c r="K6" s="14">
        <v>-0.50458334336209698</v>
      </c>
      <c r="L6" s="24">
        <f t="shared" si="2"/>
        <v>-13.730419189563367</v>
      </c>
      <c r="M6" s="50">
        <v>0.91090831328729704</v>
      </c>
      <c r="N6" s="51">
        <v>13.88</v>
      </c>
      <c r="O6" s="14">
        <f t="shared" si="3"/>
        <v>0.67515957014919969</v>
      </c>
      <c r="P6" s="14">
        <f t="shared" si="4"/>
        <v>-0.3961267439471996</v>
      </c>
      <c r="Q6" s="14">
        <f t="shared" si="5"/>
        <v>-0.10450247272523328</v>
      </c>
      <c r="R6" s="14">
        <f t="shared" si="6"/>
        <v>-0.14958081043663363</v>
      </c>
    </row>
    <row r="7" spans="1:18" ht="15.75" customHeight="1">
      <c r="A7" s="1" t="s">
        <v>136</v>
      </c>
      <c r="B7" s="1" t="s">
        <v>137</v>
      </c>
      <c r="C7" s="14">
        <v>-0.422428849</v>
      </c>
      <c r="D7" s="14">
        <v>-0.36787439700000002</v>
      </c>
      <c r="E7" s="24">
        <f t="shared" si="0"/>
        <v>-11.4948803816786</v>
      </c>
      <c r="F7" s="24">
        <f t="shared" si="0"/>
        <v>-10.010377366525802</v>
      </c>
      <c r="G7" s="50">
        <v>0.895383661</v>
      </c>
      <c r="H7" s="14">
        <v>-0.39194377583639101</v>
      </c>
      <c r="I7" s="24">
        <f t="shared" si="1"/>
        <v>-10.665338861794371</v>
      </c>
      <c r="J7" s="50">
        <v>0.91837979254243296</v>
      </c>
      <c r="K7" s="14">
        <v>-0.38824561180130701</v>
      </c>
      <c r="L7" s="24">
        <f t="shared" si="2"/>
        <v>-10.564706640970085</v>
      </c>
      <c r="M7" s="50">
        <v>0.91466879984819904</v>
      </c>
      <c r="N7" s="51">
        <v>10.648</v>
      </c>
      <c r="O7" s="14">
        <f t="shared" si="3"/>
        <v>0.84688038167860036</v>
      </c>
      <c r="P7" s="14">
        <f t="shared" si="4"/>
        <v>-0.6376226334741979</v>
      </c>
      <c r="Q7" s="14">
        <f t="shared" si="5"/>
        <v>1.7338861794371496E-2</v>
      </c>
      <c r="R7" s="14">
        <f t="shared" si="6"/>
        <v>-8.3293359029914527E-2</v>
      </c>
    </row>
    <row r="8" spans="1:18" ht="15.75" customHeight="1">
      <c r="A8" s="1" t="s">
        <v>138</v>
      </c>
      <c r="B8" s="1" t="s">
        <v>139</v>
      </c>
      <c r="C8" s="14">
        <v>-0.66296355299999998</v>
      </c>
      <c r="D8" s="14">
        <v>-0.51402796900000003</v>
      </c>
      <c r="E8" s="24">
        <f t="shared" si="0"/>
        <v>-18.0401664261042</v>
      </c>
      <c r="F8" s="24">
        <f t="shared" si="0"/>
        <v>-13.987420675646602</v>
      </c>
      <c r="G8" s="50">
        <v>0.86449609900000002</v>
      </c>
      <c r="H8" s="14">
        <v>-0.57736132632720005</v>
      </c>
      <c r="I8" s="24">
        <f t="shared" si="1"/>
        <v>-15.710809995219972</v>
      </c>
      <c r="J8" s="50">
        <v>0.90046735884274998</v>
      </c>
      <c r="K8" s="14">
        <v>-0.56552968535303205</v>
      </c>
      <c r="L8" s="24">
        <f t="shared" si="2"/>
        <v>-15.388854480015498</v>
      </c>
      <c r="M8" s="50">
        <v>0.89331023678249499</v>
      </c>
      <c r="N8" s="51">
        <v>15.467000000000001</v>
      </c>
      <c r="O8" s="14">
        <f t="shared" si="3"/>
        <v>2.5731664261041995</v>
      </c>
      <c r="P8" s="14">
        <f t="shared" si="4"/>
        <v>-1.4795793243533986</v>
      </c>
      <c r="Q8" s="14">
        <f t="shared" si="5"/>
        <v>0.24380999521997104</v>
      </c>
      <c r="R8" s="14">
        <f t="shared" si="6"/>
        <v>-7.8145519984502698E-2</v>
      </c>
    </row>
    <row r="9" spans="1:18" ht="15.75" customHeight="1">
      <c r="A9" s="1" t="s">
        <v>140</v>
      </c>
      <c r="B9" s="1" t="s">
        <v>141</v>
      </c>
      <c r="C9" s="14">
        <v>-0.52923673000000004</v>
      </c>
      <c r="D9" s="14">
        <v>-0.40461891900000002</v>
      </c>
      <c r="E9" s="24">
        <f t="shared" si="0"/>
        <v>-14.401272354722002</v>
      </c>
      <c r="F9" s="24">
        <f t="shared" si="0"/>
        <v>-11.010247252476601</v>
      </c>
      <c r="G9" s="50">
        <v>0.79996476599999999</v>
      </c>
      <c r="H9" s="14">
        <v>-0.52087461786355804</v>
      </c>
      <c r="I9" s="24">
        <f t="shared" si="1"/>
        <v>-14.173727576532423</v>
      </c>
      <c r="J9" s="50">
        <v>0.94083314990685396</v>
      </c>
      <c r="K9" s="14">
        <v>-0.48786550280771301</v>
      </c>
      <c r="L9" s="24">
        <f t="shared" si="2"/>
        <v>-13.275503343101802</v>
      </c>
      <c r="M9" s="50">
        <v>0.88974001864887997</v>
      </c>
      <c r="N9" s="51">
        <v>12.504</v>
      </c>
      <c r="O9" s="14">
        <f t="shared" si="3"/>
        <v>1.8972723547220021</v>
      </c>
      <c r="P9" s="14">
        <f t="shared" si="4"/>
        <v>-1.4937527475233985</v>
      </c>
      <c r="Q9" s="14">
        <f t="shared" si="5"/>
        <v>1.6697275765324235</v>
      </c>
      <c r="R9" s="14">
        <f t="shared" si="6"/>
        <v>0.77150334310180213</v>
      </c>
    </row>
    <row r="10" spans="1:18" ht="15.75" customHeight="1">
      <c r="A10" s="1" t="s">
        <v>142</v>
      </c>
      <c r="B10" s="1" t="s">
        <v>143</v>
      </c>
      <c r="C10" s="14">
        <v>-0.43703024099999999</v>
      </c>
      <c r="D10" s="14">
        <v>-0.36235489500000001</v>
      </c>
      <c r="E10" s="24">
        <f t="shared" si="0"/>
        <v>-11.892204699947401</v>
      </c>
      <c r="F10" s="24">
        <f t="shared" si="0"/>
        <v>-9.8601839898030015</v>
      </c>
      <c r="G10" s="50">
        <v>0.88025228099999997</v>
      </c>
      <c r="H10" s="14">
        <v>-0.40226361479464101</v>
      </c>
      <c r="I10" s="24">
        <f t="shared" si="1"/>
        <v>-10.946156127622896</v>
      </c>
      <c r="J10" s="50">
        <v>0.91868523305907901</v>
      </c>
      <c r="K10" s="14">
        <v>-0.39528532280008299</v>
      </c>
      <c r="L10" s="24">
        <f t="shared" si="2"/>
        <v>-10.756267032842178</v>
      </c>
      <c r="M10" s="50">
        <v>0.91142174202414805</v>
      </c>
      <c r="N10" s="51">
        <v>10.757</v>
      </c>
      <c r="O10" s="14">
        <f t="shared" si="3"/>
        <v>1.1352046999474013</v>
      </c>
      <c r="P10" s="14">
        <f t="shared" si="4"/>
        <v>-0.89681601019699819</v>
      </c>
      <c r="Q10" s="14">
        <f t="shared" si="5"/>
        <v>0.18915612762289591</v>
      </c>
      <c r="R10" s="14">
        <f t="shared" si="6"/>
        <v>-7.3296715782156241E-4</v>
      </c>
    </row>
    <row r="11" spans="1:18" ht="15.75" customHeight="1">
      <c r="A11" s="1" t="s">
        <v>144</v>
      </c>
      <c r="B11" s="1" t="s">
        <v>130</v>
      </c>
      <c r="C11" s="14">
        <v>-0.39954703000000003</v>
      </c>
      <c r="D11" s="14">
        <v>-0.40783492199999999</v>
      </c>
      <c r="E11" s="24">
        <f t="shared" si="0"/>
        <v>-10.872234052142002</v>
      </c>
      <c r="F11" s="24">
        <f t="shared" si="0"/>
        <v>-11.0977591965108</v>
      </c>
      <c r="G11" s="50">
        <v>0.90104183800000004</v>
      </c>
      <c r="H11" s="14">
        <v>-0.41679012339378702</v>
      </c>
      <c r="I11" s="24">
        <f t="shared" si="1"/>
        <v>-11.341442763717696</v>
      </c>
      <c r="J11" s="50">
        <v>0.909657858703116</v>
      </c>
      <c r="K11" s="14">
        <v>-0.41561869198746498</v>
      </c>
      <c r="L11" s="24">
        <f t="shared" si="2"/>
        <v>-11.309566475147705</v>
      </c>
      <c r="M11" s="50">
        <v>0.90850986274953205</v>
      </c>
      <c r="N11" s="51">
        <v>11.446</v>
      </c>
      <c r="O11" s="14">
        <f t="shared" si="3"/>
        <v>-0.57376594785799817</v>
      </c>
      <c r="P11" s="14">
        <f t="shared" si="4"/>
        <v>-0.34824080348919928</v>
      </c>
      <c r="Q11" s="14">
        <f t="shared" si="5"/>
        <v>-0.10455723628230373</v>
      </c>
      <c r="R11" s="14">
        <f t="shared" si="6"/>
        <v>-0.13643352485229521</v>
      </c>
    </row>
    <row r="12" spans="1:18" ht="15.75" customHeight="1">
      <c r="A12" s="1" t="s">
        <v>145</v>
      </c>
      <c r="B12" s="1" t="s">
        <v>146</v>
      </c>
      <c r="C12" s="14">
        <v>-0.36878386499999999</v>
      </c>
      <c r="D12" s="14">
        <v>-0.37217858199999998</v>
      </c>
      <c r="E12" s="24">
        <f t="shared" si="0"/>
        <v>-10.035125264061</v>
      </c>
      <c r="F12" s="24">
        <f t="shared" si="0"/>
        <v>-10.127500266234799</v>
      </c>
      <c r="G12" s="50">
        <v>0.90183446300000003</v>
      </c>
      <c r="H12" s="14">
        <v>-0.38223970900940102</v>
      </c>
      <c r="I12" s="24">
        <f t="shared" si="1"/>
        <v>-10.401277617738415</v>
      </c>
      <c r="J12" s="50">
        <v>0.91088659182032405</v>
      </c>
      <c r="K12" s="14">
        <v>-0.38083088851059199</v>
      </c>
      <c r="L12" s="24">
        <f t="shared" si="2"/>
        <v>-10.362941639617123</v>
      </c>
      <c r="M12" s="50">
        <v>0.90959399090394699</v>
      </c>
      <c r="N12" s="51">
        <v>10.593</v>
      </c>
      <c r="O12" s="14">
        <f t="shared" si="3"/>
        <v>-0.55787473593900039</v>
      </c>
      <c r="P12" s="14">
        <f t="shared" si="4"/>
        <v>-0.46549973376520093</v>
      </c>
      <c r="Q12" s="14">
        <f t="shared" si="5"/>
        <v>-0.19172238226158456</v>
      </c>
      <c r="R12" s="14">
        <f t="shared" si="6"/>
        <v>-0.23005836038287697</v>
      </c>
    </row>
    <row r="13" spans="1:18" ht="15.75" customHeight="1">
      <c r="A13" s="1" t="s">
        <v>147</v>
      </c>
      <c r="B13" s="1" t="s">
        <v>148</v>
      </c>
      <c r="C13" s="14">
        <v>-0.48644610100000002</v>
      </c>
      <c r="D13" s="14">
        <v>-0.49537560800000002</v>
      </c>
      <c r="E13" s="24">
        <f t="shared" si="0"/>
        <v>-13.236879432751401</v>
      </c>
      <c r="F13" s="24">
        <f t="shared" si="0"/>
        <v>-13.479863819531202</v>
      </c>
      <c r="G13" s="50">
        <v>0.89566872799999997</v>
      </c>
      <c r="H13" s="14">
        <v>-0.50747928936022502</v>
      </c>
      <c r="I13" s="24">
        <f t="shared" si="1"/>
        <v>-13.809221934496827</v>
      </c>
      <c r="J13" s="50">
        <v>0.90940015393205398</v>
      </c>
      <c r="K13" s="14">
        <v>-0.50592107486150395</v>
      </c>
      <c r="L13" s="24">
        <f t="shared" si="2"/>
        <v>-13.766820736486329</v>
      </c>
      <c r="M13" s="50">
        <v>0.907577162305096</v>
      </c>
      <c r="N13" s="51">
        <v>13.805</v>
      </c>
      <c r="O13" s="14">
        <f t="shared" si="3"/>
        <v>-0.56812056724859872</v>
      </c>
      <c r="P13" s="14">
        <f t="shared" si="4"/>
        <v>-0.32513618046879778</v>
      </c>
      <c r="Q13" s="14">
        <f t="shared" si="5"/>
        <v>4.2219344968277284E-3</v>
      </c>
      <c r="R13" s="14">
        <f t="shared" si="6"/>
        <v>-3.8179263513670847E-2</v>
      </c>
    </row>
    <row r="14" spans="1:18" ht="15.75" customHeight="1">
      <c r="A14" s="1" t="s">
        <v>149</v>
      </c>
      <c r="B14" s="1" t="s">
        <v>150</v>
      </c>
      <c r="C14" s="14">
        <v>-0.47484712400000001</v>
      </c>
      <c r="D14" s="14">
        <v>-0.46226215799999998</v>
      </c>
      <c r="E14" s="24">
        <f t="shared" si="0"/>
        <v>-12.921255030013601</v>
      </c>
      <c r="F14" s="24">
        <f t="shared" si="0"/>
        <v>-12.5788004862012</v>
      </c>
      <c r="G14" s="50">
        <v>0.85866812400000003</v>
      </c>
      <c r="H14" s="14">
        <v>-0.50530904539933696</v>
      </c>
      <c r="I14" s="24">
        <f t="shared" si="1"/>
        <v>-13.750166557979519</v>
      </c>
      <c r="J14" s="50">
        <v>0.90415150601688499</v>
      </c>
      <c r="K14" s="14">
        <v>-0.49758001307640798</v>
      </c>
      <c r="L14" s="24">
        <f t="shared" si="2"/>
        <v>-13.539848767827369</v>
      </c>
      <c r="M14" s="50">
        <v>0.89525084057120297</v>
      </c>
      <c r="N14" s="51">
        <v>12.768000000000001</v>
      </c>
      <c r="O14" s="14">
        <f t="shared" si="3"/>
        <v>0.15325503001360019</v>
      </c>
      <c r="P14" s="14">
        <f t="shared" si="4"/>
        <v>-0.18919951379880118</v>
      </c>
      <c r="Q14" s="14">
        <f t="shared" si="5"/>
        <v>0.98216655797951802</v>
      </c>
      <c r="R14" s="14">
        <f t="shared" si="6"/>
        <v>0.77184876782736822</v>
      </c>
    </row>
    <row r="15" spans="1:18" ht="15.75" customHeight="1">
      <c r="A15" s="1" t="s">
        <v>151</v>
      </c>
      <c r="B15" s="1" t="s">
        <v>139</v>
      </c>
      <c r="C15" s="14">
        <v>-0.53237306500000003</v>
      </c>
      <c r="D15" s="14">
        <v>-0.50159283099999996</v>
      </c>
      <c r="E15" s="24">
        <f t="shared" si="0"/>
        <v>-14.486616420941001</v>
      </c>
      <c r="F15" s="24">
        <f t="shared" si="0"/>
        <v>-13.649043161473399</v>
      </c>
      <c r="G15" s="50">
        <v>0.85664880300000001</v>
      </c>
      <c r="H15" s="14">
        <v>-0.54786908677220902</v>
      </c>
      <c r="I15" s="24">
        <f t="shared" si="1"/>
        <v>-14.90828486779329</v>
      </c>
      <c r="J15" s="50">
        <v>0.89905868910146203</v>
      </c>
      <c r="K15" s="14">
        <v>-0.54014223486624902</v>
      </c>
      <c r="L15" s="24">
        <f t="shared" si="2"/>
        <v>-14.69802640983945</v>
      </c>
      <c r="M15" s="50">
        <v>0.89136278132890601</v>
      </c>
      <c r="N15" s="51">
        <v>13.672000000000001</v>
      </c>
      <c r="O15" s="14">
        <f t="shared" si="3"/>
        <v>0.81461642094100029</v>
      </c>
      <c r="P15" s="14">
        <f t="shared" si="4"/>
        <v>-2.2956838526601686E-2</v>
      </c>
      <c r="Q15" s="14">
        <f t="shared" si="5"/>
        <v>1.2362848677932892</v>
      </c>
      <c r="R15" s="14">
        <f t="shared" si="6"/>
        <v>1.0260264098394494</v>
      </c>
    </row>
    <row r="16" spans="1:18" ht="15.75" customHeight="1">
      <c r="A16" s="1" t="s">
        <v>60</v>
      </c>
      <c r="B16" s="1" t="s">
        <v>148</v>
      </c>
      <c r="C16" s="14">
        <v>-0.65108238900000004</v>
      </c>
      <c r="D16" s="14">
        <v>-0.54298474699999999</v>
      </c>
      <c r="E16" s="24">
        <f t="shared" si="0"/>
        <v>-17.716863320034602</v>
      </c>
      <c r="F16" s="24">
        <f t="shared" si="0"/>
        <v>-14.775375144515801</v>
      </c>
      <c r="G16" s="50">
        <v>0.89591154799999995</v>
      </c>
      <c r="H16" s="14">
        <v>-0.59466245912802895</v>
      </c>
      <c r="I16" s="24">
        <f t="shared" si="1"/>
        <v>-16.181598040316448</v>
      </c>
      <c r="J16" s="50">
        <v>0.93572332467607999</v>
      </c>
      <c r="K16" s="14">
        <v>-0.58666709640142001</v>
      </c>
      <c r="L16" s="24">
        <f t="shared" si="2"/>
        <v>-15.964033027017601</v>
      </c>
      <c r="M16" s="50">
        <v>0.92908262997318003</v>
      </c>
      <c r="N16" s="51">
        <v>15.875999999999999</v>
      </c>
      <c r="O16" s="14">
        <f t="shared" si="3"/>
        <v>1.8408633200346021</v>
      </c>
      <c r="P16" s="14">
        <f t="shared" si="4"/>
        <v>-1.1006248554841989</v>
      </c>
      <c r="Q16" s="14">
        <f t="shared" si="5"/>
        <v>0.30559804031644866</v>
      </c>
      <c r="R16" s="14">
        <f t="shared" si="6"/>
        <v>8.8033027017601739E-2</v>
      </c>
    </row>
    <row r="17" spans="1:19" ht="15.75" customHeight="1">
      <c r="A17" s="1" t="s">
        <v>152</v>
      </c>
      <c r="B17" s="1" t="s">
        <v>153</v>
      </c>
      <c r="C17" s="14">
        <v>-0.41304705600000002</v>
      </c>
      <c r="D17" s="14">
        <v>-0.372462554</v>
      </c>
      <c r="E17" s="24">
        <f t="shared" si="0"/>
        <v>-11.2395886596384</v>
      </c>
      <c r="F17" s="24">
        <f t="shared" si="0"/>
        <v>-10.135227541915601</v>
      </c>
      <c r="G17" s="50">
        <v>0.866187704</v>
      </c>
      <c r="H17" s="14">
        <v>-0.40212342111110499</v>
      </c>
      <c r="I17" s="24">
        <f t="shared" si="1"/>
        <v>-10.942341261222722</v>
      </c>
      <c r="J17" s="50">
        <v>0.89070882233709903</v>
      </c>
      <c r="K17" s="14">
        <v>-0.39772466925906202</v>
      </c>
      <c r="L17" s="24">
        <f t="shared" si="2"/>
        <v>-10.82264506507604</v>
      </c>
      <c r="M17" s="50">
        <v>0.88687323445434596</v>
      </c>
      <c r="N17" s="51">
        <v>10.311</v>
      </c>
      <c r="O17" s="14">
        <f t="shared" si="3"/>
        <v>0.92858865963840032</v>
      </c>
      <c r="P17" s="14">
        <f t="shared" si="4"/>
        <v>-0.17577245808439912</v>
      </c>
      <c r="Q17" s="14">
        <f t="shared" si="5"/>
        <v>0.63134126122272249</v>
      </c>
      <c r="R17" s="14">
        <f t="shared" si="6"/>
        <v>0.51164506507604024</v>
      </c>
    </row>
    <row r="18" spans="1:19" ht="15.75" customHeight="1">
      <c r="A18" s="1" t="s">
        <v>154</v>
      </c>
      <c r="B18" s="1" t="s">
        <v>155</v>
      </c>
      <c r="C18" s="14">
        <v>-0.53938413100000004</v>
      </c>
      <c r="D18" s="14">
        <v>-0.51125613000000003</v>
      </c>
      <c r="E18" s="24">
        <f t="shared" ref="E18:F33" si="7">C18*27.2114</f>
        <v>-14.677397342293402</v>
      </c>
      <c r="F18" s="24">
        <f t="shared" si="7"/>
        <v>-13.911995055882002</v>
      </c>
      <c r="G18" s="50">
        <v>0.91639274999999998</v>
      </c>
      <c r="H18" s="14">
        <v>-0.51854919454540205</v>
      </c>
      <c r="I18" s="24">
        <f t="shared" si="1"/>
        <v>-14.110449552452755</v>
      </c>
      <c r="J18" s="50">
        <v>0.922378007028964</v>
      </c>
      <c r="K18" s="14">
        <v>-0.51763596442841797</v>
      </c>
      <c r="L18" s="24">
        <f t="shared" si="2"/>
        <v>-14.085599282447454</v>
      </c>
      <c r="M18" s="50">
        <v>0.921616071257369</v>
      </c>
      <c r="N18" s="51">
        <v>14.305</v>
      </c>
      <c r="O18" s="14">
        <f t="shared" si="3"/>
        <v>0.37239734229340193</v>
      </c>
      <c r="P18" s="14">
        <f t="shared" si="4"/>
        <v>-0.39300494411799747</v>
      </c>
      <c r="Q18" s="14">
        <f t="shared" si="5"/>
        <v>-0.19455044754724504</v>
      </c>
      <c r="R18" s="14">
        <f t="shared" si="6"/>
        <v>-0.21940071755254564</v>
      </c>
    </row>
    <row r="19" spans="1:19" ht="15.75" customHeight="1">
      <c r="A19" s="1" t="s">
        <v>156</v>
      </c>
      <c r="B19" s="1" t="s">
        <v>157</v>
      </c>
      <c r="C19" s="14">
        <v>-0.47987244600000001</v>
      </c>
      <c r="D19" s="14">
        <v>-0.44822816700000001</v>
      </c>
      <c r="E19" s="24">
        <f t="shared" si="7"/>
        <v>-13.0580010770844</v>
      </c>
      <c r="F19" s="24">
        <f t="shared" si="7"/>
        <v>-12.1969159435038</v>
      </c>
      <c r="G19" s="50">
        <v>0.91333925800000004</v>
      </c>
      <c r="H19" s="14">
        <v>-0.45658494346334699</v>
      </c>
      <c r="I19" s="24">
        <f t="shared" si="1"/>
        <v>-12.424315530558522</v>
      </c>
      <c r="J19" s="50">
        <v>0.91951369791498905</v>
      </c>
      <c r="K19" s="14">
        <v>-0.45551454262169999</v>
      </c>
      <c r="L19" s="24">
        <f t="shared" si="2"/>
        <v>-12.395188425096128</v>
      </c>
      <c r="M19" s="50">
        <v>0.91870989568573302</v>
      </c>
      <c r="N19" s="51">
        <v>12.64</v>
      </c>
      <c r="O19" s="14">
        <f t="shared" si="3"/>
        <v>0.4180010770843996</v>
      </c>
      <c r="P19" s="14">
        <f t="shared" si="4"/>
        <v>-0.44308405649620042</v>
      </c>
      <c r="Q19" s="14">
        <f t="shared" si="5"/>
        <v>-0.21568446944147901</v>
      </c>
      <c r="R19" s="14">
        <f t="shared" si="6"/>
        <v>-0.2448115749038724</v>
      </c>
    </row>
    <row r="20" spans="1:19" ht="15.75" customHeight="1">
      <c r="A20" s="52" t="s">
        <v>158</v>
      </c>
      <c r="B20" s="52" t="s">
        <v>159</v>
      </c>
      <c r="C20" s="53">
        <v>-0.52556485100000006</v>
      </c>
      <c r="D20" s="53">
        <v>-0.46769890800000002</v>
      </c>
      <c r="E20" s="54">
        <f t="shared" si="7"/>
        <v>-14.301355386501402</v>
      </c>
      <c r="F20" s="54">
        <f t="shared" si="7"/>
        <v>-12.726742065151202</v>
      </c>
      <c r="G20" s="55">
        <v>0.90923455600000003</v>
      </c>
      <c r="H20" s="53">
        <v>-0.49033596893609099</v>
      </c>
      <c r="I20" s="54">
        <f t="shared" si="1"/>
        <v>-13.342728185107546</v>
      </c>
      <c r="J20" s="55">
        <v>0.92524440659429696</v>
      </c>
      <c r="K20" s="53">
        <v>-0.48721616008914997</v>
      </c>
      <c r="L20" s="54">
        <f t="shared" si="2"/>
        <v>-13.257833818649896</v>
      </c>
      <c r="M20" s="55">
        <v>0.92296375147785803</v>
      </c>
      <c r="N20" s="56">
        <v>13.201000000000001</v>
      </c>
      <c r="O20" s="53">
        <f t="shared" si="3"/>
        <v>1.100355386501402</v>
      </c>
      <c r="P20" s="53">
        <f t="shared" si="4"/>
        <v>-0.47425793484879897</v>
      </c>
      <c r="Q20" s="53">
        <f t="shared" si="5"/>
        <v>0.14172818510754581</v>
      </c>
      <c r="R20" s="53">
        <f t="shared" si="6"/>
        <v>5.6833818649895562E-2</v>
      </c>
      <c r="S20" s="1"/>
    </row>
    <row r="21" spans="1:19" ht="15.75" customHeight="1">
      <c r="A21" s="1" t="s">
        <v>48</v>
      </c>
      <c r="B21" s="1" t="s">
        <v>160</v>
      </c>
      <c r="C21" s="14">
        <v>-0.30299999999999999</v>
      </c>
      <c r="D21" s="14">
        <v>-0.29299999999999998</v>
      </c>
      <c r="E21" s="24">
        <f t="shared" si="7"/>
        <v>-8.2450542000000002</v>
      </c>
      <c r="F21" s="24">
        <f t="shared" si="7"/>
        <v>-7.9729402</v>
      </c>
      <c r="G21" s="50">
        <v>0.91500000000000004</v>
      </c>
      <c r="H21" s="14">
        <v>-0.28794692446613102</v>
      </c>
      <c r="I21" s="24">
        <f t="shared" si="1"/>
        <v>-7.8354389404176779</v>
      </c>
      <c r="J21" s="50">
        <v>0.91080736015999897</v>
      </c>
      <c r="K21" s="14">
        <v>-0.28803233599250599</v>
      </c>
      <c r="L21" s="24">
        <f t="shared" si="2"/>
        <v>-7.8377631076264782</v>
      </c>
      <c r="M21" s="50">
        <v>0.91087974140127803</v>
      </c>
      <c r="N21" s="51">
        <v>7.9630000000000001</v>
      </c>
      <c r="O21" s="14">
        <f t="shared" si="3"/>
        <v>0.28205420000000014</v>
      </c>
      <c r="P21" s="14">
        <f t="shared" si="4"/>
        <v>9.9401999999999546E-3</v>
      </c>
      <c r="Q21" s="14">
        <f t="shared" si="5"/>
        <v>-0.12756105958232222</v>
      </c>
      <c r="R21" s="14">
        <f t="shared" si="6"/>
        <v>-0.12523689237352187</v>
      </c>
    </row>
    <row r="22" spans="1:19" ht="15.75" customHeight="1">
      <c r="A22" s="1" t="s">
        <v>45</v>
      </c>
      <c r="B22" s="1" t="s">
        <v>161</v>
      </c>
      <c r="C22" s="14">
        <v>-0.17899999999999999</v>
      </c>
      <c r="D22" s="14">
        <v>-0.189</v>
      </c>
      <c r="E22" s="24">
        <f t="shared" si="7"/>
        <v>-4.8708406000000002</v>
      </c>
      <c r="F22" s="24">
        <f t="shared" si="7"/>
        <v>-5.1429546000000004</v>
      </c>
      <c r="G22" s="50">
        <v>0.85</v>
      </c>
      <c r="H22" s="14">
        <v>-0.18436584746693299</v>
      </c>
      <c r="I22" s="24">
        <f t="shared" si="1"/>
        <v>-5.0168528217617006</v>
      </c>
      <c r="J22" s="50">
        <v>0.89478673549900301</v>
      </c>
      <c r="K22" s="14">
        <v>-0.18456556614091199</v>
      </c>
      <c r="L22" s="24">
        <f t="shared" si="2"/>
        <v>-5.0222874464868124</v>
      </c>
      <c r="M22" s="50">
        <v>0.89598363358796396</v>
      </c>
      <c r="N22" s="51">
        <v>5.3120000000000003</v>
      </c>
      <c r="O22" s="14">
        <f t="shared" si="3"/>
        <v>-0.44115940000000009</v>
      </c>
      <c r="P22" s="14">
        <f t="shared" si="4"/>
        <v>-0.1690453999999999</v>
      </c>
      <c r="Q22" s="14">
        <f t="shared" si="5"/>
        <v>-0.29514717823829972</v>
      </c>
      <c r="R22" s="14">
        <f t="shared" si="6"/>
        <v>-0.28971255351318792</v>
      </c>
    </row>
    <row r="23" spans="1:19" ht="15.75" customHeight="1">
      <c r="A23" s="1" t="s">
        <v>162</v>
      </c>
      <c r="B23" s="1" t="s">
        <v>163</v>
      </c>
      <c r="C23" s="14">
        <v>-0.49299999999999999</v>
      </c>
      <c r="D23" s="14">
        <v>-0.36877611500000002</v>
      </c>
      <c r="E23" s="24">
        <f t="shared" si="7"/>
        <v>-13.4152202</v>
      </c>
      <c r="F23" s="24">
        <f t="shared" si="7"/>
        <v>-10.034914375711001</v>
      </c>
      <c r="G23" s="50">
        <v>0.84987335100000005</v>
      </c>
      <c r="H23" s="14">
        <v>-0.45907738110122098</v>
      </c>
      <c r="I23" s="24">
        <f t="shared" si="1"/>
        <v>-12.492138248097765</v>
      </c>
      <c r="J23" s="50">
        <v>0.98135527661727995</v>
      </c>
      <c r="K23" s="14">
        <v>-0.44262152647324698</v>
      </c>
      <c r="L23" s="24">
        <f t="shared" si="2"/>
        <v>-12.044351405474114</v>
      </c>
      <c r="M23" s="50">
        <v>0.95087346222015401</v>
      </c>
      <c r="N23" s="51">
        <v>11.44</v>
      </c>
      <c r="O23" s="14">
        <f t="shared" si="3"/>
        <v>1.9752202000000008</v>
      </c>
      <c r="P23" s="14">
        <f t="shared" si="4"/>
        <v>-1.4050856242889989</v>
      </c>
      <c r="Q23" s="14">
        <f t="shared" si="5"/>
        <v>1.0521382480977657</v>
      </c>
      <c r="R23" s="14">
        <f t="shared" si="6"/>
        <v>0.60435140547411415</v>
      </c>
    </row>
    <row r="24" spans="1:19" ht="15.75" customHeight="1">
      <c r="A24" s="1" t="s">
        <v>164</v>
      </c>
      <c r="B24" s="1" t="s">
        <v>165</v>
      </c>
      <c r="C24" s="14">
        <v>-0.85199999999999998</v>
      </c>
      <c r="D24" s="14">
        <v>-0.74167363100000006</v>
      </c>
      <c r="E24" s="24">
        <f t="shared" si="7"/>
        <v>-23.184112800000001</v>
      </c>
      <c r="F24" s="24">
        <f t="shared" si="7"/>
        <v>-20.181977842593401</v>
      </c>
      <c r="G24" s="50">
        <v>0.92064852699999999</v>
      </c>
      <c r="H24" s="14">
        <v>-0.78588637480274304</v>
      </c>
      <c r="I24" s="24">
        <f t="shared" si="1"/>
        <v>-21.385068499307362</v>
      </c>
      <c r="J24" s="50">
        <v>0.94726815267080899</v>
      </c>
      <c r="K24" s="14">
        <v>-0.78033977945217703</v>
      </c>
      <c r="L24" s="24">
        <f t="shared" si="2"/>
        <v>-21.23413787458497</v>
      </c>
      <c r="M24" s="50">
        <v>0.94376323331836098</v>
      </c>
      <c r="N24" s="51">
        <v>21.344999999999999</v>
      </c>
      <c r="O24" s="14">
        <f t="shared" si="3"/>
        <v>1.8391128000000023</v>
      </c>
      <c r="P24" s="14">
        <f t="shared" si="4"/>
        <v>-1.1630221574065978</v>
      </c>
      <c r="Q24" s="14">
        <f t="shared" si="5"/>
        <v>4.0068499307363226E-2</v>
      </c>
      <c r="R24" s="14">
        <f t="shared" si="6"/>
        <v>-0.1108621254150286</v>
      </c>
    </row>
    <row r="25" spans="1:19" ht="15.75" customHeight="1">
      <c r="A25" s="1" t="s">
        <v>166</v>
      </c>
      <c r="B25" s="1" t="s">
        <v>167</v>
      </c>
      <c r="C25" s="14">
        <v>-0.49385008000000002</v>
      </c>
      <c r="D25" s="14">
        <v>-0.48142990200000002</v>
      </c>
      <c r="E25" s="24">
        <f t="shared" si="7"/>
        <v>-13.438352066912001</v>
      </c>
      <c r="F25" s="24">
        <f t="shared" si="7"/>
        <v>-13.100381635282801</v>
      </c>
      <c r="G25" s="50">
        <v>0.93682120199999996</v>
      </c>
      <c r="H25" s="14">
        <v>-0.47741487515410902</v>
      </c>
      <c r="I25" s="24">
        <f t="shared" si="1"/>
        <v>-12.991127133768522</v>
      </c>
      <c r="J25" s="50">
        <v>0.92905289858309503</v>
      </c>
      <c r="K25" s="14">
        <v>-0.47771393842075399</v>
      </c>
      <c r="L25" s="24">
        <f t="shared" si="2"/>
        <v>-12.999265063942506</v>
      </c>
      <c r="M25" s="50">
        <v>0.92962648129334502</v>
      </c>
      <c r="N25" s="51">
        <v>13.284000000000001</v>
      </c>
      <c r="O25" s="14">
        <f t="shared" si="3"/>
        <v>0.15435206691200065</v>
      </c>
      <c r="P25" s="14">
        <f t="shared" si="4"/>
        <v>-0.18361836471719961</v>
      </c>
      <c r="Q25" s="14">
        <f t="shared" si="5"/>
        <v>-0.29287286623147857</v>
      </c>
      <c r="R25" s="14">
        <f t="shared" si="6"/>
        <v>-0.28473493605749489</v>
      </c>
    </row>
    <row r="26" spans="1:19" ht="15.75" customHeight="1">
      <c r="A26" s="1" t="s">
        <v>168</v>
      </c>
      <c r="B26" s="1" t="s">
        <v>160</v>
      </c>
      <c r="C26" s="14">
        <v>-0.39443966200000002</v>
      </c>
      <c r="D26" s="14">
        <v>-0.393907065</v>
      </c>
      <c r="E26" s="24">
        <f t="shared" si="7"/>
        <v>-10.733255418546801</v>
      </c>
      <c r="F26" s="24">
        <f t="shared" si="7"/>
        <v>-10.718762708541</v>
      </c>
      <c r="G26" s="50">
        <v>0.93661333999999996</v>
      </c>
      <c r="H26" s="14">
        <v>-0.39207316039076801</v>
      </c>
      <c r="I26" s="24">
        <f t="shared" si="1"/>
        <v>-10.668859596657345</v>
      </c>
      <c r="J26" s="50">
        <v>0.92895093762172698</v>
      </c>
      <c r="K26" s="14">
        <v>-0.39224112686269003</v>
      </c>
      <c r="L26" s="24">
        <f t="shared" si="2"/>
        <v>-10.673430199511404</v>
      </c>
      <c r="M26" s="50">
        <v>0.92964869662316196</v>
      </c>
      <c r="N26" s="51">
        <v>11.154999999999999</v>
      </c>
      <c r="O26" s="14">
        <f t="shared" si="3"/>
        <v>-0.42174458145319882</v>
      </c>
      <c r="P26" s="14">
        <f t="shared" si="4"/>
        <v>-0.43623729145899937</v>
      </c>
      <c r="Q26" s="14">
        <f t="shared" si="5"/>
        <v>-0.48614040334265418</v>
      </c>
      <c r="R26" s="14">
        <f t="shared" si="6"/>
        <v>-0.48156980048859488</v>
      </c>
    </row>
    <row r="27" spans="1:19" ht="15.75" customHeight="1">
      <c r="A27" s="1" t="s">
        <v>169</v>
      </c>
      <c r="B27" s="1" t="s">
        <v>170</v>
      </c>
      <c r="C27" s="14">
        <v>-0.385985207</v>
      </c>
      <c r="D27" s="14">
        <v>-0.38080075699999999</v>
      </c>
      <c r="E27" s="24">
        <f t="shared" si="7"/>
        <v>-10.5031978617598</v>
      </c>
      <c r="F27" s="24">
        <f t="shared" si="7"/>
        <v>-10.362121719029799</v>
      </c>
      <c r="G27" s="50">
        <v>0.86400437900000004</v>
      </c>
      <c r="H27" s="14">
        <v>-0.40908218390879703</v>
      </c>
      <c r="I27" s="24">
        <f t="shared" si="1"/>
        <v>-11.131698939215839</v>
      </c>
      <c r="J27" s="50">
        <v>0.890407231019407</v>
      </c>
      <c r="K27" s="14">
        <v>-0.40428969654172803</v>
      </c>
      <c r="L27" s="24">
        <f t="shared" si="2"/>
        <v>-11.001288648475578</v>
      </c>
      <c r="M27" s="50">
        <v>0.88569853504922902</v>
      </c>
      <c r="N27" s="51">
        <v>10.641999999999999</v>
      </c>
      <c r="O27" s="14">
        <f t="shared" si="3"/>
        <v>-0.13880213824019982</v>
      </c>
      <c r="P27" s="14">
        <f t="shared" si="4"/>
        <v>-0.27987828097020007</v>
      </c>
      <c r="Q27" s="14">
        <f t="shared" si="5"/>
        <v>0.48969893921583996</v>
      </c>
      <c r="R27" s="14">
        <f t="shared" si="6"/>
        <v>0.3592886484755784</v>
      </c>
    </row>
    <row r="28" spans="1:19" ht="15.75" customHeight="1">
      <c r="A28" s="1" t="s">
        <v>171</v>
      </c>
      <c r="B28" s="1" t="s">
        <v>172</v>
      </c>
      <c r="C28" s="14">
        <v>-0.48260086600000002</v>
      </c>
      <c r="D28" s="14">
        <v>-0.37342689600000001</v>
      </c>
      <c r="E28" s="24">
        <f t="shared" si="7"/>
        <v>-13.132245205072401</v>
      </c>
      <c r="F28" s="24">
        <f t="shared" si="7"/>
        <v>-10.161468637814401</v>
      </c>
      <c r="G28" s="50">
        <v>0.89598238500000005</v>
      </c>
      <c r="H28" s="14">
        <v>-0.42075478725809001</v>
      </c>
      <c r="I28" s="24">
        <f t="shared" si="1"/>
        <v>-11.449326817994791</v>
      </c>
      <c r="J28" s="50">
        <v>0.90203108234124896</v>
      </c>
      <c r="K28" s="14">
        <v>-0.41230743792033703</v>
      </c>
      <c r="L28" s="24">
        <f t="shared" si="2"/>
        <v>-11.21946261622546</v>
      </c>
      <c r="M28" s="50">
        <v>0.89598238515100403</v>
      </c>
      <c r="N28" s="51">
        <v>11.401999999999999</v>
      </c>
      <c r="O28" s="14">
        <f t="shared" si="3"/>
        <v>1.7302452050724018</v>
      </c>
      <c r="P28" s="14">
        <f t="shared" si="4"/>
        <v>-1.2405313621855978</v>
      </c>
      <c r="Q28" s="14">
        <f t="shared" si="5"/>
        <v>4.7326817994791881E-2</v>
      </c>
      <c r="R28" s="14">
        <f t="shared" si="6"/>
        <v>-0.18253738377453921</v>
      </c>
    </row>
    <row r="29" spans="1:19" ht="15.75" customHeight="1">
      <c r="A29" s="1" t="s">
        <v>173</v>
      </c>
      <c r="B29" s="1" t="s">
        <v>174</v>
      </c>
      <c r="C29" s="14">
        <v>-0.92086092500000005</v>
      </c>
      <c r="D29" s="14">
        <v>-0.90342050399999996</v>
      </c>
      <c r="E29" s="24">
        <f t="shared" si="7"/>
        <v>-25.057914974545003</v>
      </c>
      <c r="F29" s="24">
        <f t="shared" si="7"/>
        <v>-24.583336702545601</v>
      </c>
      <c r="G29" s="50">
        <v>0.96649127700000004</v>
      </c>
      <c r="H29" s="14">
        <v>-0.89801957808120603</v>
      </c>
      <c r="I29" s="24">
        <f t="shared" si="1"/>
        <v>-24.43636994699893</v>
      </c>
      <c r="J29" s="50">
        <v>0.96277965674704102</v>
      </c>
      <c r="K29" s="14">
        <v>-0.89804976997621899</v>
      </c>
      <c r="L29" s="24">
        <f t="shared" si="2"/>
        <v>-24.437191510730887</v>
      </c>
      <c r="M29" s="50">
        <v>0.96280062043391901</v>
      </c>
      <c r="N29" s="51">
        <v>24.515000000000001</v>
      </c>
      <c r="O29" s="14">
        <f t="shared" si="3"/>
        <v>0.54291497454500259</v>
      </c>
      <c r="P29" s="14">
        <f t="shared" si="4"/>
        <v>6.8336702545600758E-2</v>
      </c>
      <c r="Q29" s="14">
        <f t="shared" si="5"/>
        <v>-7.8630053001070621E-2</v>
      </c>
      <c r="R29" s="14">
        <f t="shared" si="6"/>
        <v>-7.7808489269113323E-2</v>
      </c>
    </row>
    <row r="30" spans="1:19" ht="15.75" customHeight="1">
      <c r="A30" s="1" t="s">
        <v>175</v>
      </c>
      <c r="B30" s="1" t="s">
        <v>172</v>
      </c>
      <c r="C30" s="14">
        <v>-0.38499028200000002</v>
      </c>
      <c r="D30" s="14">
        <v>-0.32316450699999999</v>
      </c>
      <c r="E30" s="24">
        <f t="shared" si="7"/>
        <v>-10.476124559614801</v>
      </c>
      <c r="F30" s="24">
        <f t="shared" si="7"/>
        <v>-8.7937586657797997</v>
      </c>
      <c r="G30" s="50">
        <v>0.89025597400000001</v>
      </c>
      <c r="H30" s="14">
        <v>-0.34861908399834401</v>
      </c>
      <c r="I30" s="24">
        <f t="shared" si="1"/>
        <v>-9.4864133423125381</v>
      </c>
      <c r="J30" s="50">
        <v>0.91051218933007305</v>
      </c>
      <c r="K30" s="14">
        <v>-0.34461805723420902</v>
      </c>
      <c r="L30" s="24">
        <f t="shared" si="2"/>
        <v>-9.3775398026229553</v>
      </c>
      <c r="M30" s="50">
        <v>0.90718617327794104</v>
      </c>
      <c r="N30" s="51">
        <v>9.5820000000000007</v>
      </c>
      <c r="O30" s="14">
        <f t="shared" si="3"/>
        <v>0.89412455961480042</v>
      </c>
      <c r="P30" s="14">
        <f t="shared" si="4"/>
        <v>-0.78824133422020104</v>
      </c>
      <c r="Q30" s="14">
        <f t="shared" si="5"/>
        <v>-9.5586657687462662E-2</v>
      </c>
      <c r="R30" s="14">
        <f t="shared" si="6"/>
        <v>-0.20446019737704546</v>
      </c>
    </row>
    <row r="31" spans="1:19" ht="15.75" customHeight="1">
      <c r="A31" s="1" t="s">
        <v>176</v>
      </c>
      <c r="B31" s="1" t="s">
        <v>177</v>
      </c>
      <c r="C31" s="14">
        <v>-0.40878638</v>
      </c>
      <c r="D31" s="14">
        <v>-0.39189976300000001</v>
      </c>
      <c r="E31" s="24">
        <f t="shared" si="7"/>
        <v>-11.123649700732001</v>
      </c>
      <c r="F31" s="24">
        <f t="shared" si="7"/>
        <v>-10.664141210898201</v>
      </c>
      <c r="G31" s="14">
        <v>0.87472939199999999</v>
      </c>
      <c r="H31" s="14">
        <v>-0.408441540460174</v>
      </c>
      <c r="I31" s="24">
        <f t="shared" si="1"/>
        <v>-11.11426613407798</v>
      </c>
      <c r="J31" s="14">
        <v>0.88544909907073299</v>
      </c>
      <c r="K31" s="14">
        <v>-0.405657793088743</v>
      </c>
      <c r="L31" s="24">
        <f t="shared" si="2"/>
        <v>-11.038516470855022</v>
      </c>
      <c r="M31" s="14">
        <v>0.88361536452973199</v>
      </c>
      <c r="N31" s="57">
        <v>11.236000000000001</v>
      </c>
      <c r="O31" s="14">
        <f t="shared" si="3"/>
        <v>-0.11235029926799989</v>
      </c>
      <c r="P31" s="14">
        <f t="shared" si="4"/>
        <v>-0.57185878910179966</v>
      </c>
      <c r="Q31" s="14">
        <f t="shared" si="5"/>
        <v>-0.12173386592202107</v>
      </c>
      <c r="R31" s="14">
        <f t="shared" si="6"/>
        <v>-0.19748352914497858</v>
      </c>
    </row>
    <row r="32" spans="1:19" ht="15.75" customHeight="1">
      <c r="A32" s="1" t="s">
        <v>178</v>
      </c>
      <c r="B32" s="1" t="s">
        <v>179</v>
      </c>
      <c r="C32" s="14">
        <v>-0.46418125900000001</v>
      </c>
      <c r="D32" s="14">
        <v>-0.43928075599999999</v>
      </c>
      <c r="E32" s="24">
        <f t="shared" si="7"/>
        <v>-12.631021911152601</v>
      </c>
      <c r="F32" s="24">
        <f t="shared" si="7"/>
        <v>-11.9534443638184</v>
      </c>
      <c r="G32" s="14">
        <v>0.92048828400000005</v>
      </c>
      <c r="H32" s="14">
        <v>-0.43767871159690103</v>
      </c>
      <c r="I32" s="24">
        <f t="shared" si="1"/>
        <v>-11.909850492747912</v>
      </c>
      <c r="J32" s="14">
        <v>0.91363113451919997</v>
      </c>
      <c r="K32" s="14">
        <v>-0.437842457111636</v>
      </c>
      <c r="L32" s="24">
        <f t="shared" si="2"/>
        <v>-11.914306237447573</v>
      </c>
      <c r="M32" s="14">
        <v>0.91432893349261801</v>
      </c>
      <c r="N32" s="57">
        <v>12.233000000000001</v>
      </c>
      <c r="O32" s="14">
        <f t="shared" si="3"/>
        <v>0.39802191115260044</v>
      </c>
      <c r="P32" s="14">
        <f t="shared" si="4"/>
        <v>-0.27955563618160006</v>
      </c>
      <c r="Q32" s="14">
        <f t="shared" si="5"/>
        <v>-0.32314950725208824</v>
      </c>
      <c r="R32" s="14">
        <f t="shared" si="6"/>
        <v>-0.31869376255242798</v>
      </c>
    </row>
    <row r="33" spans="1:18" ht="15.75" customHeight="1">
      <c r="A33" s="1" t="s">
        <v>180</v>
      </c>
      <c r="B33" s="1" t="s">
        <v>160</v>
      </c>
      <c r="C33" s="14">
        <v>-0.59421406700000001</v>
      </c>
      <c r="D33" s="14">
        <v>-0.598979398</v>
      </c>
      <c r="E33" s="24">
        <f t="shared" si="7"/>
        <v>-16.169396662763802</v>
      </c>
      <c r="F33" s="24">
        <f t="shared" si="7"/>
        <v>-16.2990679907372</v>
      </c>
      <c r="G33" s="14">
        <v>0.96426762799999999</v>
      </c>
      <c r="H33" s="14">
        <v>-0.59582281808544402</v>
      </c>
      <c r="I33" s="24">
        <f t="shared" si="1"/>
        <v>-16.213173032050253</v>
      </c>
      <c r="J33" s="14">
        <v>0.96010208071154002</v>
      </c>
      <c r="K33" s="14">
        <v>-0.59590815962509602</v>
      </c>
      <c r="L33" s="24">
        <f t="shared" si="2"/>
        <v>-16.21549529482234</v>
      </c>
      <c r="M33" s="14">
        <v>0.96021403446134201</v>
      </c>
      <c r="N33" s="57">
        <v>16.399000000000001</v>
      </c>
      <c r="O33" s="14">
        <f t="shared" si="3"/>
        <v>-0.22960333723619897</v>
      </c>
      <c r="P33" s="14">
        <f t="shared" si="4"/>
        <v>-9.9932009262801103E-2</v>
      </c>
      <c r="Q33" s="14">
        <f t="shared" si="5"/>
        <v>-0.18582696794974751</v>
      </c>
      <c r="R33" s="14">
        <f t="shared" si="6"/>
        <v>-0.18350470517766126</v>
      </c>
    </row>
    <row r="34" spans="1:18" ht="15.75" customHeight="1">
      <c r="A34" s="1" t="s">
        <v>181</v>
      </c>
      <c r="B34" s="1" t="s">
        <v>182</v>
      </c>
      <c r="C34" s="14">
        <v>-0.38050242699999998</v>
      </c>
      <c r="D34" s="14">
        <v>-0.37428830800000001</v>
      </c>
      <c r="E34" s="24">
        <f t="shared" ref="E34:F36" si="8">C34*27.2114</f>
        <v>-10.3540037420678</v>
      </c>
      <c r="F34" s="24">
        <f t="shared" si="8"/>
        <v>-10.1849088643112</v>
      </c>
      <c r="G34" s="14">
        <v>0.92390385100000005</v>
      </c>
      <c r="H34" s="14">
        <v>-0.373495167070031</v>
      </c>
      <c r="I34" s="24">
        <f t="shared" si="1"/>
        <v>-10.163326389209441</v>
      </c>
      <c r="J34" s="14">
        <v>0.91778609192134997</v>
      </c>
      <c r="K34" s="14">
        <v>-0.37357794755792301</v>
      </c>
      <c r="L34" s="24">
        <f t="shared" si="2"/>
        <v>-10.165578962177667</v>
      </c>
      <c r="M34" s="14">
        <v>0.91842382270114398</v>
      </c>
      <c r="N34" s="57">
        <v>10.526</v>
      </c>
      <c r="O34" s="14">
        <f t="shared" si="3"/>
        <v>-0.17199625793220008</v>
      </c>
      <c r="P34" s="14">
        <f t="shared" si="4"/>
        <v>-0.34109113568879934</v>
      </c>
      <c r="Q34" s="14">
        <f t="shared" si="5"/>
        <v>-0.3626736107905586</v>
      </c>
      <c r="R34" s="14">
        <f t="shared" si="6"/>
        <v>-0.36042103782233248</v>
      </c>
    </row>
    <row r="35" spans="1:18" ht="15.75" customHeight="1">
      <c r="A35" s="1" t="s">
        <v>183</v>
      </c>
      <c r="B35" s="1" t="s">
        <v>184</v>
      </c>
      <c r="C35" s="58">
        <v>-0.36069287605442002</v>
      </c>
      <c r="D35" s="58">
        <v>-0.38063719564104498</v>
      </c>
      <c r="E35" s="24">
        <f t="shared" si="8"/>
        <v>-9.8149581274672446</v>
      </c>
      <c r="F35" s="24">
        <f t="shared" si="8"/>
        <v>-10.357670985466731</v>
      </c>
      <c r="G35" s="59">
        <v>0.89832492360017002</v>
      </c>
      <c r="H35" s="58">
        <v>-0.38172958205193003</v>
      </c>
      <c r="I35" s="24">
        <f t="shared" si="1"/>
        <v>-10.38739634904789</v>
      </c>
      <c r="J35" s="59">
        <v>0.89532201060452998</v>
      </c>
      <c r="K35" s="58">
        <v>-0.38161183259877601</v>
      </c>
      <c r="L35" s="24">
        <f t="shared" si="2"/>
        <v>-10.384192221578335</v>
      </c>
      <c r="M35" s="50">
        <v>0.89564765466678997</v>
      </c>
      <c r="N35" s="66">
        <v>10.571</v>
      </c>
      <c r="O35" s="14">
        <f t="shared" si="3"/>
        <v>-0.75604187253275512</v>
      </c>
      <c r="P35" s="14">
        <f t="shared" si="4"/>
        <v>-0.21332901453326869</v>
      </c>
      <c r="Q35" s="14">
        <f t="shared" si="5"/>
        <v>-0.18360365095210973</v>
      </c>
      <c r="R35" s="14">
        <f t="shared" si="6"/>
        <v>-0.18680777842166485</v>
      </c>
    </row>
    <row r="36" spans="1:18" ht="15.75" customHeight="1">
      <c r="A36" s="1" t="s">
        <v>185</v>
      </c>
      <c r="B36" s="1" t="s">
        <v>160</v>
      </c>
      <c r="C36" s="58">
        <v>-0.46717793070833802</v>
      </c>
      <c r="D36" s="58">
        <v>-0.38939938743136499</v>
      </c>
      <c r="E36" s="24">
        <f t="shared" si="8"/>
        <v>-12.71256554367687</v>
      </c>
      <c r="F36" s="24">
        <f t="shared" si="8"/>
        <v>-10.596102491149846</v>
      </c>
      <c r="G36" s="59">
        <v>0.83066176156405402</v>
      </c>
      <c r="H36" s="58">
        <v>-0.457172026471175</v>
      </c>
      <c r="I36" s="24">
        <f t="shared" si="1"/>
        <v>-12.440290881117733</v>
      </c>
      <c r="J36" s="59">
        <v>0.93615922031747201</v>
      </c>
      <c r="K36" s="58">
        <v>-0.43943228473609902</v>
      </c>
      <c r="L36" s="24">
        <f t="shared" si="2"/>
        <v>-11.957567672867885</v>
      </c>
      <c r="M36" s="50">
        <v>0.90299788835941597</v>
      </c>
      <c r="N36" s="66">
        <v>11.631</v>
      </c>
      <c r="O36" s="14">
        <f t="shared" si="3"/>
        <v>1.0815655436768701</v>
      </c>
      <c r="P36" s="14">
        <f t="shared" si="4"/>
        <v>-1.034897508850154</v>
      </c>
      <c r="Q36" s="14">
        <f t="shared" si="5"/>
        <v>0.8092908811177324</v>
      </c>
      <c r="R36" s="14">
        <f t="shared" si="6"/>
        <v>0.3265676728678848</v>
      </c>
    </row>
    <row r="38" spans="1:18" ht="15.75" customHeight="1">
      <c r="N38" s="1" t="s">
        <v>5</v>
      </c>
      <c r="O38" s="14">
        <f ca="1">IFERROR(__xludf.DUMMYFUNCTION("ARRAYFORMULA(SUM(FILTER(O2:O36, ROW(O2:O36)&lt;&gt;3, ROW(O2:O36)&lt;&gt;4)) / (ROWS(O2:O36)-2))"),0.620876897977682)</f>
        <v>0.62087689797768197</v>
      </c>
      <c r="P38" s="14">
        <f ca="1">IFERROR(__xludf.DUMMYFUNCTION("ARRAYFORMULA(SUM(FILTER(P2:P36, ROW(P2:P36)&lt;&gt;3, ROW(P2:P36)&lt;&gt;4)) / (ROWS(P2:P36)-2))"),-0.56527206330006)</f>
        <v>-0.56527206330005997</v>
      </c>
      <c r="Q38" s="14">
        <f ca="1">IFERROR(__xludf.DUMMYFUNCTION("ARRAYFORMULA(SUM(FILTER(Q2:Q36, ROW(Q2:Q36)&lt;&gt;3, ROW(Q2:Q36)&lt;&gt;4)) / (ROWS(Q2:Q36)-2))"),0.150304234310998)</f>
        <v>0.15030423431099799</v>
      </c>
      <c r="R38" s="14">
        <f ca="1">IFERROR(__xludf.DUMMYFUNCTION("ARRAYFORMULA(SUM(FILTER(R2:R36, ROW(R2:R36)&lt;&gt;3, ROW(R2:R36)&lt;&gt;4)) / (ROWS(R2:R36)-2))"),0.0126150897861145)</f>
        <v>1.2615089786114499E-2</v>
      </c>
    </row>
    <row r="39" spans="1:18" ht="15.75" customHeight="1">
      <c r="N39" s="9" t="s">
        <v>6</v>
      </c>
      <c r="O39" s="31">
        <f ca="1">IFERROR(__xludf.DUMMYFUNCTION("ARRAYFORMULA(SUM(ABS(FILTER(O2:O36, ROW(O2:O36)&lt;&gt;3, ROW(O2:O36)&lt;&gt;4))) / (ROWS(O2:O36)-2))"),0.861571391172116)</f>
        <v>0.86157139117211601</v>
      </c>
      <c r="P39" s="31">
        <f ca="1">IFERROR(__xludf.DUMMYFUNCTION("ARRAYFORMULA(SUM(ABS(FILTER(P2:P36, ROW(P2:P36)&lt;&gt;3, ROW(P2:P36)&lt;&gt;4))) / (ROWS(P2:P36)-2))"),0.570016117999794)</f>
        <v>0.57001611799979401</v>
      </c>
      <c r="Q39" s="31">
        <f ca="1">IFERROR(__xludf.DUMMYFUNCTION("ARRAYFORMULA(SUM(ABS(FILTER(Q2:Q36, ROW(Q2:Q36)&lt;&gt;3, ROW(Q2:Q36)&lt;&gt;4))) / (ROWS(Q2:Q36)-2))"),0.354179557293281)</f>
        <v>0.35417955729328099</v>
      </c>
      <c r="R39" s="31">
        <f ca="1">IFERROR(__xludf.DUMMYFUNCTION("ARRAYFORMULA(SUM(ABS(FILTER(R2:R36, ROW(R2:R36)&lt;&gt;3, ROW(R2:R36)&lt;&gt;4))) / (ROWS(R2:R36)-2))"),0.266219289131673)</f>
        <v>0.26621928913167298</v>
      </c>
    </row>
    <row r="40" spans="1:18" ht="15.75" customHeight="1">
      <c r="N40" s="9" t="s">
        <v>7</v>
      </c>
      <c r="O40" s="31">
        <f ca="1">IFERROR(__xludf.DUMMYFUNCTION("ARRAYFORMULA(sqrt(SUM(ABS(FILTER(O2:O36, ROW(O2:O36)&lt;&gt;3, ROW(O2:O36)&lt;&gt;4))^2) / (ROWS(O2:O36)-2)))"),1.07180783372894)</f>
        <v>1.0718078337289401</v>
      </c>
      <c r="P40" s="31">
        <f ca="1">IFERROR(__xludf.DUMMYFUNCTION("ARRAYFORMULA(sqrt(SUM(ABS(FILTER(P2:P36, ROW(P2:P36)&lt;&gt;3, ROW(P2:P36)&lt;&gt;4))^2) / (ROWS(P2:P36)-2)))"),0.717646871321992)</f>
        <v>0.71764687132199201</v>
      </c>
      <c r="Q40" s="31">
        <f ca="1">IFERROR(__xludf.DUMMYFUNCTION("ARRAYFORMULA(sqrt(SUM(ABS(FILTER(Q2:Q36, ROW(Q2:Q36)&lt;&gt;3, ROW(Q2:Q36)&lt;&gt;4))^2) / (ROWS(Q2:Q36)-2)))"),0.519522474045557)</f>
        <v>0.51952247404555696</v>
      </c>
      <c r="R40" s="31">
        <f ca="1">IFERROR(__xludf.DUMMYFUNCTION("ARRAYFORMULA(sqrt(SUM(ABS(FILTER(R2:R36, ROW(R2:R36)&lt;&gt;3, ROW(R2:R36)&lt;&gt;4))^2) / (ROWS(R2:R36)-2)))"),0.356082271649298)</f>
        <v>0.35608227164929801</v>
      </c>
    </row>
    <row r="41" spans="1:18" ht="15.75" customHeight="1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5.75" customHeight="1">
      <c r="O43" s="1" t="s">
        <v>16</v>
      </c>
      <c r="P43" s="58">
        <f ca="1">IFERROR(__xludf.DUMMYFUNCTION("AVERAGE(FILTER(G2:G36, (ROW(G2:G36)&lt;&gt;3) * (ROW(G2:G36)&lt;&gt;4)))"),0.893096437762552)</f>
        <v>0.89309643776255199</v>
      </c>
      <c r="Q43" s="58">
        <f ca="1">IFERROR(__xludf.DUMMYFUNCTION("AVERAGE(FILTER(J2:J36, (ROW(J2:J36)&lt;&gt;3) * (ROW(J2:J36)&lt;&gt;4)))"),0.918736398688936)</f>
        <v>0.91873639868893597</v>
      </c>
      <c r="R43" s="58">
        <f ca="1">IFERROR(__xludf.DUMMYFUNCTION("AVERAGE(FILTER(M2:M36, (ROW(M2:M36)&lt;&gt;3) * (ROW(M2:M36)&lt;&gt;4)))"),0.912802553736758)</f>
        <v>0.912802553736758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5C02-8149-400C-928D-FE008708974D}">
  <sheetPr>
    <outlinePr summaryBelow="0" summaryRight="0"/>
  </sheetPr>
  <dimension ref="A1:U43"/>
  <sheetViews>
    <sheetView workbookViewId="0">
      <selection activeCell="D25" sqref="D25"/>
    </sheetView>
  </sheetViews>
  <sheetFormatPr defaultColWidth="12.6640625" defaultRowHeight="15.75" customHeight="1"/>
  <cols>
    <col min="1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5.75" customHeight="1">
      <c r="A1" s="1" t="s">
        <v>62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28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5.75" customHeight="1">
      <c r="A2" s="1" t="s">
        <v>128</v>
      </c>
      <c r="B2" s="1" t="s">
        <v>129</v>
      </c>
      <c r="C2" s="14">
        <v>-0.61599431180977404</v>
      </c>
      <c r="D2" s="14">
        <v>-0.53817981638217705</v>
      </c>
      <c r="E2" s="24">
        <f t="shared" ref="E2:F17" si="0">C2*27.2114</f>
        <v>-16.762067616380484</v>
      </c>
      <c r="F2" s="24">
        <f t="shared" si="0"/>
        <v>-14.644626255501974</v>
      </c>
      <c r="G2" s="50">
        <v>0.88146568341613796</v>
      </c>
      <c r="H2" s="14">
        <v>-0.57603218092352104</v>
      </c>
      <c r="I2" s="24">
        <f t="shared" ref="I2:I36" si="1">H2*27.2114</f>
        <v>-15.674642087982301</v>
      </c>
      <c r="J2" s="50">
        <v>0.91094426168279297</v>
      </c>
      <c r="K2" s="14">
        <v>-0.56871065793647502</v>
      </c>
      <c r="L2" s="24">
        <f t="shared" ref="L2:L36" si="2">K2*27.2114</f>
        <v>-15.475413197372596</v>
      </c>
      <c r="M2" s="50">
        <v>0.90490712523729699</v>
      </c>
      <c r="N2" s="51">
        <v>15.58</v>
      </c>
      <c r="O2" s="14">
        <f t="shared" ref="O2:O36" si="3">-E2-N2</f>
        <v>1.1820676163804844</v>
      </c>
      <c r="P2" s="14">
        <f t="shared" ref="P2:P36" si="4">-F2-N2</f>
        <v>-0.93537374449802613</v>
      </c>
      <c r="Q2" s="14">
        <f t="shared" ref="Q2:Q36" si="5">-I2-N2</f>
        <v>9.4642087982300893E-2</v>
      </c>
      <c r="R2" s="14">
        <f t="shared" ref="R2:R36" si="6">-L2-N2</f>
        <v>-0.10458680262740394</v>
      </c>
    </row>
    <row r="3" spans="1:18" ht="15.75" customHeight="1">
      <c r="B3" s="1" t="s">
        <v>130</v>
      </c>
      <c r="C3" s="14">
        <v>-0.60465392645235505</v>
      </c>
      <c r="D3" s="14">
        <v>-0.62556491779576495</v>
      </c>
      <c r="E3" s="24">
        <f t="shared" si="0"/>
        <v>-16.453479854265616</v>
      </c>
      <c r="F3" s="24">
        <f t="shared" si="0"/>
        <v>-17.02249720410768</v>
      </c>
      <c r="G3" s="50">
        <v>0.90853538340878304</v>
      </c>
      <c r="H3" s="14">
        <v>-0.63221141783677304</v>
      </c>
      <c r="I3" s="24">
        <f t="shared" si="1"/>
        <v>-17.203357775323568</v>
      </c>
      <c r="J3" s="50">
        <v>0.91246415393493097</v>
      </c>
      <c r="K3" s="14">
        <v>-0.63151515631797295</v>
      </c>
      <c r="L3" s="24">
        <f t="shared" si="2"/>
        <v>-17.184411524630889</v>
      </c>
      <c r="M3" s="50">
        <v>0.91204901841324604</v>
      </c>
      <c r="N3" s="51">
        <v>16.93</v>
      </c>
      <c r="O3" s="14">
        <f t="shared" si="3"/>
        <v>-0.4765201457343835</v>
      </c>
      <c r="P3" s="14">
        <f t="shared" si="4"/>
        <v>9.249720410767992E-2</v>
      </c>
      <c r="Q3" s="14">
        <f t="shared" si="5"/>
        <v>0.27335777532356786</v>
      </c>
      <c r="R3" s="14">
        <f t="shared" si="6"/>
        <v>0.25441152463088912</v>
      </c>
    </row>
    <row r="4" spans="1:18" ht="15.75" customHeight="1">
      <c r="B4" s="1" t="s">
        <v>131</v>
      </c>
      <c r="C4" s="14">
        <v>-0.76491956306532705</v>
      </c>
      <c r="D4" s="14">
        <v>-0.652237991211299</v>
      </c>
      <c r="E4" s="24">
        <f t="shared" si="0"/>
        <v>-20.814532198395842</v>
      </c>
      <c r="F4" s="24">
        <f t="shared" si="0"/>
        <v>-17.748308874047144</v>
      </c>
      <c r="G4" s="50">
        <v>0.84442598902875798</v>
      </c>
      <c r="H4" s="14">
        <v>-0.69922842928867701</v>
      </c>
      <c r="I4" s="24">
        <f t="shared" si="1"/>
        <v>-19.026984480745906</v>
      </c>
      <c r="J4" s="50">
        <v>0.88676957511542898</v>
      </c>
      <c r="K4" s="14">
        <v>-0.68897859001725503</v>
      </c>
      <c r="L4" s="24">
        <f t="shared" si="2"/>
        <v>-18.748072004395535</v>
      </c>
      <c r="M4" s="50">
        <v>0.87664645779458406</v>
      </c>
      <c r="N4" s="51">
        <v>19.75</v>
      </c>
      <c r="O4" s="14">
        <f t="shared" si="3"/>
        <v>1.0645321983958418</v>
      </c>
      <c r="P4" s="14">
        <f t="shared" si="4"/>
        <v>-2.0016911259528563</v>
      </c>
      <c r="Q4" s="14">
        <f t="shared" si="5"/>
        <v>-0.72301551925409413</v>
      </c>
      <c r="R4" s="14">
        <f t="shared" si="6"/>
        <v>-1.0019279956044649</v>
      </c>
    </row>
    <row r="5" spans="1:18" ht="15.75" customHeight="1">
      <c r="A5" s="1" t="s">
        <v>132</v>
      </c>
      <c r="B5" s="1" t="s">
        <v>133</v>
      </c>
      <c r="C5" s="14">
        <v>-0.50717166798441804</v>
      </c>
      <c r="D5" s="14">
        <v>-0.41253299842857999</v>
      </c>
      <c r="E5" s="24">
        <f t="shared" si="0"/>
        <v>-13.800851126191194</v>
      </c>
      <c r="F5" s="24">
        <f t="shared" si="0"/>
        <v>-11.225600433439462</v>
      </c>
      <c r="G5" s="50">
        <v>0.87657773348875601</v>
      </c>
      <c r="H5" s="14">
        <v>-0.46263736773248898</v>
      </c>
      <c r="I5" s="24">
        <f t="shared" si="1"/>
        <v>-12.589010468315852</v>
      </c>
      <c r="J5" s="50">
        <v>0.92382639350651097</v>
      </c>
      <c r="K5" s="14">
        <v>-0.45375512172662502</v>
      </c>
      <c r="L5" s="24">
        <f t="shared" si="2"/>
        <v>-12.347312119351885</v>
      </c>
      <c r="M5" s="50">
        <v>0.91464404619344497</v>
      </c>
      <c r="N5" s="51">
        <v>12.62</v>
      </c>
      <c r="O5" s="14">
        <f t="shared" si="3"/>
        <v>1.1808511261911949</v>
      </c>
      <c r="P5" s="14">
        <f t="shared" si="4"/>
        <v>-1.3943995665605371</v>
      </c>
      <c r="Q5" s="14">
        <f t="shared" si="5"/>
        <v>-3.0989531684147309E-2</v>
      </c>
      <c r="R5" s="14">
        <f t="shared" si="6"/>
        <v>-0.27268788064811389</v>
      </c>
    </row>
    <row r="6" spans="1:18" ht="15.75" customHeight="1">
      <c r="A6" s="1" t="s">
        <v>134</v>
      </c>
      <c r="B6" s="1" t="s">
        <v>135</v>
      </c>
      <c r="C6" s="14">
        <v>-0.53280978676931001</v>
      </c>
      <c r="D6" s="14">
        <v>-0.49443094001445898</v>
      </c>
      <c r="E6" s="24">
        <f t="shared" si="0"/>
        <v>-14.498500231694402</v>
      </c>
      <c r="F6" s="24">
        <f t="shared" si="0"/>
        <v>-13.454158081109449</v>
      </c>
      <c r="G6" s="50">
        <v>0.90891101130353302</v>
      </c>
      <c r="H6" s="14">
        <v>-0.50566091021092396</v>
      </c>
      <c r="I6" s="24">
        <f t="shared" si="1"/>
        <v>-13.759741292113537</v>
      </c>
      <c r="J6" s="50">
        <v>0.91163333790446199</v>
      </c>
      <c r="K6" s="14">
        <v>-0.50390154897259598</v>
      </c>
      <c r="L6" s="24">
        <f t="shared" si="2"/>
        <v>-13.711866609712899</v>
      </c>
      <c r="M6" s="50">
        <v>0.91121686907088895</v>
      </c>
      <c r="N6" s="51">
        <v>14.01</v>
      </c>
      <c r="O6" s="14">
        <f t="shared" si="3"/>
        <v>0.48850023169440249</v>
      </c>
      <c r="P6" s="14">
        <f t="shared" si="4"/>
        <v>-0.55584191889055035</v>
      </c>
      <c r="Q6" s="14">
        <f t="shared" si="5"/>
        <v>-0.25025870788646287</v>
      </c>
      <c r="R6" s="14">
        <f t="shared" si="6"/>
        <v>-0.2981333902871004</v>
      </c>
    </row>
    <row r="7" spans="1:18" ht="15.75" customHeight="1">
      <c r="A7" s="1" t="s">
        <v>136</v>
      </c>
      <c r="B7" s="1" t="s">
        <v>137</v>
      </c>
      <c r="C7" s="14">
        <v>-0.423394720786475</v>
      </c>
      <c r="D7" s="14">
        <v>-0.36966028206348001</v>
      </c>
      <c r="E7" s="24">
        <f t="shared" si="0"/>
        <v>-11.521163105209085</v>
      </c>
      <c r="F7" s="24">
        <f t="shared" si="0"/>
        <v>-10.05897379934218</v>
      </c>
      <c r="G7" s="50">
        <v>0.89523009453653701</v>
      </c>
      <c r="H7" s="14">
        <v>-0.39434801436381201</v>
      </c>
      <c r="I7" s="24">
        <f t="shared" si="1"/>
        <v>-10.730761558059434</v>
      </c>
      <c r="J7" s="50">
        <v>0.91895761860553404</v>
      </c>
      <c r="K7" s="14">
        <v>-0.39052013852962802</v>
      </c>
      <c r="L7" s="24">
        <f t="shared" si="2"/>
        <v>-10.626599697585121</v>
      </c>
      <c r="M7" s="50">
        <v>0.91508950258730903</v>
      </c>
      <c r="N7" s="51">
        <v>10.8</v>
      </c>
      <c r="O7" s="14">
        <f t="shared" si="3"/>
        <v>0.72116310520908478</v>
      </c>
      <c r="P7" s="14">
        <f t="shared" si="4"/>
        <v>-0.74102620065782077</v>
      </c>
      <c r="Q7" s="14">
        <f t="shared" si="5"/>
        <v>-6.9238441940566275E-2</v>
      </c>
      <c r="R7" s="14">
        <f t="shared" si="6"/>
        <v>-0.1734003024148798</v>
      </c>
    </row>
    <row r="8" spans="1:18" ht="15.75" customHeight="1">
      <c r="A8" s="1" t="s">
        <v>138</v>
      </c>
      <c r="B8" s="1" t="s">
        <v>139</v>
      </c>
      <c r="C8" s="14">
        <v>-0.67203552182766702</v>
      </c>
      <c r="D8" s="14">
        <v>-0.52275984674468901</v>
      </c>
      <c r="E8" s="24">
        <f t="shared" si="0"/>
        <v>-18.28702739866138</v>
      </c>
      <c r="F8" s="24">
        <f t="shared" si="0"/>
        <v>-14.225027293708431</v>
      </c>
      <c r="G8" s="50">
        <v>0.86301883471043295</v>
      </c>
      <c r="H8" s="14">
        <v>-0.58882558753596403</v>
      </c>
      <c r="I8" s="24">
        <f t="shared" si="1"/>
        <v>-16.022768592676133</v>
      </c>
      <c r="J8" s="50">
        <v>0.901317657815357</v>
      </c>
      <c r="K8" s="14">
        <v>-0.57626964137389602</v>
      </c>
      <c r="L8" s="24">
        <f t="shared" si="2"/>
        <v>-15.681103719281635</v>
      </c>
      <c r="M8" s="50">
        <v>0.89353109729014302</v>
      </c>
      <c r="N8" s="51">
        <v>15.87</v>
      </c>
      <c r="O8" s="14">
        <f t="shared" si="3"/>
        <v>2.4170273986613804</v>
      </c>
      <c r="P8" s="14">
        <f t="shared" si="4"/>
        <v>-1.6449727062915684</v>
      </c>
      <c r="Q8" s="14">
        <f t="shared" si="5"/>
        <v>0.15276859267613396</v>
      </c>
      <c r="R8" s="14">
        <f t="shared" si="6"/>
        <v>-0.18889628071836384</v>
      </c>
    </row>
    <row r="9" spans="1:18" ht="15.75" customHeight="1">
      <c r="A9" s="1" t="s">
        <v>140</v>
      </c>
      <c r="B9" s="1" t="s">
        <v>141</v>
      </c>
      <c r="C9" s="14">
        <v>-0.47619312182738599</v>
      </c>
      <c r="D9" s="14">
        <v>-0.50016298641676804</v>
      </c>
      <c r="E9" s="24">
        <f t="shared" si="0"/>
        <v>-12.957881515293732</v>
      </c>
      <c r="F9" s="24">
        <f t="shared" si="0"/>
        <v>-13.610135088581242</v>
      </c>
      <c r="G9" s="50">
        <v>0.81886484862049203</v>
      </c>
      <c r="H9" s="14">
        <v>-0.53502188716027899</v>
      </c>
      <c r="I9" s="24">
        <f t="shared" si="1"/>
        <v>-14.558694580273217</v>
      </c>
      <c r="J9" s="50">
        <v>0.84401881703850601</v>
      </c>
      <c r="K9" s="14">
        <v>-0.529214040681249</v>
      </c>
      <c r="L9" s="24">
        <f t="shared" si="2"/>
        <v>-14.40065494659374</v>
      </c>
      <c r="M9" s="50">
        <v>0.83972047551767204</v>
      </c>
      <c r="N9" s="51">
        <v>12.73</v>
      </c>
      <c r="O9" s="14">
        <f t="shared" si="3"/>
        <v>0.22788151529373124</v>
      </c>
      <c r="P9" s="14">
        <f t="shared" si="4"/>
        <v>0.88013508858124112</v>
      </c>
      <c r="Q9" s="14">
        <f t="shared" si="5"/>
        <v>1.8286945802732166</v>
      </c>
      <c r="R9" s="14">
        <f t="shared" si="6"/>
        <v>1.6706549465937393</v>
      </c>
    </row>
    <row r="10" spans="1:18" ht="15.75" customHeight="1">
      <c r="A10" s="1" t="s">
        <v>142</v>
      </c>
      <c r="B10" s="1" t="s">
        <v>143</v>
      </c>
      <c r="C10" s="14">
        <v>-0.44012474390082701</v>
      </c>
      <c r="D10" s="14">
        <v>-0.36779081408355302</v>
      </c>
      <c r="E10" s="24">
        <f t="shared" si="0"/>
        <v>-11.976410456182965</v>
      </c>
      <c r="F10" s="24">
        <f t="shared" si="0"/>
        <v>-10.008102958353195</v>
      </c>
      <c r="G10" s="50">
        <v>0.88023740066422695</v>
      </c>
      <c r="H10" s="14">
        <v>-0.40839191350732801</v>
      </c>
      <c r="I10" s="24">
        <f t="shared" si="1"/>
        <v>-11.112915715213306</v>
      </c>
      <c r="J10" s="50">
        <v>0.91957827708167295</v>
      </c>
      <c r="K10" s="14">
        <v>-0.401205933981581</v>
      </c>
      <c r="L10" s="24">
        <f t="shared" si="2"/>
        <v>-10.917375151946393</v>
      </c>
      <c r="M10" s="50">
        <v>0.912044609113694</v>
      </c>
      <c r="N10" s="51">
        <v>10.9</v>
      </c>
      <c r="O10" s="14">
        <f t="shared" si="3"/>
        <v>1.0764104561829644</v>
      </c>
      <c r="P10" s="14">
        <f t="shared" si="4"/>
        <v>-0.89189704164680528</v>
      </c>
      <c r="Q10" s="14">
        <f t="shared" si="5"/>
        <v>0.2129157152133061</v>
      </c>
      <c r="R10" s="14">
        <f t="shared" si="6"/>
        <v>1.737515194639272E-2</v>
      </c>
    </row>
    <row r="11" spans="1:18" ht="15.75" customHeight="1">
      <c r="A11" s="1" t="s">
        <v>144</v>
      </c>
      <c r="B11" s="1" t="s">
        <v>130</v>
      </c>
      <c r="C11" s="14">
        <v>-0.39941723813444902</v>
      </c>
      <c r="D11" s="14">
        <v>-0.40816453756684301</v>
      </c>
      <c r="E11" s="24">
        <f t="shared" si="0"/>
        <v>-10.868702233771746</v>
      </c>
      <c r="F11" s="24">
        <f t="shared" si="0"/>
        <v>-11.106728497546392</v>
      </c>
      <c r="G11" s="50">
        <v>0.89987144711401301</v>
      </c>
      <c r="H11" s="14">
        <v>-0.41741453683032198</v>
      </c>
      <c r="I11" s="24">
        <f t="shared" si="1"/>
        <v>-11.358433927504624</v>
      </c>
      <c r="J11" s="50">
        <v>0.90887880800387899</v>
      </c>
      <c r="K11" s="14">
        <v>-0.41619614972581398</v>
      </c>
      <c r="L11" s="24">
        <f t="shared" si="2"/>
        <v>-11.325279908649016</v>
      </c>
      <c r="M11" s="50">
        <v>0.90766942109354198</v>
      </c>
      <c r="N11" s="51">
        <v>11.49</v>
      </c>
      <c r="O11" s="14">
        <f t="shared" si="3"/>
        <v>-0.62129776622825439</v>
      </c>
      <c r="P11" s="14">
        <f t="shared" si="4"/>
        <v>-0.38327150245360819</v>
      </c>
      <c r="Q11" s="14">
        <f t="shared" si="5"/>
        <v>-0.13156607249537622</v>
      </c>
      <c r="R11" s="14">
        <f t="shared" si="6"/>
        <v>-0.16472009135098453</v>
      </c>
    </row>
    <row r="12" spans="1:18" ht="15.75" customHeight="1">
      <c r="A12" s="1" t="s">
        <v>145</v>
      </c>
      <c r="B12" s="1" t="s">
        <v>146</v>
      </c>
      <c r="C12" s="14">
        <v>-0.36733165617031799</v>
      </c>
      <c r="D12" s="14">
        <v>-0.37081860419870499</v>
      </c>
      <c r="E12" s="24">
        <f t="shared" si="0"/>
        <v>-9.9956086287129917</v>
      </c>
      <c r="F12" s="24">
        <f t="shared" si="0"/>
        <v>-10.090493366292641</v>
      </c>
      <c r="G12" s="50">
        <v>0.90001011601463898</v>
      </c>
      <c r="H12" s="14">
        <v>-0.38156681651497099</v>
      </c>
      <c r="I12" s="24">
        <f t="shared" si="1"/>
        <v>-10.382967270915483</v>
      </c>
      <c r="J12" s="50">
        <v>0.910001769358038</v>
      </c>
      <c r="K12" s="14">
        <v>-0.38004436770948902</v>
      </c>
      <c r="L12" s="24">
        <f t="shared" si="2"/>
        <v>-10.34153930748999</v>
      </c>
      <c r="M12" s="50">
        <v>0.90855585086906798</v>
      </c>
      <c r="N12" s="51">
        <v>10.68</v>
      </c>
      <c r="O12" s="14">
        <f t="shared" si="3"/>
        <v>-0.684391371287008</v>
      </c>
      <c r="P12" s="14">
        <f t="shared" si="4"/>
        <v>-0.58950663370735867</v>
      </c>
      <c r="Q12" s="14">
        <f t="shared" si="5"/>
        <v>-0.29703272908451694</v>
      </c>
      <c r="R12" s="14">
        <f t="shared" si="6"/>
        <v>-0.33846069251000976</v>
      </c>
    </row>
    <row r="13" spans="1:18" ht="15.75" customHeight="1">
      <c r="A13" s="1" t="s">
        <v>147</v>
      </c>
      <c r="B13" s="1" t="s">
        <v>148</v>
      </c>
      <c r="C13" s="14">
        <v>-0.488219963065123</v>
      </c>
      <c r="D13" s="14">
        <v>-0.497659565343679</v>
      </c>
      <c r="E13" s="24">
        <f t="shared" si="0"/>
        <v>-13.285148702950288</v>
      </c>
      <c r="F13" s="24">
        <f t="shared" si="0"/>
        <v>-13.542013496392988</v>
      </c>
      <c r="G13" s="50">
        <v>0.89433693904707301</v>
      </c>
      <c r="H13" s="14">
        <v>-0.51020065237802903</v>
      </c>
      <c r="I13" s="24">
        <f t="shared" si="1"/>
        <v>-13.8832740321195</v>
      </c>
      <c r="J13" s="50">
        <v>0.90867437670002205</v>
      </c>
      <c r="K13" s="14">
        <v>-0.50856961900092101</v>
      </c>
      <c r="L13" s="24">
        <f t="shared" si="2"/>
        <v>-13.838891330481662</v>
      </c>
      <c r="M13" s="50">
        <v>0.90674918958802198</v>
      </c>
      <c r="N13" s="51">
        <v>13.61</v>
      </c>
      <c r="O13" s="14">
        <f t="shared" si="3"/>
        <v>-0.32485129704971172</v>
      </c>
      <c r="P13" s="14">
        <f t="shared" si="4"/>
        <v>-6.7986503607011528E-2</v>
      </c>
      <c r="Q13" s="14">
        <f t="shared" si="5"/>
        <v>0.27327403211950063</v>
      </c>
      <c r="R13" s="14">
        <f t="shared" si="6"/>
        <v>0.22889133048166244</v>
      </c>
    </row>
    <row r="14" spans="1:18" ht="15.75" customHeight="1">
      <c r="A14" s="1" t="s">
        <v>149</v>
      </c>
      <c r="B14" s="1" t="s">
        <v>150</v>
      </c>
      <c r="C14" s="14">
        <v>-0.47647140684115902</v>
      </c>
      <c r="D14" s="14">
        <v>-0.46812432989000202</v>
      </c>
      <c r="E14" s="24">
        <f t="shared" si="0"/>
        <v>-12.965454040117516</v>
      </c>
      <c r="F14" s="24">
        <f t="shared" si="0"/>
        <v>-12.738318390368802</v>
      </c>
      <c r="G14" s="50">
        <v>0.85588277795045398</v>
      </c>
      <c r="H14" s="14">
        <v>-0.51269618275061102</v>
      </c>
      <c r="I14" s="24">
        <f t="shared" si="1"/>
        <v>-13.951180907299976</v>
      </c>
      <c r="J14" s="50">
        <v>0.90313977834771897</v>
      </c>
      <c r="K14" s="14">
        <v>-0.504520408644625</v>
      </c>
      <c r="L14" s="24">
        <f t="shared" si="2"/>
        <v>-13.728706647792349</v>
      </c>
      <c r="M14" s="50">
        <v>0.89367422532232199</v>
      </c>
      <c r="N14" s="51">
        <v>12.89</v>
      </c>
      <c r="O14" s="14">
        <f t="shared" si="3"/>
        <v>7.545404011751522E-2</v>
      </c>
      <c r="P14" s="14">
        <f t="shared" si="4"/>
        <v>-0.15168160963119881</v>
      </c>
      <c r="Q14" s="14">
        <f t="shared" si="5"/>
        <v>1.0611809072999758</v>
      </c>
      <c r="R14" s="14">
        <f t="shared" si="6"/>
        <v>0.83870664779234794</v>
      </c>
    </row>
    <row r="15" spans="1:18" ht="15.75" customHeight="1">
      <c r="A15" s="1" t="s">
        <v>151</v>
      </c>
      <c r="B15" s="1" t="s">
        <v>139</v>
      </c>
      <c r="C15" s="14">
        <v>-0.53619916299775605</v>
      </c>
      <c r="D15" s="14">
        <v>-0.50685715889937</v>
      </c>
      <c r="E15" s="24">
        <f t="shared" si="0"/>
        <v>-14.59072990399714</v>
      </c>
      <c r="F15" s="24">
        <f t="shared" si="0"/>
        <v>-13.792292893674317</v>
      </c>
      <c r="G15" s="50">
        <v>0.85241732449968399</v>
      </c>
      <c r="H15" s="14">
        <v>-0.556405344697944</v>
      </c>
      <c r="I15" s="24">
        <f t="shared" si="1"/>
        <v>-15.140568396713634</v>
      </c>
      <c r="J15" s="50">
        <v>0.89896692254878197</v>
      </c>
      <c r="K15" s="14">
        <v>-0.54790060236748195</v>
      </c>
      <c r="L15" s="24">
        <f t="shared" si="2"/>
        <v>-14.909142451262499</v>
      </c>
      <c r="M15" s="50">
        <v>0.89022149082136004</v>
      </c>
      <c r="N15" s="51">
        <v>13.79</v>
      </c>
      <c r="O15" s="14">
        <f t="shared" si="3"/>
        <v>0.80072990399714072</v>
      </c>
      <c r="P15" s="14">
        <f t="shared" si="4"/>
        <v>2.2928936743173978E-3</v>
      </c>
      <c r="Q15" s="14">
        <f t="shared" si="5"/>
        <v>1.3505683967136353</v>
      </c>
      <c r="R15" s="14">
        <f t="shared" si="6"/>
        <v>1.1191424512624994</v>
      </c>
    </row>
    <row r="16" spans="1:18" ht="15.75" customHeight="1">
      <c r="A16" s="1" t="s">
        <v>60</v>
      </c>
      <c r="B16" s="1" t="s">
        <v>148</v>
      </c>
      <c r="C16" s="14">
        <v>-0.65953244591335403</v>
      </c>
      <c r="D16" s="14">
        <v>-0.55168163392375202</v>
      </c>
      <c r="E16" s="24">
        <f t="shared" si="0"/>
        <v>-17.946801198726643</v>
      </c>
      <c r="F16" s="24">
        <f t="shared" si="0"/>
        <v>-15.012029613352787</v>
      </c>
      <c r="G16" s="50">
        <v>0.895697047967975</v>
      </c>
      <c r="H16" s="14">
        <v>-0.60428985052294804</v>
      </c>
      <c r="I16" s="24">
        <f t="shared" si="1"/>
        <v>-16.443572838520147</v>
      </c>
      <c r="J16" s="50">
        <v>0.93618076398288097</v>
      </c>
      <c r="K16" s="14">
        <v>-0.59607350281901805</v>
      </c>
      <c r="L16" s="24">
        <f t="shared" si="2"/>
        <v>-16.219994514609429</v>
      </c>
      <c r="M16" s="50">
        <v>0.92935810896967497</v>
      </c>
      <c r="N16" s="51">
        <v>16.190000000000001</v>
      </c>
      <c r="O16" s="14">
        <f t="shared" si="3"/>
        <v>1.7568011987266416</v>
      </c>
      <c r="P16" s="14">
        <f t="shared" si="4"/>
        <v>-1.177970386647214</v>
      </c>
      <c r="Q16" s="14">
        <f t="shared" si="5"/>
        <v>0.25357283852014589</v>
      </c>
      <c r="R16" s="14">
        <f t="shared" si="6"/>
        <v>2.999451460942737E-2</v>
      </c>
    </row>
    <row r="17" spans="1:21" ht="15.75" customHeight="1">
      <c r="A17" s="1" t="s">
        <v>152</v>
      </c>
      <c r="B17" s="1" t="s">
        <v>153</v>
      </c>
      <c r="C17" s="14">
        <v>-0.41527326626029099</v>
      </c>
      <c r="D17" s="14">
        <v>-0.37552357561424399</v>
      </c>
      <c r="E17" s="24">
        <f t="shared" si="0"/>
        <v>-11.300166957515282</v>
      </c>
      <c r="F17" s="24">
        <f t="shared" si="0"/>
        <v>-10.218522225469439</v>
      </c>
      <c r="G17" s="50">
        <v>0.86220463878696896</v>
      </c>
      <c r="H17" s="14">
        <v>-0.40727520627377001</v>
      </c>
      <c r="I17" s="24">
        <f t="shared" si="1"/>
        <v>-11.082528547998066</v>
      </c>
      <c r="J17" s="50">
        <v>0.88923069392514198</v>
      </c>
      <c r="K17" s="14">
        <v>-0.40246268747212199</v>
      </c>
      <c r="L17" s="24">
        <f t="shared" si="2"/>
        <v>-10.9515731738789</v>
      </c>
      <c r="M17" s="50">
        <v>0.88488902248833601</v>
      </c>
      <c r="N17" s="51">
        <v>10.4</v>
      </c>
      <c r="O17" s="14">
        <f t="shared" si="3"/>
        <v>0.90016695751528175</v>
      </c>
      <c r="P17" s="14">
        <f t="shared" si="4"/>
        <v>-0.18147777453056158</v>
      </c>
      <c r="Q17" s="14">
        <f t="shared" si="5"/>
        <v>0.68252854799806606</v>
      </c>
      <c r="R17" s="14">
        <f t="shared" si="6"/>
        <v>0.55157317387890004</v>
      </c>
    </row>
    <row r="18" spans="1:21" ht="15.75" customHeight="1">
      <c r="A18" s="1" t="s">
        <v>154</v>
      </c>
      <c r="B18" s="1" t="s">
        <v>155</v>
      </c>
      <c r="C18" s="14">
        <v>-0.53921771518526895</v>
      </c>
      <c r="D18" s="14">
        <v>-0.51099260121594703</v>
      </c>
      <c r="E18" s="24">
        <f t="shared" ref="E18:F33" si="7">C18*27.2114</f>
        <v>-14.672868934992428</v>
      </c>
      <c r="F18" s="24">
        <f t="shared" si="7"/>
        <v>-13.904824068727622</v>
      </c>
      <c r="G18" s="50">
        <v>0.91520696174647898</v>
      </c>
      <c r="H18" s="14">
        <v>-0.51909240083220898</v>
      </c>
      <c r="I18" s="24">
        <f t="shared" si="1"/>
        <v>-14.125230956005572</v>
      </c>
      <c r="J18" s="50">
        <v>0.92218008073393198</v>
      </c>
      <c r="K18" s="14">
        <v>-0.51805963671256305</v>
      </c>
      <c r="L18" s="24">
        <f t="shared" si="2"/>
        <v>-14.097127998440239</v>
      </c>
      <c r="M18" s="50">
        <v>0.92127452965442702</v>
      </c>
      <c r="N18" s="51">
        <v>13.6</v>
      </c>
      <c r="O18" s="14">
        <f t="shared" si="3"/>
        <v>1.0728689349924281</v>
      </c>
      <c r="P18" s="14">
        <f t="shared" si="4"/>
        <v>0.30482406872762269</v>
      </c>
      <c r="Q18" s="14">
        <f t="shared" si="5"/>
        <v>0.52523095600557212</v>
      </c>
      <c r="R18" s="14">
        <f t="shared" si="6"/>
        <v>0.49712799844023969</v>
      </c>
    </row>
    <row r="19" spans="1:21" ht="15.75" customHeight="1">
      <c r="A19" s="1" t="s">
        <v>156</v>
      </c>
      <c r="B19" s="1" t="s">
        <v>157</v>
      </c>
      <c r="C19" s="14">
        <v>-0.47894145671180699</v>
      </c>
      <c r="D19" s="14">
        <v>-0.44729293919330598</v>
      </c>
      <c r="E19" s="24">
        <f t="shared" si="7"/>
        <v>-13.032667555167665</v>
      </c>
      <c r="F19" s="24">
        <f t="shared" si="7"/>
        <v>-12.171467085564727</v>
      </c>
      <c r="G19" s="50">
        <v>0.91189965840936604</v>
      </c>
      <c r="H19" s="14">
        <v>-0.45662890209766399</v>
      </c>
      <c r="I19" s="24">
        <f t="shared" si="1"/>
        <v>-12.425511706540375</v>
      </c>
      <c r="J19" s="50">
        <v>0.91921214471774804</v>
      </c>
      <c r="K19" s="14">
        <v>-0.45540780213929699</v>
      </c>
      <c r="L19" s="24">
        <f t="shared" si="2"/>
        <v>-12.392283867133267</v>
      </c>
      <c r="M19" s="50">
        <v>0.918237976378525</v>
      </c>
      <c r="N19" s="51">
        <v>12</v>
      </c>
      <c r="O19" s="14">
        <f t="shared" si="3"/>
        <v>1.0326675551676647</v>
      </c>
      <c r="P19" s="14">
        <f t="shared" si="4"/>
        <v>0.17146708556472667</v>
      </c>
      <c r="Q19" s="14">
        <f t="shared" si="5"/>
        <v>0.42551170654037485</v>
      </c>
      <c r="R19" s="14">
        <f t="shared" si="6"/>
        <v>0.39228386713326735</v>
      </c>
    </row>
    <row r="20" spans="1:21" ht="15.75" customHeight="1">
      <c r="A20" s="52" t="s">
        <v>158</v>
      </c>
      <c r="B20" s="52" t="s">
        <v>159</v>
      </c>
      <c r="C20" s="53">
        <v>-0.52776080840305695</v>
      </c>
      <c r="D20" s="53">
        <v>-0.47282454190741502</v>
      </c>
      <c r="E20" s="54">
        <f t="shared" si="7"/>
        <v>-14.361110461778944</v>
      </c>
      <c r="F20" s="54">
        <f t="shared" si="7"/>
        <v>-12.866217739659433</v>
      </c>
      <c r="G20" s="55">
        <v>0.90943639230294504</v>
      </c>
      <c r="H20" s="53">
        <v>-0.49510135945960898</v>
      </c>
      <c r="I20" s="54">
        <f t="shared" si="1"/>
        <v>-13.472401132799204</v>
      </c>
      <c r="J20" s="55">
        <v>0.92529806862447295</v>
      </c>
      <c r="K20" s="53">
        <v>-0.49200651510320897</v>
      </c>
      <c r="L20" s="54">
        <f t="shared" si="2"/>
        <v>-13.388186085079461</v>
      </c>
      <c r="M20" s="55">
        <v>0.92302120511424701</v>
      </c>
      <c r="N20" s="56">
        <v>13.1</v>
      </c>
      <c r="O20" s="53">
        <f t="shared" si="3"/>
        <v>1.2611104617789444</v>
      </c>
      <c r="P20" s="53">
        <f t="shared" si="4"/>
        <v>-0.23378226034056659</v>
      </c>
      <c r="Q20" s="53">
        <f t="shared" si="5"/>
        <v>0.3724011327992045</v>
      </c>
      <c r="R20" s="53">
        <f t="shared" si="6"/>
        <v>0.28818608507946131</v>
      </c>
      <c r="U20" s="1"/>
    </row>
    <row r="21" spans="1:21" ht="15.75" customHeight="1">
      <c r="A21" s="1" t="s">
        <v>48</v>
      </c>
      <c r="B21" s="1" t="s">
        <v>160</v>
      </c>
      <c r="C21" s="14">
        <v>-0.30834799982383698</v>
      </c>
      <c r="D21" s="14">
        <v>-0.299672684637658</v>
      </c>
      <c r="E21" s="24">
        <f t="shared" si="7"/>
        <v>-8.3905807624063584</v>
      </c>
      <c r="F21" s="24">
        <f t="shared" si="7"/>
        <v>-8.1545132907491666</v>
      </c>
      <c r="G21" s="50">
        <v>0.91587400467803504</v>
      </c>
      <c r="H21" s="14">
        <v>-0.294239690001247</v>
      </c>
      <c r="I21" s="24">
        <f t="shared" si="1"/>
        <v>-8.0066739004999334</v>
      </c>
      <c r="J21" s="50">
        <v>0.90935872879879598</v>
      </c>
      <c r="K21" s="14">
        <v>-0.29434141388635998</v>
      </c>
      <c r="L21" s="24">
        <f t="shared" si="2"/>
        <v>-8.0094419498272966</v>
      </c>
      <c r="M21" s="50">
        <v>0.90948400528094397</v>
      </c>
      <c r="N21" s="51">
        <v>7.9</v>
      </c>
      <c r="O21" s="14">
        <f t="shared" si="3"/>
        <v>0.49058076240635806</v>
      </c>
      <c r="P21" s="14">
        <f t="shared" si="4"/>
        <v>0.25451329074916629</v>
      </c>
      <c r="Q21" s="14">
        <f t="shared" si="5"/>
        <v>0.10667390049993308</v>
      </c>
      <c r="R21" s="14">
        <f t="shared" si="6"/>
        <v>0.10944194982729627</v>
      </c>
    </row>
    <row r="22" spans="1:21" ht="15.75" customHeight="1">
      <c r="A22" s="1" t="s">
        <v>45</v>
      </c>
      <c r="B22" s="1" t="s">
        <v>161</v>
      </c>
      <c r="C22" s="14">
        <v>-0.180609291716539</v>
      </c>
      <c r="D22" s="14">
        <v>-0.19045649310478399</v>
      </c>
      <c r="E22" s="24">
        <f t="shared" si="7"/>
        <v>-4.9146316806154298</v>
      </c>
      <c r="F22" s="24">
        <f t="shared" si="7"/>
        <v>-5.1825878164715196</v>
      </c>
      <c r="G22" s="50">
        <v>0.92447898154687602</v>
      </c>
      <c r="H22" s="14">
        <v>-0.18588066073815901</v>
      </c>
      <c r="I22" s="24">
        <f t="shared" si="1"/>
        <v>-5.0580730116103405</v>
      </c>
      <c r="J22" s="50">
        <v>0.89543693203909203</v>
      </c>
      <c r="K22" s="14">
        <v>-0.18608559190276699</v>
      </c>
      <c r="L22" s="24">
        <f t="shared" si="2"/>
        <v>-5.0636494755029542</v>
      </c>
      <c r="M22" s="50">
        <v>0.89667752815897594</v>
      </c>
      <c r="N22" s="51">
        <v>4.7300000000000004</v>
      </c>
      <c r="O22" s="14">
        <f t="shared" si="3"/>
        <v>0.18463168061542934</v>
      </c>
      <c r="P22" s="14">
        <f t="shared" si="4"/>
        <v>0.45258781647151913</v>
      </c>
      <c r="Q22" s="14">
        <f t="shared" si="5"/>
        <v>0.32807301161034008</v>
      </c>
      <c r="R22" s="14">
        <f t="shared" si="6"/>
        <v>0.33364947550295376</v>
      </c>
    </row>
    <row r="23" spans="1:21" ht="15.75" customHeight="1">
      <c r="A23" s="1" t="s">
        <v>162</v>
      </c>
      <c r="B23" s="1" t="s">
        <v>163</v>
      </c>
      <c r="C23" s="14">
        <v>-0.50702662478417504</v>
      </c>
      <c r="D23" s="14">
        <v>-0.38146329354516501</v>
      </c>
      <c r="E23" s="24">
        <f t="shared" si="7"/>
        <v>-13.796904297652102</v>
      </c>
      <c r="F23" s="24">
        <f t="shared" si="7"/>
        <v>-10.380150265974903</v>
      </c>
      <c r="G23" s="50">
        <v>0.84798155272935705</v>
      </c>
      <c r="H23" s="14">
        <v>-0.47486651488286202</v>
      </c>
      <c r="I23" s="24">
        <f t="shared" si="1"/>
        <v>-12.921782683083512</v>
      </c>
      <c r="J23" s="50">
        <v>0.983037612680562</v>
      </c>
      <c r="K23" s="14">
        <v>-0.45752759593928599</v>
      </c>
      <c r="L23" s="24">
        <f t="shared" si="2"/>
        <v>-12.449966424142287</v>
      </c>
      <c r="M23" s="50">
        <v>0.95102685669198395</v>
      </c>
      <c r="N23" s="51">
        <v>11.3</v>
      </c>
      <c r="O23" s="14">
        <f t="shared" si="3"/>
        <v>2.496904297652101</v>
      </c>
      <c r="P23" s="14">
        <f t="shared" si="4"/>
        <v>-0.91984973402509773</v>
      </c>
      <c r="Q23" s="14">
        <f t="shared" si="5"/>
        <v>1.6217826830835111</v>
      </c>
      <c r="R23" s="14">
        <f t="shared" si="6"/>
        <v>1.1499664241422867</v>
      </c>
    </row>
    <row r="24" spans="1:21" ht="15.75" customHeight="1">
      <c r="A24" s="1" t="s">
        <v>164</v>
      </c>
      <c r="B24" s="1" t="s">
        <v>165</v>
      </c>
      <c r="C24" s="14">
        <v>-0.86380051957732595</v>
      </c>
      <c r="D24" s="14">
        <v>-0.75311453179745502</v>
      </c>
      <c r="E24" s="24">
        <f t="shared" si="7"/>
        <v>-23.505221458426448</v>
      </c>
      <c r="F24" s="24">
        <f t="shared" si="7"/>
        <v>-20.493300770553269</v>
      </c>
      <c r="G24" s="50">
        <v>0.92025497385573996</v>
      </c>
      <c r="H24" s="14">
        <v>-0.79815091734147303</v>
      </c>
      <c r="I24" s="24">
        <f t="shared" si="1"/>
        <v>-21.718803872145759</v>
      </c>
      <c r="J24" s="50">
        <v>0.94727611174158699</v>
      </c>
      <c r="K24" s="14">
        <v>-0.792444010952841</v>
      </c>
      <c r="L24" s="24">
        <f t="shared" si="2"/>
        <v>-21.563510959642137</v>
      </c>
      <c r="M24" s="50">
        <v>0.94368018678251198</v>
      </c>
      <c r="N24" s="51">
        <v>21.56</v>
      </c>
      <c r="O24" s="14">
        <f t="shared" si="3"/>
        <v>1.9452214584264489</v>
      </c>
      <c r="P24" s="14">
        <f t="shared" si="4"/>
        <v>-1.0666992294467299</v>
      </c>
      <c r="Q24" s="14">
        <f t="shared" si="5"/>
        <v>0.15880387214576075</v>
      </c>
      <c r="R24" s="14">
        <f t="shared" si="6"/>
        <v>3.5109596421385447E-3</v>
      </c>
    </row>
    <row r="25" spans="1:21" ht="15.75" customHeight="1">
      <c r="A25" s="1" t="s">
        <v>166</v>
      </c>
      <c r="B25" s="1" t="s">
        <v>167</v>
      </c>
      <c r="C25" s="14">
        <v>-0.49496992304802101</v>
      </c>
      <c r="D25" s="14">
        <v>-0.48268992958767298</v>
      </c>
      <c r="E25" s="24">
        <f t="shared" si="7"/>
        <v>-13.468824564028919</v>
      </c>
      <c r="F25" s="24">
        <f t="shared" si="7"/>
        <v>-13.134668749982005</v>
      </c>
      <c r="G25" s="50">
        <v>0.93585486246238603</v>
      </c>
      <c r="H25" s="14">
        <v>-0.478997539266723</v>
      </c>
      <c r="I25" s="24">
        <f t="shared" si="1"/>
        <v>-13.034193640002506</v>
      </c>
      <c r="J25" s="50">
        <v>0.92838752090287602</v>
      </c>
      <c r="K25" s="14">
        <v>-0.47928150590143898</v>
      </c>
      <c r="L25" s="24">
        <f t="shared" si="2"/>
        <v>-13.041920769686417</v>
      </c>
      <c r="M25" s="50">
        <v>0.92895727038081599</v>
      </c>
      <c r="N25" s="51">
        <v>12.03</v>
      </c>
      <c r="O25" s="14">
        <f t="shared" si="3"/>
        <v>1.4388245640289199</v>
      </c>
      <c r="P25" s="14">
        <f t="shared" si="4"/>
        <v>1.1046687499820056</v>
      </c>
      <c r="Q25" s="14">
        <f t="shared" si="5"/>
        <v>1.0041936400025069</v>
      </c>
      <c r="R25" s="14">
        <f t="shared" si="6"/>
        <v>1.0119207696864176</v>
      </c>
    </row>
    <row r="26" spans="1:21" ht="15.75" customHeight="1">
      <c r="A26" s="1" t="s">
        <v>168</v>
      </c>
      <c r="B26" s="1" t="s">
        <v>160</v>
      </c>
      <c r="C26" s="14">
        <v>-0.39354792659374799</v>
      </c>
      <c r="D26" s="14">
        <v>-0.39351812598654901</v>
      </c>
      <c r="E26" s="24">
        <f t="shared" si="7"/>
        <v>-10.708990049713114</v>
      </c>
      <c r="F26" s="24">
        <f t="shared" si="7"/>
        <v>-10.708179133470381</v>
      </c>
      <c r="G26" s="50">
        <v>0.93611637784636303</v>
      </c>
      <c r="H26" s="14">
        <v>-0.39193506821484397</v>
      </c>
      <c r="I26" s="24">
        <f t="shared" si="1"/>
        <v>-10.665101915221406</v>
      </c>
      <c r="J26" s="50">
        <v>0.92850054788195402</v>
      </c>
      <c r="K26" s="14">
        <v>-0.39208525646285203</v>
      </c>
      <c r="L26" s="24">
        <f t="shared" si="2"/>
        <v>-10.669188747713251</v>
      </c>
      <c r="M26" s="50">
        <v>0.92921938863384701</v>
      </c>
      <c r="N26" s="51">
        <v>11</v>
      </c>
      <c r="O26" s="14">
        <f t="shared" si="3"/>
        <v>-0.29100995028688637</v>
      </c>
      <c r="P26" s="14">
        <f t="shared" si="4"/>
        <v>-0.29182086652961914</v>
      </c>
      <c r="Q26" s="14">
        <f t="shared" si="5"/>
        <v>-0.33489808477859384</v>
      </c>
      <c r="R26" s="14">
        <f t="shared" si="6"/>
        <v>-0.33081125228674857</v>
      </c>
    </row>
    <row r="27" spans="1:21" ht="15.75" customHeight="1">
      <c r="A27" s="1" t="s">
        <v>169</v>
      </c>
      <c r="B27" s="1" t="s">
        <v>170</v>
      </c>
      <c r="C27" s="14">
        <v>-0.38640928409206299</v>
      </c>
      <c r="D27" s="14">
        <v>-0.38436654439336398</v>
      </c>
      <c r="E27" s="24">
        <f t="shared" si="7"/>
        <v>-10.514737593142764</v>
      </c>
      <c r="F27" s="24">
        <f t="shared" si="7"/>
        <v>-10.459151786105584</v>
      </c>
      <c r="G27" s="50">
        <v>0.86041817370581897</v>
      </c>
      <c r="H27" s="14">
        <v>-0.41454252647802498</v>
      </c>
      <c r="I27" s="24">
        <f t="shared" si="1"/>
        <v>-11.280282505004129</v>
      </c>
      <c r="J27" s="50">
        <v>0.88947046570482802</v>
      </c>
      <c r="K27" s="14">
        <v>-0.40929664692205597</v>
      </c>
      <c r="L27" s="24">
        <f t="shared" si="2"/>
        <v>-11.137534778054833</v>
      </c>
      <c r="M27" s="50">
        <v>0.88413129770997101</v>
      </c>
      <c r="N27" s="51">
        <v>10.72</v>
      </c>
      <c r="O27" s="14">
        <f t="shared" si="3"/>
        <v>-0.20526240685723707</v>
      </c>
      <c r="P27" s="14">
        <f t="shared" si="4"/>
        <v>-0.26084821389441615</v>
      </c>
      <c r="Q27" s="14">
        <f t="shared" si="5"/>
        <v>0.56028250500412824</v>
      </c>
      <c r="R27" s="14">
        <f t="shared" si="6"/>
        <v>0.41753477805483286</v>
      </c>
    </row>
    <row r="28" spans="1:21" ht="15.75" customHeight="1">
      <c r="A28" s="1" t="s">
        <v>171</v>
      </c>
      <c r="B28" s="1" t="s">
        <v>172</v>
      </c>
      <c r="C28" s="14">
        <v>-0.48735641993407902</v>
      </c>
      <c r="D28" s="14">
        <v>-0.37919736628356399</v>
      </c>
      <c r="E28" s="24">
        <f t="shared" si="7"/>
        <v>-13.261650485394199</v>
      </c>
      <c r="F28" s="24">
        <f t="shared" si="7"/>
        <v>-10.318491212888574</v>
      </c>
      <c r="G28" s="50">
        <v>0.86940259275093701</v>
      </c>
      <c r="H28" s="14">
        <v>-0.427967540596005</v>
      </c>
      <c r="I28" s="24">
        <f t="shared" si="1"/>
        <v>-11.64559593417413</v>
      </c>
      <c r="J28" s="50">
        <v>0.90267354664671995</v>
      </c>
      <c r="K28" s="14">
        <v>-0.41915278194217698</v>
      </c>
      <c r="L28" s="24">
        <f t="shared" si="2"/>
        <v>-11.405734010541355</v>
      </c>
      <c r="M28" s="50">
        <v>0.89626849106519502</v>
      </c>
      <c r="N28" s="51">
        <v>11.7</v>
      </c>
      <c r="O28" s="14">
        <f t="shared" si="3"/>
        <v>1.5616504853941997</v>
      </c>
      <c r="P28" s="14">
        <f t="shared" si="4"/>
        <v>-1.3815087871114251</v>
      </c>
      <c r="Q28" s="14">
        <f t="shared" si="5"/>
        <v>-5.4404065825869097E-2</v>
      </c>
      <c r="R28" s="14">
        <f t="shared" si="6"/>
        <v>-0.29426598945864413</v>
      </c>
    </row>
    <row r="29" spans="1:21" ht="15.75" customHeight="1">
      <c r="A29" s="1" t="s">
        <v>173</v>
      </c>
      <c r="B29" s="1" t="s">
        <v>174</v>
      </c>
      <c r="C29" s="14">
        <v>-0.929699165277171</v>
      </c>
      <c r="D29" s="14">
        <v>-0.91300055669004498</v>
      </c>
      <c r="E29" s="24">
        <f t="shared" si="7"/>
        <v>-25.298415866023213</v>
      </c>
      <c r="F29" s="24">
        <f t="shared" si="7"/>
        <v>-24.844023348315492</v>
      </c>
      <c r="G29" s="50">
        <v>0.96674448427441495</v>
      </c>
      <c r="H29" s="14">
        <v>-0.90732850679693</v>
      </c>
      <c r="I29" s="24">
        <f t="shared" si="1"/>
        <v>-24.689678929853983</v>
      </c>
      <c r="J29" s="50">
        <v>0.96250510833840497</v>
      </c>
      <c r="K29" s="14">
        <v>-0.90736795700613804</v>
      </c>
      <c r="L29" s="24">
        <f t="shared" si="2"/>
        <v>-24.690752425276827</v>
      </c>
      <c r="M29" s="50">
        <v>0.96253438686919801</v>
      </c>
      <c r="N29" s="51">
        <v>24.59</v>
      </c>
      <c r="O29" s="14">
        <f t="shared" si="3"/>
        <v>0.70841586602321271</v>
      </c>
      <c r="P29" s="14">
        <f t="shared" si="4"/>
        <v>0.25402334831549211</v>
      </c>
      <c r="Q29" s="14">
        <f t="shared" si="5"/>
        <v>9.9678929853983078E-2</v>
      </c>
      <c r="R29" s="14">
        <f t="shared" si="6"/>
        <v>0.10075242527682704</v>
      </c>
    </row>
    <row r="30" spans="1:21" ht="15.75" customHeight="1">
      <c r="A30" s="1" t="s">
        <v>175</v>
      </c>
      <c r="B30" s="1" t="s">
        <v>172</v>
      </c>
      <c r="C30" s="14">
        <v>-0.38565574955345899</v>
      </c>
      <c r="D30" s="14">
        <v>-0.32484212999196199</v>
      </c>
      <c r="E30" s="24">
        <f t="shared" si="7"/>
        <v>-10.494232863398995</v>
      </c>
      <c r="F30" s="24">
        <f t="shared" si="7"/>
        <v>-8.8394091360632743</v>
      </c>
      <c r="G30" s="50">
        <v>0.88972131763043205</v>
      </c>
      <c r="H30" s="14">
        <v>-0.35109881807068999</v>
      </c>
      <c r="I30" s="24">
        <f t="shared" si="1"/>
        <v>-9.5538903780487736</v>
      </c>
      <c r="J30" s="50">
        <v>0.91084205708061095</v>
      </c>
      <c r="K30" s="14">
        <v>-0.34692935147415399</v>
      </c>
      <c r="L30" s="24">
        <f t="shared" si="2"/>
        <v>-9.440433354703794</v>
      </c>
      <c r="M30" s="50">
        <v>0.90733361475798302</v>
      </c>
      <c r="N30" s="51">
        <v>8.89</v>
      </c>
      <c r="O30" s="14">
        <f t="shared" si="3"/>
        <v>1.6042328633989946</v>
      </c>
      <c r="P30" s="14">
        <f t="shared" si="4"/>
        <v>-5.0590863936726294E-2</v>
      </c>
      <c r="Q30" s="14">
        <f t="shared" si="5"/>
        <v>0.66389037804877304</v>
      </c>
      <c r="R30" s="14">
        <f t="shared" si="6"/>
        <v>0.5504333547037934</v>
      </c>
    </row>
    <row r="31" spans="1:21" ht="15.75" customHeight="1">
      <c r="A31" s="1" t="s">
        <v>176</v>
      </c>
      <c r="B31" s="1" t="s">
        <v>177</v>
      </c>
      <c r="C31" s="14">
        <v>-0.40984303702323099</v>
      </c>
      <c r="D31" s="14">
        <v>-0.39447344132985401</v>
      </c>
      <c r="E31" s="24">
        <f t="shared" si="7"/>
        <v>-11.152402817653948</v>
      </c>
      <c r="F31" s="24">
        <f t="shared" si="7"/>
        <v>-10.73417460140319</v>
      </c>
      <c r="G31" s="14">
        <v>0.87326474555665901</v>
      </c>
      <c r="H31" s="14">
        <v>-0.41158875206001799</v>
      </c>
      <c r="I31" s="24">
        <f t="shared" si="1"/>
        <v>-11.199906167805974</v>
      </c>
      <c r="J31" s="14">
        <v>0.88471655238122404</v>
      </c>
      <c r="K31" s="14">
        <v>-0.40867259814714202</v>
      </c>
      <c r="L31" s="24">
        <f t="shared" si="2"/>
        <v>-11.120553537221141</v>
      </c>
      <c r="M31" s="14">
        <v>0.88272990157280395</v>
      </c>
      <c r="N31" s="57">
        <v>12.54</v>
      </c>
      <c r="O31" s="14">
        <f t="shared" si="3"/>
        <v>-1.3875971823460507</v>
      </c>
      <c r="P31" s="14">
        <f t="shared" si="4"/>
        <v>-1.8058253985968094</v>
      </c>
      <c r="Q31" s="14">
        <f t="shared" si="5"/>
        <v>-1.3400938321940252</v>
      </c>
      <c r="R31" s="14">
        <f t="shared" si="6"/>
        <v>-1.4194464627788577</v>
      </c>
    </row>
    <row r="32" spans="1:21" ht="15.75" customHeight="1">
      <c r="A32" s="1" t="s">
        <v>178</v>
      </c>
      <c r="B32" s="1" t="s">
        <v>179</v>
      </c>
      <c r="C32" s="14">
        <v>-0.46277042569277499</v>
      </c>
      <c r="D32" s="14">
        <v>-0.437513744137487</v>
      </c>
      <c r="E32" s="24">
        <f t="shared" si="7"/>
        <v>-12.592631161696378</v>
      </c>
      <c r="F32" s="24">
        <f t="shared" si="7"/>
        <v>-11.905361497222815</v>
      </c>
      <c r="G32" s="14">
        <v>0.91818765624903298</v>
      </c>
      <c r="H32" s="14">
        <v>-0.43686682756503697</v>
      </c>
      <c r="I32" s="24">
        <f t="shared" si="1"/>
        <v>-11.887757991603248</v>
      </c>
      <c r="J32" s="14">
        <v>0.91243616922923199</v>
      </c>
      <c r="K32" s="14">
        <v>-0.43693586749759999</v>
      </c>
      <c r="L32" s="24">
        <f t="shared" si="2"/>
        <v>-11.889636664824193</v>
      </c>
      <c r="M32" s="14">
        <v>0.91304908108414096</v>
      </c>
      <c r="N32" s="57">
        <v>11.9</v>
      </c>
      <c r="O32" s="14">
        <f t="shared" si="3"/>
        <v>0.69263116169637762</v>
      </c>
      <c r="P32" s="14">
        <f t="shared" si="4"/>
        <v>5.3614972228146485E-3</v>
      </c>
      <c r="Q32" s="14">
        <f t="shared" si="5"/>
        <v>-1.2242008396752269E-2</v>
      </c>
      <c r="R32" s="14">
        <f t="shared" si="6"/>
        <v>-1.0363335175807009E-2</v>
      </c>
    </row>
    <row r="33" spans="1:18" ht="15.75" customHeight="1">
      <c r="A33" s="1" t="s">
        <v>180</v>
      </c>
      <c r="B33" s="1" t="s">
        <v>160</v>
      </c>
      <c r="C33" s="14">
        <v>-0.59883390547322501</v>
      </c>
      <c r="D33" s="14">
        <v>-0.60367013842788697</v>
      </c>
      <c r="E33" s="24">
        <f t="shared" si="7"/>
        <v>-16.295108935394115</v>
      </c>
      <c r="F33" s="24">
        <f t="shared" si="7"/>
        <v>-16.426709604816605</v>
      </c>
      <c r="G33" s="14">
        <v>0.96444608843916202</v>
      </c>
      <c r="H33" s="14">
        <v>-0.60040366602148398</v>
      </c>
      <c r="I33" s="24">
        <f t="shared" si="1"/>
        <v>-16.337824317577009</v>
      </c>
      <c r="J33" s="14">
        <v>0.95989976990650505</v>
      </c>
      <c r="K33" s="14">
        <v>-0.60049549379899203</v>
      </c>
      <c r="L33" s="24">
        <f t="shared" si="2"/>
        <v>-16.340323079961891</v>
      </c>
      <c r="M33" s="14">
        <v>0.96002672596140104</v>
      </c>
      <c r="N33" s="57">
        <v>15.43</v>
      </c>
      <c r="O33" s="14">
        <f t="shared" si="3"/>
        <v>0.86510893539411526</v>
      </c>
      <c r="P33" s="14">
        <f t="shared" si="4"/>
        <v>0.99670960481660487</v>
      </c>
      <c r="Q33" s="14">
        <f t="shared" si="5"/>
        <v>0.90782431757700977</v>
      </c>
      <c r="R33" s="14">
        <f t="shared" si="6"/>
        <v>0.91032307996189132</v>
      </c>
    </row>
    <row r="34" spans="1:18" ht="15.75" customHeight="1">
      <c r="A34" s="1" t="s">
        <v>181</v>
      </c>
      <c r="B34" s="1" t="s">
        <v>182</v>
      </c>
      <c r="C34" s="14">
        <v>-0.37748337902589102</v>
      </c>
      <c r="D34" s="14">
        <v>-0.37197843103748401</v>
      </c>
      <c r="E34" s="24">
        <f t="shared" ref="E34:F36" si="8">C34*27.2114</f>
        <v>-10.271851220025132</v>
      </c>
      <c r="F34" s="24">
        <f t="shared" si="8"/>
        <v>-10.122053878333393</v>
      </c>
      <c r="G34" s="14">
        <v>0.92304769632362704</v>
      </c>
      <c r="H34" s="14">
        <v>-0.37156914173132399</v>
      </c>
      <c r="I34" s="24">
        <f t="shared" si="1"/>
        <v>-10.11091654330775</v>
      </c>
      <c r="J34" s="14">
        <v>0.91747441614013603</v>
      </c>
      <c r="K34" s="14">
        <v>-0.37161259874397701</v>
      </c>
      <c r="L34" s="24">
        <f t="shared" si="2"/>
        <v>-10.112099069461856</v>
      </c>
      <c r="M34" s="14">
        <v>0.91806635312310503</v>
      </c>
      <c r="N34" s="57">
        <v>10.59</v>
      </c>
      <c r="O34" s="14">
        <f t="shared" si="3"/>
        <v>-0.31814877997486768</v>
      </c>
      <c r="P34" s="14">
        <f t="shared" si="4"/>
        <v>-0.46794612166660698</v>
      </c>
      <c r="Q34" s="14">
        <f t="shared" si="5"/>
        <v>-0.4790834566922495</v>
      </c>
      <c r="R34" s="14">
        <f t="shared" si="6"/>
        <v>-0.47790093053814431</v>
      </c>
    </row>
    <row r="35" spans="1:18" ht="15.75" customHeight="1">
      <c r="A35" s="1" t="s">
        <v>183</v>
      </c>
      <c r="B35" s="1" t="s">
        <v>184</v>
      </c>
      <c r="C35" s="58">
        <v>-0.359298220073059</v>
      </c>
      <c r="D35" s="58">
        <v>-0.37994430485861203</v>
      </c>
      <c r="E35" s="24">
        <f t="shared" si="8"/>
        <v>-9.7770075856960386</v>
      </c>
      <c r="F35" s="24">
        <f t="shared" si="8"/>
        <v>-10.338816457229635</v>
      </c>
      <c r="G35" s="59">
        <v>0.89716231030288895</v>
      </c>
      <c r="H35" s="58">
        <v>-0.38111444576876002</v>
      </c>
      <c r="I35" s="24">
        <f t="shared" si="1"/>
        <v>-10.370657629592037</v>
      </c>
      <c r="J35" s="59">
        <v>0.89426227084314902</v>
      </c>
      <c r="K35" s="58">
        <v>-0.38098781113736702</v>
      </c>
      <c r="L35" s="24">
        <f t="shared" si="2"/>
        <v>-10.367211723983349</v>
      </c>
      <c r="M35" s="50">
        <v>0.89457817367271297</v>
      </c>
      <c r="N35" s="51">
        <v>10.62</v>
      </c>
      <c r="O35" s="14">
        <f t="shared" si="3"/>
        <v>-0.84299241430396066</v>
      </c>
      <c r="P35" s="14">
        <f t="shared" si="4"/>
        <v>-0.28118354277036417</v>
      </c>
      <c r="Q35" s="14">
        <f t="shared" si="5"/>
        <v>-0.24934237040796248</v>
      </c>
      <c r="R35" s="14">
        <f t="shared" si="6"/>
        <v>-0.25278827601665022</v>
      </c>
    </row>
    <row r="36" spans="1:18" ht="15.75" customHeight="1">
      <c r="A36" s="1" t="s">
        <v>185</v>
      </c>
      <c r="B36" s="1" t="s">
        <v>160</v>
      </c>
      <c r="C36" s="58">
        <v>-0.46647836859939401</v>
      </c>
      <c r="D36" s="58">
        <v>-0.39228089586332898</v>
      </c>
      <c r="E36" s="24">
        <f t="shared" si="8"/>
        <v>-12.693529479305552</v>
      </c>
      <c r="F36" s="24">
        <f t="shared" si="8"/>
        <v>-10.674512369695391</v>
      </c>
      <c r="G36" s="59">
        <v>0.831770793803703</v>
      </c>
      <c r="H36" s="58">
        <v>-0.46033442827078402</v>
      </c>
      <c r="I36" s="24">
        <f t="shared" si="1"/>
        <v>-12.526344261447614</v>
      </c>
      <c r="J36" s="59">
        <v>0.93888375395943702</v>
      </c>
      <c r="K36" s="58">
        <v>-0.44241639574034602</v>
      </c>
      <c r="L36" s="24">
        <f t="shared" si="2"/>
        <v>-12.038769511048852</v>
      </c>
      <c r="M36" s="50">
        <v>0.90498649712052404</v>
      </c>
      <c r="N36" s="51">
        <v>11.88</v>
      </c>
      <c r="O36" s="14">
        <f t="shared" si="3"/>
        <v>0.81352947930555075</v>
      </c>
      <c r="P36" s="14">
        <f t="shared" si="4"/>
        <v>-1.20548763030461</v>
      </c>
      <c r="Q36" s="14">
        <f t="shared" si="5"/>
        <v>0.64634426144761292</v>
      </c>
      <c r="R36" s="14">
        <f t="shared" si="6"/>
        <v>0.15876951104885073</v>
      </c>
    </row>
    <row r="38" spans="1:18" ht="15.75" customHeight="1">
      <c r="N38" s="1" t="s">
        <v>5</v>
      </c>
      <c r="O38" s="14">
        <f ca="1">IFERROR(__xludf.DUMMYFUNCTION("ARRAYFORMULA(SUM(FILTER(O2:O36, ROW(O2:O36)&lt;&gt;3, ROW(O2:O36)&lt;&gt;4)) / (ROWS(O2:O36)-2))"),0.676360026906563)</f>
        <v>0.67636002690656305</v>
      </c>
      <c r="P38" s="14">
        <f ca="1">IFERROR(__xludf.DUMMYFUNCTION("ARRAYFORMULA(SUM(FILTER(P2:P36, ROW(P2:P36)&lt;&gt;3, ROW(P2:P36)&lt;&gt;4)) / (ROWS(P2:P36)-2))"),-0.371344387686052)</f>
        <v>-0.37134438768605199</v>
      </c>
      <c r="Q38" s="14">
        <f ca="1">IFERROR(__xludf.DUMMYFUNCTION("ARRAYFORMULA(SUM(FILTER(Q2:Q36, ROW(Q2:Q36)&lt;&gt;3, ROW(Q2:Q36)&lt;&gt;4)) / (ROWS(Q2:Q36)-2))"),0.305505687637226)</f>
        <v>0.30550568763722602</v>
      </c>
      <c r="R38" s="14">
        <f ca="1">IFERROR(__xludf.DUMMYFUNCTION("ARRAYFORMULA(SUM(FILTER(R2:R36, ROW(R2:R36)&lt;&gt;3, ROW(R2:R36)&lt;&gt;4)) / (ROWS(R2:R36)-2))"),0.1834477941895)</f>
        <v>0.1834477941895</v>
      </c>
    </row>
    <row r="39" spans="1:18" ht="15.75" customHeight="1">
      <c r="N39" s="9" t="s">
        <v>6</v>
      </c>
      <c r="O39" s="31">
        <f ca="1">IFERROR(__xludf.DUMMYFUNCTION("ARRAYFORMULA(SUM(ABS(FILTER(O2:O36, ROW(O2:O36)&lt;&gt;3, ROW(O2:O36)&lt;&gt;4))) / (ROWS(O2:O36)-2))"),0.959726764381349)</f>
        <v>0.95972676438134896</v>
      </c>
      <c r="P39" s="31">
        <f ca="1">IFERROR(__xludf.DUMMYFUNCTION("ARRAYFORMULA(SUM(ABS(FILTER(P2:P36, ROW(P2:P36)&lt;&gt;3, ROW(P2:P36)&lt;&gt;4))) / (ROWS(P2:P36)-2))"),0.639622172177295)</f>
        <v>0.639622172177295</v>
      </c>
      <c r="Q39" s="31">
        <f ca="1">IFERROR(__xludf.DUMMYFUNCTION("ARRAYFORMULA(SUM(ABS(FILTER(Q2:Q36, ROW(Q2:Q36)&lt;&gt;3, ROW(Q2:Q36)&lt;&gt;4))) / (ROWS(Q2:Q36)-2))"),0.502423827115197)</f>
        <v>0.50242382711519695</v>
      </c>
      <c r="R39" s="31">
        <f ca="1">IFERROR(__xludf.DUMMYFUNCTION("ARRAYFORMULA(SUM(ABS(FILTER(R2:R36, ROW(R2:R36)&lt;&gt;3, ROW(R2:R36)&lt;&gt;4))) / (ROWS(R2:R36)-2))"),0.44565759339021)</f>
        <v>0.44565759339020999</v>
      </c>
    </row>
    <row r="40" spans="1:18" ht="15.75" customHeight="1">
      <c r="N40" s="9" t="s">
        <v>7</v>
      </c>
      <c r="O40" s="31">
        <f ca="1">IFERROR(__xludf.DUMMYFUNCTION("ARRAYFORMULA(sqrt(SUM(ABS(FILTER(O2:O36, ROW(O2:O36)&lt;&gt;3, ROW(O2:O36)&lt;&gt;4))^2) / (ROWS(O2:O36)-2)))"),1.13546076962189)</f>
        <v>1.1354607696218899</v>
      </c>
      <c r="P40" s="31">
        <f ca="1">IFERROR(__xludf.DUMMYFUNCTION("ARRAYFORMULA(sqrt(SUM(ABS(FILTER(P2:P36, ROW(P2:P36)&lt;&gt;3, ROW(P2:P36)&lt;&gt;4))^2) / (ROWS(P2:P36)-2)))"),0.810563077770953)</f>
        <v>0.81056307777095304</v>
      </c>
      <c r="Q40" s="31">
        <f ca="1">IFERROR(__xludf.DUMMYFUNCTION("ARRAYFORMULA(sqrt(SUM(ABS(FILTER(Q2:Q36, ROW(Q2:Q36)&lt;&gt;3, ROW(Q2:Q36)&lt;&gt;4))^2) / (ROWS(Q2:Q36)-2)))"),0.690594397377785)</f>
        <v>0.69059439737778505</v>
      </c>
      <c r="R40" s="31">
        <f ca="1">IFERROR(__xludf.DUMMYFUNCTION("ARRAYFORMULA(sqrt(SUM(ABS(FILTER(R2:R36, ROW(R2:R36)&lt;&gt;3, ROW(R2:R36)&lt;&gt;4))^2) / (ROWS(R2:R36)-2)))"),0.610137780863348)</f>
        <v>0.61013778086334802</v>
      </c>
    </row>
    <row r="41" spans="1:18" ht="15.75" customHeight="1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5.75" customHeight="1">
      <c r="O43" s="1" t="s">
        <v>16</v>
      </c>
      <c r="P43" s="58">
        <f ca="1">IFERROR(__xludf.DUMMYFUNCTION("AVERAGE(FILTER(G2:G36, (ROW(G2:G36)&lt;&gt;3) * (ROW(G2:G36)&lt;&gt;4)))"),0.893818046143489)</f>
        <v>0.89381804614348903</v>
      </c>
      <c r="Q43" s="58">
        <f ca="1">IFERROR(__xludf.DUMMYFUNCTION("AVERAGE(FILTER(J2:J36, (ROW(J2:J36)&lt;&gt;3) * (ROW(J2:J36)&lt;&gt;4)))"),0.915672767722805)</f>
        <v>0.91567276772280504</v>
      </c>
      <c r="R43" s="58">
        <f ca="1">IFERROR(__xludf.DUMMYFUNCTION("AVERAGE(FILTER(M2:M36, (ROW(M2:M36)&lt;&gt;3) * (ROW(M2:M36)&lt;&gt;4)))"),0.910834984975033)</f>
        <v>0.91083498497503301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F41E-B60A-4EDD-AE76-9DFEBF64E780}">
  <sheetPr>
    <outlinePr summaryBelow="0" summaryRight="0"/>
  </sheetPr>
  <dimension ref="A1:U43"/>
  <sheetViews>
    <sheetView workbookViewId="0">
      <selection activeCell="D25" sqref="D25"/>
    </sheetView>
  </sheetViews>
  <sheetFormatPr defaultColWidth="12.6640625" defaultRowHeight="15.75" customHeight="1"/>
  <cols>
    <col min="1" max="2" width="7.21875" style="2" customWidth="1"/>
    <col min="3" max="4" width="5.77734375" style="2" customWidth="1"/>
    <col min="5" max="6" width="6.6640625" style="2" customWidth="1"/>
    <col min="7" max="7" width="5.109375" style="2" customWidth="1"/>
    <col min="8" max="8" width="5.77734375" style="2" customWidth="1"/>
    <col min="9" max="9" width="6.6640625" style="2" customWidth="1"/>
    <col min="10" max="10" width="5.109375" style="2" customWidth="1"/>
    <col min="11" max="11" width="5.77734375" style="2" customWidth="1"/>
    <col min="12" max="12" width="6.6640625" style="2" customWidth="1"/>
    <col min="13" max="13" width="5.109375" style="2" customWidth="1"/>
    <col min="14" max="14" width="8.21875" style="2" customWidth="1"/>
    <col min="15" max="16384" width="12.6640625" style="2"/>
  </cols>
  <sheetData>
    <row r="1" spans="1:18" ht="15.75" customHeight="1">
      <c r="A1" s="1" t="s">
        <v>62</v>
      </c>
      <c r="B1" s="1" t="s">
        <v>23</v>
      </c>
      <c r="C1" s="1" t="s">
        <v>24</v>
      </c>
      <c r="D1" s="1" t="s">
        <v>25</v>
      </c>
      <c r="E1" s="18" t="s">
        <v>24</v>
      </c>
      <c r="F1" s="18" t="s">
        <v>25</v>
      </c>
      <c r="G1" s="19" t="s">
        <v>26</v>
      </c>
      <c r="H1" s="1" t="s">
        <v>124</v>
      </c>
      <c r="I1" s="18" t="s">
        <v>124</v>
      </c>
      <c r="J1" s="19" t="s">
        <v>26</v>
      </c>
      <c r="K1" s="1" t="s">
        <v>125</v>
      </c>
      <c r="L1" s="18" t="s">
        <v>125</v>
      </c>
      <c r="M1" s="19" t="s">
        <v>26</v>
      </c>
      <c r="N1" s="1" t="s">
        <v>186</v>
      </c>
      <c r="O1" s="1" t="s">
        <v>29</v>
      </c>
      <c r="P1" s="1" t="s">
        <v>30</v>
      </c>
      <c r="Q1" s="1" t="s">
        <v>126</v>
      </c>
      <c r="R1" s="1" t="s">
        <v>127</v>
      </c>
    </row>
    <row r="2" spans="1:18" ht="15.75" customHeight="1">
      <c r="A2" s="1" t="s">
        <v>128</v>
      </c>
      <c r="B2" s="1" t="s">
        <v>129</v>
      </c>
      <c r="C2" s="14">
        <v>-0.61599431180977404</v>
      </c>
      <c r="D2" s="14">
        <v>-0.53817981638217705</v>
      </c>
      <c r="E2" s="24">
        <f t="shared" ref="E2:F17" si="0">C2*27.2114</f>
        <v>-16.762067616380484</v>
      </c>
      <c r="F2" s="24">
        <f t="shared" si="0"/>
        <v>-14.644626255501974</v>
      </c>
      <c r="G2" s="50">
        <v>0.88146568341613796</v>
      </c>
      <c r="H2" s="14">
        <v>-0.57603218092352104</v>
      </c>
      <c r="I2" s="24">
        <f t="shared" ref="I2:I36" si="1">H2*27.2114</f>
        <v>-15.674642087982301</v>
      </c>
      <c r="J2" s="50">
        <v>0.91094426168279297</v>
      </c>
      <c r="K2" s="14">
        <v>-0.56871065793647502</v>
      </c>
      <c r="L2" s="24">
        <f t="shared" ref="L2:L36" si="2">K2*27.2114</f>
        <v>-15.475413197372596</v>
      </c>
      <c r="M2" s="50">
        <v>0.90490712523729699</v>
      </c>
      <c r="N2" s="51">
        <v>15.327</v>
      </c>
      <c r="O2" s="14">
        <f t="shared" ref="O2:O36" si="3">-E2-N2</f>
        <v>1.4350676163804845</v>
      </c>
      <c r="P2" s="14">
        <f t="shared" ref="P2:P36" si="4">-F2-N2</f>
        <v>-0.68237374449802601</v>
      </c>
      <c r="Q2" s="14">
        <f t="shared" ref="Q2:Q36" si="5">-I2-N2</f>
        <v>0.34764208798230101</v>
      </c>
      <c r="R2" s="14">
        <f t="shared" ref="R2:R36" si="6">-L2-N2</f>
        <v>0.14841319737259617</v>
      </c>
    </row>
    <row r="3" spans="1:18" ht="15.75" customHeight="1">
      <c r="B3" s="1" t="s">
        <v>130</v>
      </c>
      <c r="C3" s="14">
        <v>-0.60465392645235505</v>
      </c>
      <c r="D3" s="14">
        <v>-0.62556491779576495</v>
      </c>
      <c r="E3" s="24">
        <f t="shared" si="0"/>
        <v>-16.453479854265616</v>
      </c>
      <c r="F3" s="24">
        <f t="shared" si="0"/>
        <v>-17.02249720410768</v>
      </c>
      <c r="G3" s="50">
        <v>0.90853538340878304</v>
      </c>
      <c r="H3" s="14">
        <v>-0.63221141783677304</v>
      </c>
      <c r="I3" s="24">
        <f t="shared" si="1"/>
        <v>-17.203357775323568</v>
      </c>
      <c r="J3" s="50">
        <v>0.91246415393493097</v>
      </c>
      <c r="K3" s="14">
        <v>-0.63151515631797295</v>
      </c>
      <c r="L3" s="24">
        <f t="shared" si="2"/>
        <v>-17.184411524630889</v>
      </c>
      <c r="M3" s="50">
        <v>0.91204901841324604</v>
      </c>
      <c r="N3" s="51">
        <v>17.050999999999998</v>
      </c>
      <c r="O3" s="14">
        <f t="shared" si="3"/>
        <v>-0.59752014573438217</v>
      </c>
      <c r="P3" s="14">
        <f t="shared" si="4"/>
        <v>-2.8502795892318744E-2</v>
      </c>
      <c r="Q3" s="14">
        <f t="shared" si="5"/>
        <v>0.1523577753235692</v>
      </c>
      <c r="R3" s="14">
        <f t="shared" si="6"/>
        <v>0.13341152463089045</v>
      </c>
    </row>
    <row r="4" spans="1:18" ht="15.75" customHeight="1">
      <c r="B4" s="1" t="s">
        <v>131</v>
      </c>
      <c r="C4" s="14">
        <v>-0.76491956306532705</v>
      </c>
      <c r="D4" s="14">
        <v>-0.652237991211299</v>
      </c>
      <c r="E4" s="24">
        <f t="shared" si="0"/>
        <v>-20.814532198395842</v>
      </c>
      <c r="F4" s="24">
        <f t="shared" si="0"/>
        <v>-17.748308874047144</v>
      </c>
      <c r="G4" s="50">
        <v>0.84442598902875798</v>
      </c>
      <c r="H4" s="14">
        <v>-0.69922842928867701</v>
      </c>
      <c r="I4" s="24">
        <f t="shared" si="1"/>
        <v>-19.026984480745906</v>
      </c>
      <c r="J4" s="50">
        <v>0.88676957511542898</v>
      </c>
      <c r="K4" s="14">
        <v>-0.68897859001725503</v>
      </c>
      <c r="L4" s="24">
        <f t="shared" si="2"/>
        <v>-18.748072004395535</v>
      </c>
      <c r="M4" s="50">
        <v>0.87664645779458406</v>
      </c>
      <c r="N4" s="51">
        <v>18.634</v>
      </c>
      <c r="O4" s="14">
        <f t="shared" si="3"/>
        <v>2.1805321983958414</v>
      </c>
      <c r="P4" s="14">
        <f t="shared" si="4"/>
        <v>-0.88569112595285659</v>
      </c>
      <c r="Q4" s="14">
        <f t="shared" si="5"/>
        <v>0.39298448074590553</v>
      </c>
      <c r="R4" s="14">
        <f t="shared" si="6"/>
        <v>0.11407200439553478</v>
      </c>
    </row>
    <row r="5" spans="1:18" ht="15.75" customHeight="1">
      <c r="A5" s="1" t="s">
        <v>132</v>
      </c>
      <c r="B5" s="1" t="s">
        <v>133</v>
      </c>
      <c r="C5" s="14">
        <v>-0.50717166798441804</v>
      </c>
      <c r="D5" s="14">
        <v>-0.41253299842857999</v>
      </c>
      <c r="E5" s="24">
        <f t="shared" si="0"/>
        <v>-13.800851126191194</v>
      </c>
      <c r="F5" s="24">
        <f t="shared" si="0"/>
        <v>-11.225600433439462</v>
      </c>
      <c r="G5" s="50">
        <v>0.87657773348875601</v>
      </c>
      <c r="H5" s="14">
        <v>-0.46263736773248898</v>
      </c>
      <c r="I5" s="24">
        <f t="shared" si="1"/>
        <v>-12.589010468315852</v>
      </c>
      <c r="J5" s="50">
        <v>0.92382639350651097</v>
      </c>
      <c r="K5" s="14">
        <v>-0.45375512172662502</v>
      </c>
      <c r="L5" s="24">
        <f t="shared" si="2"/>
        <v>-12.347312119351885</v>
      </c>
      <c r="M5" s="50">
        <v>0.91464404619344497</v>
      </c>
      <c r="N5" s="51">
        <v>12.378</v>
      </c>
      <c r="O5" s="14">
        <f t="shared" si="3"/>
        <v>1.422851126191194</v>
      </c>
      <c r="P5" s="14">
        <f t="shared" si="4"/>
        <v>-1.152399566560538</v>
      </c>
      <c r="Q5" s="14">
        <f t="shared" si="5"/>
        <v>0.2110104683158518</v>
      </c>
      <c r="R5" s="14">
        <f t="shared" si="6"/>
        <v>-3.0687880648114785E-2</v>
      </c>
    </row>
    <row r="6" spans="1:18" ht="15.75" customHeight="1">
      <c r="A6" s="1" t="s">
        <v>134</v>
      </c>
      <c r="B6" s="1" t="s">
        <v>135</v>
      </c>
      <c r="C6" s="14">
        <v>-0.53280978676931001</v>
      </c>
      <c r="D6" s="14">
        <v>-0.49443094001445898</v>
      </c>
      <c r="E6" s="24">
        <f t="shared" si="0"/>
        <v>-14.498500231694402</v>
      </c>
      <c r="F6" s="24">
        <f t="shared" si="0"/>
        <v>-13.454158081109449</v>
      </c>
      <c r="G6" s="50">
        <v>0.90891101130353302</v>
      </c>
      <c r="H6" s="14">
        <v>-0.50566091021092396</v>
      </c>
      <c r="I6" s="24">
        <f t="shared" si="1"/>
        <v>-13.759741292113537</v>
      </c>
      <c r="J6" s="50">
        <v>0.91163333790446199</v>
      </c>
      <c r="K6" s="14">
        <v>-0.50390154897259598</v>
      </c>
      <c r="L6" s="24">
        <f t="shared" si="2"/>
        <v>-13.711866609712899</v>
      </c>
      <c r="M6" s="50">
        <v>0.91121686907088895</v>
      </c>
      <c r="N6" s="51">
        <v>13.88</v>
      </c>
      <c r="O6" s="14">
        <f t="shared" si="3"/>
        <v>0.61850023169440149</v>
      </c>
      <c r="P6" s="14">
        <f t="shared" si="4"/>
        <v>-0.42584191889055134</v>
      </c>
      <c r="Q6" s="14">
        <f t="shared" si="5"/>
        <v>-0.12025870788646387</v>
      </c>
      <c r="R6" s="14">
        <f t="shared" si="6"/>
        <v>-0.16813339028710139</v>
      </c>
    </row>
    <row r="7" spans="1:18" ht="15.75" customHeight="1">
      <c r="A7" s="1" t="s">
        <v>136</v>
      </c>
      <c r="B7" s="1" t="s">
        <v>137</v>
      </c>
      <c r="C7" s="14">
        <v>-0.423394720786475</v>
      </c>
      <c r="D7" s="14">
        <v>-0.36966028206348001</v>
      </c>
      <c r="E7" s="24">
        <f t="shared" si="0"/>
        <v>-11.521163105209085</v>
      </c>
      <c r="F7" s="24">
        <f t="shared" si="0"/>
        <v>-10.05897379934218</v>
      </c>
      <c r="G7" s="50">
        <v>0.89523009453653701</v>
      </c>
      <c r="H7" s="14">
        <v>-0.39434801436381201</v>
      </c>
      <c r="I7" s="24">
        <f t="shared" si="1"/>
        <v>-10.730761558059434</v>
      </c>
      <c r="J7" s="50">
        <v>0.91895761860553404</v>
      </c>
      <c r="K7" s="14">
        <v>-0.39052013852962802</v>
      </c>
      <c r="L7" s="24">
        <f t="shared" si="2"/>
        <v>-10.626599697585121</v>
      </c>
      <c r="M7" s="50">
        <v>0.91508950258730903</v>
      </c>
      <c r="N7" s="51">
        <v>10.648</v>
      </c>
      <c r="O7" s="14">
        <f t="shared" si="3"/>
        <v>0.8731631052090858</v>
      </c>
      <c r="P7" s="14">
        <f t="shared" si="4"/>
        <v>-0.58902620065781974</v>
      </c>
      <c r="Q7" s="14">
        <f t="shared" si="5"/>
        <v>8.2761558059434748E-2</v>
      </c>
      <c r="R7" s="14">
        <f t="shared" si="6"/>
        <v>-2.140030241487878E-2</v>
      </c>
    </row>
    <row r="8" spans="1:18" ht="15.75" customHeight="1">
      <c r="A8" s="1" t="s">
        <v>138</v>
      </c>
      <c r="B8" s="1" t="s">
        <v>139</v>
      </c>
      <c r="C8" s="14">
        <v>-0.67203552182766702</v>
      </c>
      <c r="D8" s="14">
        <v>-0.52275984674468901</v>
      </c>
      <c r="E8" s="24">
        <f t="shared" si="0"/>
        <v>-18.28702739866138</v>
      </c>
      <c r="F8" s="24">
        <f t="shared" si="0"/>
        <v>-14.225027293708431</v>
      </c>
      <c r="G8" s="50">
        <v>0.86301883471043295</v>
      </c>
      <c r="H8" s="14">
        <v>-0.58882558753596403</v>
      </c>
      <c r="I8" s="24">
        <f t="shared" si="1"/>
        <v>-16.022768592676133</v>
      </c>
      <c r="J8" s="50">
        <v>0.901317657815357</v>
      </c>
      <c r="K8" s="14">
        <v>-0.57626964137389602</v>
      </c>
      <c r="L8" s="24">
        <f t="shared" si="2"/>
        <v>-15.681103719281635</v>
      </c>
      <c r="M8" s="50">
        <v>0.89353109729014302</v>
      </c>
      <c r="N8" s="51">
        <v>15.467000000000001</v>
      </c>
      <c r="O8" s="14">
        <f t="shared" si="3"/>
        <v>2.8200273986613791</v>
      </c>
      <c r="P8" s="14">
        <f t="shared" si="4"/>
        <v>-1.2419727062915698</v>
      </c>
      <c r="Q8" s="14">
        <f t="shared" si="5"/>
        <v>0.55576859267613266</v>
      </c>
      <c r="R8" s="14">
        <f t="shared" si="6"/>
        <v>0.21410371928163485</v>
      </c>
    </row>
    <row r="9" spans="1:18" ht="15.75" customHeight="1">
      <c r="A9" s="1" t="s">
        <v>140</v>
      </c>
      <c r="B9" s="1" t="s">
        <v>141</v>
      </c>
      <c r="C9" s="14">
        <v>-0.47619312182738599</v>
      </c>
      <c r="D9" s="14">
        <v>-0.50016298641676804</v>
      </c>
      <c r="E9" s="24">
        <f t="shared" si="0"/>
        <v>-12.957881515293732</v>
      </c>
      <c r="F9" s="24">
        <f t="shared" si="0"/>
        <v>-13.610135088581242</v>
      </c>
      <c r="G9" s="50">
        <v>0.81886484862049203</v>
      </c>
      <c r="H9" s="14">
        <v>-0.53502188716027899</v>
      </c>
      <c r="I9" s="24">
        <f t="shared" si="1"/>
        <v>-14.558694580273217</v>
      </c>
      <c r="J9" s="50">
        <v>0.84401881703850601</v>
      </c>
      <c r="K9" s="14">
        <v>-0.529214040681249</v>
      </c>
      <c r="L9" s="24">
        <f t="shared" si="2"/>
        <v>-14.40065494659374</v>
      </c>
      <c r="M9" s="50">
        <v>0.83972047551767204</v>
      </c>
      <c r="N9" s="51">
        <v>12.504</v>
      </c>
      <c r="O9" s="14">
        <f t="shared" si="3"/>
        <v>0.45388151529373211</v>
      </c>
      <c r="P9" s="14">
        <f t="shared" si="4"/>
        <v>1.106135088581242</v>
      </c>
      <c r="Q9" s="14">
        <f t="shared" si="5"/>
        <v>2.0546945802732175</v>
      </c>
      <c r="R9" s="14">
        <f t="shared" si="6"/>
        <v>1.8966549465937401</v>
      </c>
    </row>
    <row r="10" spans="1:18" ht="15.75" customHeight="1">
      <c r="A10" s="1" t="s">
        <v>142</v>
      </c>
      <c r="B10" s="1" t="s">
        <v>143</v>
      </c>
      <c r="C10" s="14">
        <v>-0.44012474390082701</v>
      </c>
      <c r="D10" s="14">
        <v>-0.36779081408355302</v>
      </c>
      <c r="E10" s="24">
        <f t="shared" si="0"/>
        <v>-11.976410456182965</v>
      </c>
      <c r="F10" s="24">
        <f t="shared" si="0"/>
        <v>-10.008102958353195</v>
      </c>
      <c r="G10" s="50">
        <v>0.88023740066422695</v>
      </c>
      <c r="H10" s="14">
        <v>-0.40839191350732801</v>
      </c>
      <c r="I10" s="24">
        <f t="shared" si="1"/>
        <v>-11.112915715213306</v>
      </c>
      <c r="J10" s="50">
        <v>0.91957827708167295</v>
      </c>
      <c r="K10" s="14">
        <v>-0.401205933981581</v>
      </c>
      <c r="L10" s="24">
        <f t="shared" si="2"/>
        <v>-10.917375151946393</v>
      </c>
      <c r="M10" s="50">
        <v>0.912044609113694</v>
      </c>
      <c r="N10" s="51">
        <v>10.757</v>
      </c>
      <c r="O10" s="14">
        <f t="shared" si="3"/>
        <v>1.2194104561829651</v>
      </c>
      <c r="P10" s="14">
        <f t="shared" si="4"/>
        <v>-0.7488970416468046</v>
      </c>
      <c r="Q10" s="14">
        <f t="shared" si="5"/>
        <v>0.35591571521330678</v>
      </c>
      <c r="R10" s="14">
        <f t="shared" si="6"/>
        <v>0.1603751519463934</v>
      </c>
    </row>
    <row r="11" spans="1:18" ht="15.75" customHeight="1">
      <c r="A11" s="1" t="s">
        <v>144</v>
      </c>
      <c r="B11" s="1" t="s">
        <v>130</v>
      </c>
      <c r="C11" s="14">
        <v>-0.39941723813444902</v>
      </c>
      <c r="D11" s="14">
        <v>-0.40816453756684301</v>
      </c>
      <c r="E11" s="24">
        <f t="shared" si="0"/>
        <v>-10.868702233771746</v>
      </c>
      <c r="F11" s="24">
        <f t="shared" si="0"/>
        <v>-11.106728497546392</v>
      </c>
      <c r="G11" s="50">
        <v>0.89987144711401301</v>
      </c>
      <c r="H11" s="14">
        <v>-0.41741453683032198</v>
      </c>
      <c r="I11" s="24">
        <f t="shared" si="1"/>
        <v>-11.358433927504624</v>
      </c>
      <c r="J11" s="50">
        <v>0.90887880800387899</v>
      </c>
      <c r="K11" s="14">
        <v>-0.41619614972581398</v>
      </c>
      <c r="L11" s="24">
        <f t="shared" si="2"/>
        <v>-11.325279908649016</v>
      </c>
      <c r="M11" s="50">
        <v>0.90766942109354198</v>
      </c>
      <c r="N11" s="51">
        <v>11.446</v>
      </c>
      <c r="O11" s="14">
        <f t="shared" si="3"/>
        <v>-0.57729776622825391</v>
      </c>
      <c r="P11" s="14">
        <f t="shared" si="4"/>
        <v>-0.33927150245360771</v>
      </c>
      <c r="Q11" s="14">
        <f t="shared" si="5"/>
        <v>-8.7566072495375735E-2</v>
      </c>
      <c r="R11" s="14">
        <f t="shared" si="6"/>
        <v>-0.12072009135098405</v>
      </c>
    </row>
    <row r="12" spans="1:18" ht="15.75" customHeight="1">
      <c r="A12" s="1" t="s">
        <v>145</v>
      </c>
      <c r="B12" s="1" t="s">
        <v>146</v>
      </c>
      <c r="C12" s="14">
        <v>-0.36733165617031799</v>
      </c>
      <c r="D12" s="14">
        <v>-0.37081860419870499</v>
      </c>
      <c r="E12" s="24">
        <f t="shared" si="0"/>
        <v>-9.9956086287129917</v>
      </c>
      <c r="F12" s="24">
        <f t="shared" si="0"/>
        <v>-10.090493366292641</v>
      </c>
      <c r="G12" s="50">
        <v>0.90001011601463898</v>
      </c>
      <c r="H12" s="14">
        <v>-0.38156681651497099</v>
      </c>
      <c r="I12" s="24">
        <f t="shared" si="1"/>
        <v>-10.382967270915483</v>
      </c>
      <c r="J12" s="50">
        <v>0.910001769358038</v>
      </c>
      <c r="K12" s="14">
        <v>-0.38004436770948902</v>
      </c>
      <c r="L12" s="24">
        <f t="shared" si="2"/>
        <v>-10.34153930748999</v>
      </c>
      <c r="M12" s="50">
        <v>0.90855585086906798</v>
      </c>
      <c r="N12" s="51">
        <v>10.593</v>
      </c>
      <c r="O12" s="14">
        <f t="shared" si="3"/>
        <v>-0.59739137128700825</v>
      </c>
      <c r="P12" s="14">
        <f t="shared" si="4"/>
        <v>-0.50250663370735893</v>
      </c>
      <c r="Q12" s="14">
        <f t="shared" si="5"/>
        <v>-0.2100327290845172</v>
      </c>
      <c r="R12" s="14">
        <f t="shared" si="6"/>
        <v>-0.25146069251001002</v>
      </c>
    </row>
    <row r="13" spans="1:18" ht="15.75" customHeight="1">
      <c r="A13" s="1" t="s">
        <v>147</v>
      </c>
      <c r="B13" s="1" t="s">
        <v>148</v>
      </c>
      <c r="C13" s="14">
        <v>-0.488219963065123</v>
      </c>
      <c r="D13" s="14">
        <v>-0.497659565343679</v>
      </c>
      <c r="E13" s="24">
        <f t="shared" si="0"/>
        <v>-13.285148702950288</v>
      </c>
      <c r="F13" s="24">
        <f t="shared" si="0"/>
        <v>-13.542013496392988</v>
      </c>
      <c r="G13" s="50">
        <v>0.89433693904707301</v>
      </c>
      <c r="H13" s="14">
        <v>-0.51020065237802903</v>
      </c>
      <c r="I13" s="24">
        <f t="shared" si="1"/>
        <v>-13.8832740321195</v>
      </c>
      <c r="J13" s="50">
        <v>0.90867437670002205</v>
      </c>
      <c r="K13" s="14">
        <v>-0.50856961900092101</v>
      </c>
      <c r="L13" s="24">
        <f t="shared" si="2"/>
        <v>-13.838891330481662</v>
      </c>
      <c r="M13" s="50">
        <v>0.90674918958802198</v>
      </c>
      <c r="N13" s="51">
        <v>13.805</v>
      </c>
      <c r="O13" s="14">
        <f t="shared" si="3"/>
        <v>-0.519851297049712</v>
      </c>
      <c r="P13" s="14">
        <f t="shared" si="4"/>
        <v>-0.26298650360701181</v>
      </c>
      <c r="Q13" s="14">
        <f t="shared" si="5"/>
        <v>7.8274032119500347E-2</v>
      </c>
      <c r="R13" s="14">
        <f t="shared" si="6"/>
        <v>3.3891330481662152E-2</v>
      </c>
    </row>
    <row r="14" spans="1:18" ht="15.75" customHeight="1">
      <c r="A14" s="1" t="s">
        <v>149</v>
      </c>
      <c r="B14" s="1" t="s">
        <v>150</v>
      </c>
      <c r="C14" s="14">
        <v>-0.47647140684115902</v>
      </c>
      <c r="D14" s="14">
        <v>-0.46812432989000202</v>
      </c>
      <c r="E14" s="24">
        <f t="shared" si="0"/>
        <v>-12.965454040117516</v>
      </c>
      <c r="F14" s="24">
        <f t="shared" si="0"/>
        <v>-12.738318390368802</v>
      </c>
      <c r="G14" s="50">
        <v>0.85588277795045398</v>
      </c>
      <c r="H14" s="14">
        <v>-0.51269618275061102</v>
      </c>
      <c r="I14" s="24">
        <f t="shared" si="1"/>
        <v>-13.951180907299976</v>
      </c>
      <c r="J14" s="50">
        <v>0.90313977834771897</v>
      </c>
      <c r="K14" s="14">
        <v>-0.504520408644625</v>
      </c>
      <c r="L14" s="24">
        <f t="shared" si="2"/>
        <v>-13.728706647792349</v>
      </c>
      <c r="M14" s="50">
        <v>0.89367422532232199</v>
      </c>
      <c r="N14" s="51">
        <v>12.768000000000001</v>
      </c>
      <c r="O14" s="14">
        <f t="shared" si="3"/>
        <v>0.19745404011751511</v>
      </c>
      <c r="P14" s="14">
        <f t="shared" si="4"/>
        <v>-2.9681609631198924E-2</v>
      </c>
      <c r="Q14" s="14">
        <f t="shared" si="5"/>
        <v>1.1831809072999757</v>
      </c>
      <c r="R14" s="14">
        <f t="shared" si="6"/>
        <v>0.96070664779234782</v>
      </c>
    </row>
    <row r="15" spans="1:18" ht="15.75" customHeight="1">
      <c r="A15" s="1" t="s">
        <v>151</v>
      </c>
      <c r="B15" s="1" t="s">
        <v>139</v>
      </c>
      <c r="C15" s="14">
        <v>-0.53619916299775605</v>
      </c>
      <c r="D15" s="14">
        <v>-0.50685715889937</v>
      </c>
      <c r="E15" s="24">
        <f t="shared" si="0"/>
        <v>-14.59072990399714</v>
      </c>
      <c r="F15" s="24">
        <f t="shared" si="0"/>
        <v>-13.792292893674317</v>
      </c>
      <c r="G15" s="50">
        <v>0.85241732449968399</v>
      </c>
      <c r="H15" s="14">
        <v>-0.556405344697944</v>
      </c>
      <c r="I15" s="24">
        <f t="shared" si="1"/>
        <v>-15.140568396713634</v>
      </c>
      <c r="J15" s="50">
        <v>0.89896692254878197</v>
      </c>
      <c r="K15" s="14">
        <v>-0.54790060236748195</v>
      </c>
      <c r="L15" s="24">
        <f t="shared" si="2"/>
        <v>-14.909142451262499</v>
      </c>
      <c r="M15" s="50">
        <v>0.89022149082136004</v>
      </c>
      <c r="N15" s="51">
        <v>13.672000000000001</v>
      </c>
      <c r="O15" s="14">
        <f t="shared" si="3"/>
        <v>0.91872990399713927</v>
      </c>
      <c r="P15" s="14">
        <f t="shared" si="4"/>
        <v>0.12029289367431595</v>
      </c>
      <c r="Q15" s="14">
        <f t="shared" si="5"/>
        <v>1.4685683967136338</v>
      </c>
      <c r="R15" s="14">
        <f t="shared" si="6"/>
        <v>1.237142451262498</v>
      </c>
    </row>
    <row r="16" spans="1:18" ht="15.75" customHeight="1">
      <c r="A16" s="1" t="s">
        <v>60</v>
      </c>
      <c r="B16" s="1" t="s">
        <v>148</v>
      </c>
      <c r="C16" s="14">
        <v>-0.65953244591335403</v>
      </c>
      <c r="D16" s="14">
        <v>-0.55168163392375202</v>
      </c>
      <c r="E16" s="24">
        <f t="shared" si="0"/>
        <v>-17.946801198726643</v>
      </c>
      <c r="F16" s="24">
        <f t="shared" si="0"/>
        <v>-15.012029613352787</v>
      </c>
      <c r="G16" s="50">
        <v>0.895697047967975</v>
      </c>
      <c r="H16" s="14">
        <v>-0.60428985052294804</v>
      </c>
      <c r="I16" s="24">
        <f t="shared" si="1"/>
        <v>-16.443572838520147</v>
      </c>
      <c r="J16" s="50">
        <v>0.93618076398288097</v>
      </c>
      <c r="K16" s="14">
        <v>-0.59607350281901805</v>
      </c>
      <c r="L16" s="24">
        <f t="shared" si="2"/>
        <v>-16.219994514609429</v>
      </c>
      <c r="M16" s="50">
        <v>0.92935810896967497</v>
      </c>
      <c r="N16" s="51">
        <v>15.875999999999999</v>
      </c>
      <c r="O16" s="14">
        <f t="shared" si="3"/>
        <v>2.0708011987266435</v>
      </c>
      <c r="P16" s="14">
        <f t="shared" si="4"/>
        <v>-0.86397038664721215</v>
      </c>
      <c r="Q16" s="14">
        <f t="shared" si="5"/>
        <v>0.56757283852014773</v>
      </c>
      <c r="R16" s="14">
        <f t="shared" si="6"/>
        <v>0.3439945146094292</v>
      </c>
    </row>
    <row r="17" spans="1:21" ht="15.75" customHeight="1">
      <c r="A17" s="1" t="s">
        <v>152</v>
      </c>
      <c r="B17" s="1" t="s">
        <v>153</v>
      </c>
      <c r="C17" s="14">
        <v>-0.41527326626029099</v>
      </c>
      <c r="D17" s="14">
        <v>-0.37552357561424399</v>
      </c>
      <c r="E17" s="24">
        <f t="shared" si="0"/>
        <v>-11.300166957515282</v>
      </c>
      <c r="F17" s="24">
        <f t="shared" si="0"/>
        <v>-10.218522225469439</v>
      </c>
      <c r="G17" s="50">
        <v>0.86220463878696896</v>
      </c>
      <c r="H17" s="14">
        <v>-0.40727520627377001</v>
      </c>
      <c r="I17" s="24">
        <f t="shared" si="1"/>
        <v>-11.082528547998066</v>
      </c>
      <c r="J17" s="50">
        <v>0.88923069392514198</v>
      </c>
      <c r="K17" s="14">
        <v>-0.40246268747212199</v>
      </c>
      <c r="L17" s="24">
        <f t="shared" si="2"/>
        <v>-10.9515731738789</v>
      </c>
      <c r="M17" s="50">
        <v>0.88488902248833601</v>
      </c>
      <c r="N17" s="51">
        <v>10.311</v>
      </c>
      <c r="O17" s="14">
        <f t="shared" si="3"/>
        <v>0.98916695751528216</v>
      </c>
      <c r="P17" s="14">
        <f t="shared" si="4"/>
        <v>-9.2477774530561163E-2</v>
      </c>
      <c r="Q17" s="14">
        <f t="shared" si="5"/>
        <v>0.77152854799806647</v>
      </c>
      <c r="R17" s="14">
        <f t="shared" si="6"/>
        <v>0.64057317387890045</v>
      </c>
    </row>
    <row r="18" spans="1:21" ht="15.75" customHeight="1">
      <c r="A18" s="1" t="s">
        <v>154</v>
      </c>
      <c r="B18" s="1" t="s">
        <v>155</v>
      </c>
      <c r="C18" s="14">
        <v>-0.53921771518526895</v>
      </c>
      <c r="D18" s="14">
        <v>-0.51099260121594703</v>
      </c>
      <c r="E18" s="24">
        <f t="shared" ref="E18:F33" si="7">C18*27.2114</f>
        <v>-14.672868934992428</v>
      </c>
      <c r="F18" s="24">
        <f t="shared" si="7"/>
        <v>-13.904824068727622</v>
      </c>
      <c r="G18" s="50">
        <v>0.91520696174647898</v>
      </c>
      <c r="H18" s="14">
        <v>-0.51909240083220898</v>
      </c>
      <c r="I18" s="24">
        <f t="shared" si="1"/>
        <v>-14.125230956005572</v>
      </c>
      <c r="J18" s="50">
        <v>0.92218008073393198</v>
      </c>
      <c r="K18" s="14">
        <v>-0.51805963671256305</v>
      </c>
      <c r="L18" s="24">
        <f t="shared" si="2"/>
        <v>-14.097127998440239</v>
      </c>
      <c r="M18" s="50">
        <v>0.92127452965442702</v>
      </c>
      <c r="N18" s="51">
        <v>14.305</v>
      </c>
      <c r="O18" s="14">
        <f t="shared" si="3"/>
        <v>0.36786893499242801</v>
      </c>
      <c r="P18" s="14">
        <f t="shared" si="4"/>
        <v>-0.40017593127237738</v>
      </c>
      <c r="Q18" s="14">
        <f t="shared" si="5"/>
        <v>-0.17976904399442795</v>
      </c>
      <c r="R18" s="14">
        <f t="shared" si="6"/>
        <v>-0.20787200155976038</v>
      </c>
    </row>
    <row r="19" spans="1:21" ht="15.75" customHeight="1">
      <c r="A19" s="1" t="s">
        <v>156</v>
      </c>
      <c r="B19" s="1" t="s">
        <v>157</v>
      </c>
      <c r="C19" s="14">
        <v>-0.47894145671180699</v>
      </c>
      <c r="D19" s="14">
        <v>-0.44729293919330598</v>
      </c>
      <c r="E19" s="24">
        <f t="shared" si="7"/>
        <v>-13.032667555167665</v>
      </c>
      <c r="F19" s="24">
        <f t="shared" si="7"/>
        <v>-12.171467085564727</v>
      </c>
      <c r="G19" s="50">
        <v>0.91189965840936604</v>
      </c>
      <c r="H19" s="14">
        <v>-0.45662890209766399</v>
      </c>
      <c r="I19" s="24">
        <f t="shared" si="1"/>
        <v>-12.425511706540375</v>
      </c>
      <c r="J19" s="50">
        <v>0.91921214471774804</v>
      </c>
      <c r="K19" s="14">
        <v>-0.45540780213929699</v>
      </c>
      <c r="L19" s="24">
        <f t="shared" si="2"/>
        <v>-12.392283867133267</v>
      </c>
      <c r="M19" s="50">
        <v>0.918237976378525</v>
      </c>
      <c r="N19" s="51">
        <v>12.64</v>
      </c>
      <c r="O19" s="14">
        <f t="shared" si="3"/>
        <v>0.39266755516766416</v>
      </c>
      <c r="P19" s="14">
        <f t="shared" si="4"/>
        <v>-0.4685329144352739</v>
      </c>
      <c r="Q19" s="14">
        <f t="shared" si="5"/>
        <v>-0.21448829345962572</v>
      </c>
      <c r="R19" s="14">
        <f t="shared" si="6"/>
        <v>-0.24771613286673322</v>
      </c>
    </row>
    <row r="20" spans="1:21" ht="15.75" customHeight="1">
      <c r="A20" s="52" t="s">
        <v>158</v>
      </c>
      <c r="B20" s="52" t="s">
        <v>159</v>
      </c>
      <c r="C20" s="53">
        <v>-0.52776080840305695</v>
      </c>
      <c r="D20" s="53">
        <v>-0.47282454190741502</v>
      </c>
      <c r="E20" s="54">
        <f t="shared" si="7"/>
        <v>-14.361110461778944</v>
      </c>
      <c r="F20" s="54">
        <f t="shared" si="7"/>
        <v>-12.866217739659433</v>
      </c>
      <c r="G20" s="55">
        <v>0.90943639230294504</v>
      </c>
      <c r="H20" s="53">
        <v>-0.49510135945960898</v>
      </c>
      <c r="I20" s="54">
        <f t="shared" si="1"/>
        <v>-13.472401132799204</v>
      </c>
      <c r="J20" s="55">
        <v>0.92529806862447295</v>
      </c>
      <c r="K20" s="53">
        <v>-0.49200651510320897</v>
      </c>
      <c r="L20" s="54">
        <f t="shared" si="2"/>
        <v>-13.388186085079461</v>
      </c>
      <c r="M20" s="55">
        <v>0.92302120511424701</v>
      </c>
      <c r="N20" s="56">
        <v>13.201000000000001</v>
      </c>
      <c r="O20" s="53">
        <f t="shared" si="3"/>
        <v>1.1601104617789435</v>
      </c>
      <c r="P20" s="53">
        <f t="shared" si="4"/>
        <v>-0.33478226034056746</v>
      </c>
      <c r="Q20" s="53">
        <f t="shared" si="5"/>
        <v>0.27140113279920364</v>
      </c>
      <c r="R20" s="53">
        <f t="shared" si="6"/>
        <v>0.18718608507946044</v>
      </c>
      <c r="U20" s="1"/>
    </row>
    <row r="21" spans="1:21" ht="15.75" customHeight="1">
      <c r="A21" s="1" t="s">
        <v>48</v>
      </c>
      <c r="B21" s="1" t="s">
        <v>160</v>
      </c>
      <c r="C21" s="14">
        <v>-0.30834799982383698</v>
      </c>
      <c r="D21" s="14">
        <v>-0.299672684637658</v>
      </c>
      <c r="E21" s="24">
        <f t="shared" si="7"/>
        <v>-8.3905807624063584</v>
      </c>
      <c r="F21" s="24">
        <f t="shared" si="7"/>
        <v>-8.1545132907491666</v>
      </c>
      <c r="G21" s="50">
        <v>0.91587400467803504</v>
      </c>
      <c r="H21" s="14">
        <v>-0.294239690001247</v>
      </c>
      <c r="I21" s="24">
        <f t="shared" si="1"/>
        <v>-8.0066739004999334</v>
      </c>
      <c r="J21" s="50">
        <v>0.90935872879879598</v>
      </c>
      <c r="K21" s="14">
        <v>-0.29434141388635998</v>
      </c>
      <c r="L21" s="24">
        <f t="shared" si="2"/>
        <v>-8.0094419498272966</v>
      </c>
      <c r="M21" s="50">
        <v>0.90948400528094397</v>
      </c>
      <c r="N21" s="51">
        <v>7.9630000000000001</v>
      </c>
      <c r="O21" s="14">
        <f t="shared" si="3"/>
        <v>0.42758076240635834</v>
      </c>
      <c r="P21" s="14">
        <f t="shared" si="4"/>
        <v>0.19151329074916656</v>
      </c>
      <c r="Q21" s="14">
        <f t="shared" si="5"/>
        <v>4.367390049993336E-2</v>
      </c>
      <c r="R21" s="14">
        <f t="shared" si="6"/>
        <v>4.6441949827296547E-2</v>
      </c>
    </row>
    <row r="22" spans="1:21" ht="15.75" customHeight="1">
      <c r="A22" s="1" t="s">
        <v>45</v>
      </c>
      <c r="B22" s="1" t="s">
        <v>161</v>
      </c>
      <c r="C22" s="14">
        <v>-0.180609291716539</v>
      </c>
      <c r="D22" s="14">
        <v>-0.19045649310478399</v>
      </c>
      <c r="E22" s="24">
        <f t="shared" si="7"/>
        <v>-4.9146316806154298</v>
      </c>
      <c r="F22" s="24">
        <f t="shared" si="7"/>
        <v>-5.1825878164715196</v>
      </c>
      <c r="G22" s="50">
        <v>0.92447898154687602</v>
      </c>
      <c r="H22" s="14">
        <v>-0.18588066073815901</v>
      </c>
      <c r="I22" s="24">
        <f t="shared" si="1"/>
        <v>-5.0580730116103405</v>
      </c>
      <c r="J22" s="50">
        <v>0.89543693203909203</v>
      </c>
      <c r="K22" s="14">
        <v>-0.18608559190276699</v>
      </c>
      <c r="L22" s="24">
        <f t="shared" si="2"/>
        <v>-5.0636494755029542</v>
      </c>
      <c r="M22" s="50">
        <v>0.89667752815897594</v>
      </c>
      <c r="N22" s="51">
        <v>5.3120000000000003</v>
      </c>
      <c r="O22" s="14">
        <f t="shared" si="3"/>
        <v>-0.39736831938457051</v>
      </c>
      <c r="P22" s="14">
        <f t="shared" si="4"/>
        <v>-0.12941218352848072</v>
      </c>
      <c r="Q22" s="14">
        <f t="shared" si="5"/>
        <v>-0.25392698838965977</v>
      </c>
      <c r="R22" s="14">
        <f t="shared" si="6"/>
        <v>-0.24835052449704609</v>
      </c>
    </row>
    <row r="23" spans="1:21" ht="15.75" customHeight="1">
      <c r="A23" s="1" t="s">
        <v>162</v>
      </c>
      <c r="B23" s="1" t="s">
        <v>163</v>
      </c>
      <c r="C23" s="14">
        <v>-0.50702662478417504</v>
      </c>
      <c r="D23" s="14">
        <v>-0.38146329354516501</v>
      </c>
      <c r="E23" s="24">
        <f t="shared" si="7"/>
        <v>-13.796904297652102</v>
      </c>
      <c r="F23" s="24">
        <f t="shared" si="7"/>
        <v>-10.380150265974903</v>
      </c>
      <c r="G23" s="50">
        <v>0.84798155272935705</v>
      </c>
      <c r="H23" s="14">
        <v>-0.47486651488286202</v>
      </c>
      <c r="I23" s="24">
        <f t="shared" si="1"/>
        <v>-12.921782683083512</v>
      </c>
      <c r="J23" s="50">
        <v>0.983037612680562</v>
      </c>
      <c r="K23" s="14">
        <v>-0.45752759593928599</v>
      </c>
      <c r="L23" s="24">
        <f t="shared" si="2"/>
        <v>-12.449966424142287</v>
      </c>
      <c r="M23" s="50">
        <v>0.95102685669198395</v>
      </c>
      <c r="N23" s="51">
        <v>11.44</v>
      </c>
      <c r="O23" s="14">
        <f t="shared" si="3"/>
        <v>2.3569042976521022</v>
      </c>
      <c r="P23" s="14">
        <f t="shared" si="4"/>
        <v>-1.0598497340250965</v>
      </c>
      <c r="Q23" s="14">
        <f t="shared" si="5"/>
        <v>1.4817826830835124</v>
      </c>
      <c r="R23" s="14">
        <f t="shared" si="6"/>
        <v>1.0099664241422879</v>
      </c>
    </row>
    <row r="24" spans="1:21" ht="15.75" customHeight="1">
      <c r="A24" s="1" t="s">
        <v>164</v>
      </c>
      <c r="B24" s="1" t="s">
        <v>165</v>
      </c>
      <c r="C24" s="14">
        <v>-0.86380051957732595</v>
      </c>
      <c r="D24" s="14">
        <v>-0.75311453179745502</v>
      </c>
      <c r="E24" s="24">
        <f t="shared" si="7"/>
        <v>-23.505221458426448</v>
      </c>
      <c r="F24" s="24">
        <f t="shared" si="7"/>
        <v>-20.493300770553269</v>
      </c>
      <c r="G24" s="50">
        <v>0.92025497385573996</v>
      </c>
      <c r="H24" s="14">
        <v>-0.79815091734147303</v>
      </c>
      <c r="I24" s="24">
        <f t="shared" si="1"/>
        <v>-21.718803872145759</v>
      </c>
      <c r="J24" s="50">
        <v>0.94727611174158699</v>
      </c>
      <c r="K24" s="14">
        <v>-0.792444010952841</v>
      </c>
      <c r="L24" s="24">
        <f t="shared" si="2"/>
        <v>-21.563510959642137</v>
      </c>
      <c r="M24" s="50">
        <v>0.94368018678251198</v>
      </c>
      <c r="N24" s="51">
        <v>21.344999999999999</v>
      </c>
      <c r="O24" s="14">
        <f t="shared" si="3"/>
        <v>2.1602214584264487</v>
      </c>
      <c r="P24" s="14">
        <f t="shared" si="4"/>
        <v>-0.85169922944673004</v>
      </c>
      <c r="Q24" s="14">
        <f t="shared" si="5"/>
        <v>0.37380387214576061</v>
      </c>
      <c r="R24" s="14">
        <f t="shared" si="6"/>
        <v>0.2185109596421384</v>
      </c>
    </row>
    <row r="25" spans="1:21" ht="15.75" customHeight="1">
      <c r="A25" s="1" t="s">
        <v>166</v>
      </c>
      <c r="B25" s="1" t="s">
        <v>167</v>
      </c>
      <c r="C25" s="14">
        <v>-0.49496992304802101</v>
      </c>
      <c r="D25" s="14">
        <v>-0.48268992958767298</v>
      </c>
      <c r="E25" s="24">
        <f t="shared" si="7"/>
        <v>-13.468824564028919</v>
      </c>
      <c r="F25" s="24">
        <f t="shared" si="7"/>
        <v>-13.134668749982005</v>
      </c>
      <c r="G25" s="50">
        <v>0.93585486246238603</v>
      </c>
      <c r="H25" s="14">
        <v>-0.478997539266723</v>
      </c>
      <c r="I25" s="24">
        <f t="shared" si="1"/>
        <v>-13.034193640002506</v>
      </c>
      <c r="J25" s="50">
        <v>0.92838752090287602</v>
      </c>
      <c r="K25" s="14">
        <v>-0.47928150590143898</v>
      </c>
      <c r="L25" s="24">
        <f t="shared" si="2"/>
        <v>-13.041920769686417</v>
      </c>
      <c r="M25" s="50">
        <v>0.92895727038081599</v>
      </c>
      <c r="N25" s="51">
        <v>13.284000000000001</v>
      </c>
      <c r="O25" s="14">
        <f t="shared" si="3"/>
        <v>0.18482456402891856</v>
      </c>
      <c r="P25" s="14">
        <f t="shared" si="4"/>
        <v>-0.14933125001799574</v>
      </c>
      <c r="Q25" s="14">
        <f t="shared" si="5"/>
        <v>-0.24980635999749445</v>
      </c>
      <c r="R25" s="14">
        <f t="shared" si="6"/>
        <v>-0.24207923031358369</v>
      </c>
    </row>
    <row r="26" spans="1:21" ht="15.75" customHeight="1">
      <c r="A26" s="1" t="s">
        <v>168</v>
      </c>
      <c r="B26" s="1" t="s">
        <v>160</v>
      </c>
      <c r="C26" s="14">
        <v>-0.39354792659374799</v>
      </c>
      <c r="D26" s="14">
        <v>-0.39351812598654901</v>
      </c>
      <c r="E26" s="24">
        <f t="shared" si="7"/>
        <v>-10.708990049713114</v>
      </c>
      <c r="F26" s="24">
        <f t="shared" si="7"/>
        <v>-10.708179133470381</v>
      </c>
      <c r="G26" s="50">
        <v>0.93611637784636303</v>
      </c>
      <c r="H26" s="14">
        <v>-0.39193506821484397</v>
      </c>
      <c r="I26" s="24">
        <f t="shared" si="1"/>
        <v>-10.665101915221406</v>
      </c>
      <c r="J26" s="50">
        <v>0.92850054788195402</v>
      </c>
      <c r="K26" s="14">
        <v>-0.39208525646285203</v>
      </c>
      <c r="L26" s="24">
        <f t="shared" si="2"/>
        <v>-10.669188747713251</v>
      </c>
      <c r="M26" s="50">
        <v>0.92921938863384701</v>
      </c>
      <c r="N26" s="51">
        <v>11.154999999999999</v>
      </c>
      <c r="O26" s="14">
        <f t="shared" si="3"/>
        <v>-0.44600995028688573</v>
      </c>
      <c r="P26" s="14">
        <f t="shared" si="4"/>
        <v>-0.4468208665296185</v>
      </c>
      <c r="Q26" s="14">
        <f t="shared" si="5"/>
        <v>-0.4898980847785932</v>
      </c>
      <c r="R26" s="14">
        <f t="shared" si="6"/>
        <v>-0.48581125228674793</v>
      </c>
    </row>
    <row r="27" spans="1:21" ht="15.75" customHeight="1">
      <c r="A27" s="1" t="s">
        <v>169</v>
      </c>
      <c r="B27" s="1" t="s">
        <v>170</v>
      </c>
      <c r="C27" s="14">
        <v>-0.38640928409206299</v>
      </c>
      <c r="D27" s="14">
        <v>-0.38436654439336398</v>
      </c>
      <c r="E27" s="24">
        <f t="shared" si="7"/>
        <v>-10.514737593142764</v>
      </c>
      <c r="F27" s="24">
        <f t="shared" si="7"/>
        <v>-10.459151786105584</v>
      </c>
      <c r="G27" s="50">
        <v>0.86041817370581897</v>
      </c>
      <c r="H27" s="14">
        <v>-0.41454252647802498</v>
      </c>
      <c r="I27" s="24">
        <f t="shared" si="1"/>
        <v>-11.280282505004129</v>
      </c>
      <c r="J27" s="50">
        <v>0.88947046570482802</v>
      </c>
      <c r="K27" s="14">
        <v>-0.40929664692205597</v>
      </c>
      <c r="L27" s="24">
        <f t="shared" si="2"/>
        <v>-11.137534778054833</v>
      </c>
      <c r="M27" s="50">
        <v>0.88413129770997101</v>
      </c>
      <c r="N27" s="51">
        <v>10.641999999999999</v>
      </c>
      <c r="O27" s="14">
        <f t="shared" si="3"/>
        <v>-0.12726240685723589</v>
      </c>
      <c r="P27" s="14">
        <f t="shared" si="4"/>
        <v>-0.18284821389441497</v>
      </c>
      <c r="Q27" s="14">
        <f t="shared" si="5"/>
        <v>0.63828250500412942</v>
      </c>
      <c r="R27" s="14">
        <f t="shared" si="6"/>
        <v>0.49553477805483404</v>
      </c>
    </row>
    <row r="28" spans="1:21" ht="15.75" customHeight="1">
      <c r="A28" s="1" t="s">
        <v>171</v>
      </c>
      <c r="B28" s="1" t="s">
        <v>172</v>
      </c>
      <c r="C28" s="14">
        <v>-0.48735641993407902</v>
      </c>
      <c r="D28" s="14">
        <v>-0.37919736628356399</v>
      </c>
      <c r="E28" s="24">
        <f t="shared" si="7"/>
        <v>-13.261650485394199</v>
      </c>
      <c r="F28" s="24">
        <f t="shared" si="7"/>
        <v>-10.318491212888574</v>
      </c>
      <c r="G28" s="50">
        <v>0.86940259275093701</v>
      </c>
      <c r="H28" s="14">
        <v>-0.427967540596005</v>
      </c>
      <c r="I28" s="24">
        <f t="shared" si="1"/>
        <v>-11.64559593417413</v>
      </c>
      <c r="J28" s="50">
        <v>0.90267354664671995</v>
      </c>
      <c r="K28" s="14">
        <v>-0.41915278194217698</v>
      </c>
      <c r="L28" s="24">
        <f t="shared" si="2"/>
        <v>-11.405734010541355</v>
      </c>
      <c r="M28" s="50">
        <v>0.89626849106519502</v>
      </c>
      <c r="N28" s="51">
        <v>11.401999999999999</v>
      </c>
      <c r="O28" s="14">
        <f t="shared" si="3"/>
        <v>1.8596504853941997</v>
      </c>
      <c r="P28" s="14">
        <f t="shared" si="4"/>
        <v>-1.0835087871114251</v>
      </c>
      <c r="Q28" s="14">
        <f t="shared" si="5"/>
        <v>0.24359593417413095</v>
      </c>
      <c r="R28" s="14">
        <f t="shared" si="6"/>
        <v>3.7340105413559144E-3</v>
      </c>
    </row>
    <row r="29" spans="1:21" ht="15.75" customHeight="1">
      <c r="A29" s="1" t="s">
        <v>173</v>
      </c>
      <c r="B29" s="1" t="s">
        <v>174</v>
      </c>
      <c r="C29" s="14">
        <v>-0.929699165277171</v>
      </c>
      <c r="D29" s="14">
        <v>-0.91300055669004498</v>
      </c>
      <c r="E29" s="24">
        <f t="shared" si="7"/>
        <v>-25.298415866023213</v>
      </c>
      <c r="F29" s="24">
        <f t="shared" si="7"/>
        <v>-24.844023348315492</v>
      </c>
      <c r="G29" s="50">
        <v>0.96674448427441495</v>
      </c>
      <c r="H29" s="14">
        <v>-0.90732850679693</v>
      </c>
      <c r="I29" s="24">
        <f t="shared" si="1"/>
        <v>-24.689678929853983</v>
      </c>
      <c r="J29" s="50">
        <v>0.96250510833840497</v>
      </c>
      <c r="K29" s="14">
        <v>-0.90736795700613804</v>
      </c>
      <c r="L29" s="24">
        <f t="shared" si="2"/>
        <v>-24.690752425276827</v>
      </c>
      <c r="M29" s="50">
        <v>0.96253438686919801</v>
      </c>
      <c r="N29" s="51">
        <v>24.515000000000001</v>
      </c>
      <c r="O29" s="14">
        <f t="shared" si="3"/>
        <v>0.783415866023212</v>
      </c>
      <c r="P29" s="14">
        <f t="shared" si="4"/>
        <v>0.3290233483154914</v>
      </c>
      <c r="Q29" s="14">
        <f t="shared" si="5"/>
        <v>0.17467892985398237</v>
      </c>
      <c r="R29" s="14">
        <f t="shared" si="6"/>
        <v>0.17575242527682633</v>
      </c>
    </row>
    <row r="30" spans="1:21" ht="15.75" customHeight="1">
      <c r="A30" s="1" t="s">
        <v>175</v>
      </c>
      <c r="B30" s="1" t="s">
        <v>172</v>
      </c>
      <c r="C30" s="14">
        <v>-0.38565574955345899</v>
      </c>
      <c r="D30" s="14">
        <v>-0.32484212999196199</v>
      </c>
      <c r="E30" s="24">
        <f t="shared" si="7"/>
        <v>-10.494232863398995</v>
      </c>
      <c r="F30" s="24">
        <f t="shared" si="7"/>
        <v>-8.8394091360632743</v>
      </c>
      <c r="G30" s="50">
        <v>0.88972131763043205</v>
      </c>
      <c r="H30" s="14">
        <v>-0.35109881807068999</v>
      </c>
      <c r="I30" s="24">
        <f t="shared" si="1"/>
        <v>-9.5538903780487736</v>
      </c>
      <c r="J30" s="50">
        <v>0.91084205708061095</v>
      </c>
      <c r="K30" s="14">
        <v>-0.34692935147415399</v>
      </c>
      <c r="L30" s="24">
        <f t="shared" si="2"/>
        <v>-9.440433354703794</v>
      </c>
      <c r="M30" s="50">
        <v>0.90733361475798302</v>
      </c>
      <c r="N30" s="51">
        <v>9.5820000000000007</v>
      </c>
      <c r="O30" s="14">
        <f t="shared" si="3"/>
        <v>0.91223286339899445</v>
      </c>
      <c r="P30" s="14">
        <f t="shared" si="4"/>
        <v>-0.74259086393672646</v>
      </c>
      <c r="Q30" s="14">
        <f t="shared" si="5"/>
        <v>-2.8109621951227126E-2</v>
      </c>
      <c r="R30" s="14">
        <f t="shared" si="6"/>
        <v>-0.14156664529620677</v>
      </c>
    </row>
    <row r="31" spans="1:21" ht="15.75" customHeight="1">
      <c r="A31" s="1" t="s">
        <v>176</v>
      </c>
      <c r="B31" s="1" t="s">
        <v>177</v>
      </c>
      <c r="C31" s="14">
        <v>-0.40984303702323099</v>
      </c>
      <c r="D31" s="14">
        <v>-0.39447344132985401</v>
      </c>
      <c r="E31" s="24">
        <f t="shared" si="7"/>
        <v>-11.152402817653948</v>
      </c>
      <c r="F31" s="24">
        <f t="shared" si="7"/>
        <v>-10.73417460140319</v>
      </c>
      <c r="G31" s="14">
        <v>0.87326474555665901</v>
      </c>
      <c r="H31" s="14">
        <v>-0.41158875206001799</v>
      </c>
      <c r="I31" s="24">
        <f t="shared" si="1"/>
        <v>-11.199906167805974</v>
      </c>
      <c r="J31" s="14">
        <v>0.88471655238122404</v>
      </c>
      <c r="K31" s="14">
        <v>-0.40867259814714202</v>
      </c>
      <c r="L31" s="24">
        <f t="shared" si="2"/>
        <v>-11.120553537221141</v>
      </c>
      <c r="M31" s="14">
        <v>0.88272990157280395</v>
      </c>
      <c r="N31" s="57">
        <v>11.236000000000001</v>
      </c>
      <c r="O31" s="14">
        <f t="shared" si="3"/>
        <v>-8.3597182346052179E-2</v>
      </c>
      <c r="P31" s="14">
        <f t="shared" si="4"/>
        <v>-0.50182539859681086</v>
      </c>
      <c r="Q31" s="14">
        <f t="shared" si="5"/>
        <v>-3.6093832194026731E-2</v>
      </c>
      <c r="R31" s="14">
        <f t="shared" si="6"/>
        <v>-0.11544646277885917</v>
      </c>
    </row>
    <row r="32" spans="1:21" ht="15.75" customHeight="1">
      <c r="A32" s="1" t="s">
        <v>178</v>
      </c>
      <c r="B32" s="1" t="s">
        <v>179</v>
      </c>
      <c r="C32" s="14">
        <v>-0.46277042569277499</v>
      </c>
      <c r="D32" s="14">
        <v>-0.437513744137487</v>
      </c>
      <c r="E32" s="24">
        <f t="shared" si="7"/>
        <v>-12.592631161696378</v>
      </c>
      <c r="F32" s="24">
        <f t="shared" si="7"/>
        <v>-11.905361497222815</v>
      </c>
      <c r="G32" s="14">
        <v>0.91818765624903298</v>
      </c>
      <c r="H32" s="14">
        <v>-0.43686682756503697</v>
      </c>
      <c r="I32" s="24">
        <f t="shared" si="1"/>
        <v>-11.887757991603248</v>
      </c>
      <c r="J32" s="14">
        <v>0.91243616922923199</v>
      </c>
      <c r="K32" s="14">
        <v>-0.43693586749759999</v>
      </c>
      <c r="L32" s="24">
        <f t="shared" si="2"/>
        <v>-11.889636664824193</v>
      </c>
      <c r="M32" s="14">
        <v>0.91304908108414096</v>
      </c>
      <c r="N32" s="57">
        <v>12.233000000000001</v>
      </c>
      <c r="O32" s="14">
        <f t="shared" si="3"/>
        <v>0.35963116169637743</v>
      </c>
      <c r="P32" s="14">
        <f t="shared" si="4"/>
        <v>-0.32763850277718554</v>
      </c>
      <c r="Q32" s="14">
        <f t="shared" si="5"/>
        <v>-0.34524200839675245</v>
      </c>
      <c r="R32" s="14">
        <f t="shared" si="6"/>
        <v>-0.34336333517580719</v>
      </c>
    </row>
    <row r="33" spans="1:18" ht="15.75" customHeight="1">
      <c r="A33" s="1" t="s">
        <v>180</v>
      </c>
      <c r="B33" s="1" t="s">
        <v>160</v>
      </c>
      <c r="C33" s="14">
        <v>-0.59883390547322501</v>
      </c>
      <c r="D33" s="14">
        <v>-0.60367013842788697</v>
      </c>
      <c r="E33" s="24">
        <f t="shared" si="7"/>
        <v>-16.295108935394115</v>
      </c>
      <c r="F33" s="24">
        <f t="shared" si="7"/>
        <v>-16.426709604816605</v>
      </c>
      <c r="G33" s="14">
        <v>0.96444608843916202</v>
      </c>
      <c r="H33" s="14">
        <v>-0.60040366602148398</v>
      </c>
      <c r="I33" s="24">
        <f t="shared" si="1"/>
        <v>-16.337824317577009</v>
      </c>
      <c r="J33" s="14">
        <v>0.95989976990650505</v>
      </c>
      <c r="K33" s="14">
        <v>-0.60049549379899203</v>
      </c>
      <c r="L33" s="24">
        <f t="shared" si="2"/>
        <v>-16.340323079961891</v>
      </c>
      <c r="M33" s="14">
        <v>0.96002672596140104</v>
      </c>
      <c r="N33" s="66">
        <v>16.399000000000001</v>
      </c>
      <c r="O33" s="14">
        <f t="shared" si="3"/>
        <v>-0.10389106460588593</v>
      </c>
      <c r="P33" s="14">
        <f t="shared" si="4"/>
        <v>2.7709604816603672E-2</v>
      </c>
      <c r="Q33" s="14">
        <f t="shared" si="5"/>
        <v>-6.1175682422991429E-2</v>
      </c>
      <c r="R33" s="14">
        <f t="shared" si="6"/>
        <v>-5.867692003810987E-2</v>
      </c>
    </row>
    <row r="34" spans="1:18" ht="15.75" customHeight="1">
      <c r="A34" s="1" t="s">
        <v>181</v>
      </c>
      <c r="B34" s="1" t="s">
        <v>182</v>
      </c>
      <c r="C34" s="14">
        <v>-0.37748337902589102</v>
      </c>
      <c r="D34" s="14">
        <v>-0.37197843103748401</v>
      </c>
      <c r="E34" s="24">
        <f t="shared" ref="E34:F36" si="8">C34*27.2114</f>
        <v>-10.271851220025132</v>
      </c>
      <c r="F34" s="24">
        <f t="shared" si="8"/>
        <v>-10.122053878333393</v>
      </c>
      <c r="G34" s="14">
        <v>0.92304769632362704</v>
      </c>
      <c r="H34" s="14">
        <v>-0.37156914173132399</v>
      </c>
      <c r="I34" s="24">
        <f t="shared" si="1"/>
        <v>-10.11091654330775</v>
      </c>
      <c r="J34" s="14">
        <v>0.91747441614013603</v>
      </c>
      <c r="K34" s="14">
        <v>-0.37161259874397701</v>
      </c>
      <c r="L34" s="24">
        <f t="shared" si="2"/>
        <v>-10.112099069461856</v>
      </c>
      <c r="M34" s="14">
        <v>0.91806635312310503</v>
      </c>
      <c r="N34" s="66">
        <v>10.526</v>
      </c>
      <c r="O34" s="14">
        <f t="shared" si="3"/>
        <v>-0.25414877997486762</v>
      </c>
      <c r="P34" s="14">
        <f t="shared" si="4"/>
        <v>-0.40394612166660693</v>
      </c>
      <c r="Q34" s="14">
        <f t="shared" si="5"/>
        <v>-0.41508345669224944</v>
      </c>
      <c r="R34" s="14">
        <f t="shared" si="6"/>
        <v>-0.41390093053814425</v>
      </c>
    </row>
    <row r="35" spans="1:18" ht="15.75" customHeight="1">
      <c r="A35" s="1" t="s">
        <v>183</v>
      </c>
      <c r="B35" s="1" t="s">
        <v>184</v>
      </c>
      <c r="C35" s="58">
        <v>-0.359298220073059</v>
      </c>
      <c r="D35" s="58">
        <v>-0.37994430485861203</v>
      </c>
      <c r="E35" s="24">
        <f t="shared" si="8"/>
        <v>-9.7770075856960386</v>
      </c>
      <c r="F35" s="24">
        <f t="shared" si="8"/>
        <v>-10.338816457229635</v>
      </c>
      <c r="G35" s="59">
        <v>0.89716231030288895</v>
      </c>
      <c r="H35" s="58">
        <v>-0.38111444576876002</v>
      </c>
      <c r="I35" s="24">
        <f t="shared" si="1"/>
        <v>-10.370657629592037</v>
      </c>
      <c r="J35" s="59">
        <v>0.89426227084314902</v>
      </c>
      <c r="K35" s="58">
        <v>-0.38098781113736702</v>
      </c>
      <c r="L35" s="24">
        <f t="shared" si="2"/>
        <v>-10.367211723983349</v>
      </c>
      <c r="M35" s="50">
        <v>0.89457817367271297</v>
      </c>
      <c r="N35" s="66">
        <v>10.571</v>
      </c>
      <c r="O35" s="14">
        <f t="shared" si="3"/>
        <v>-0.79399241430396117</v>
      </c>
      <c r="P35" s="14">
        <f t="shared" si="4"/>
        <v>-0.23218354277036468</v>
      </c>
      <c r="Q35" s="14">
        <f t="shared" si="5"/>
        <v>-0.20034237040796299</v>
      </c>
      <c r="R35" s="14">
        <f t="shared" si="6"/>
        <v>-0.20378827601665073</v>
      </c>
    </row>
    <row r="36" spans="1:18" ht="15.75" customHeight="1">
      <c r="A36" s="1" t="s">
        <v>185</v>
      </c>
      <c r="B36" s="1" t="s">
        <v>160</v>
      </c>
      <c r="C36" s="58">
        <v>-0.46647836859939401</v>
      </c>
      <c r="D36" s="58">
        <v>-0.39228089586332898</v>
      </c>
      <c r="E36" s="24">
        <f t="shared" si="8"/>
        <v>-12.693529479305552</v>
      </c>
      <c r="F36" s="24">
        <f t="shared" si="8"/>
        <v>-10.674512369695391</v>
      </c>
      <c r="G36" s="59">
        <v>0.831770793803703</v>
      </c>
      <c r="H36" s="58">
        <v>-0.46033442827078402</v>
      </c>
      <c r="I36" s="24">
        <f t="shared" si="1"/>
        <v>-12.526344261447614</v>
      </c>
      <c r="J36" s="59">
        <v>0.93888375395943702</v>
      </c>
      <c r="K36" s="58">
        <v>-0.44241639574034602</v>
      </c>
      <c r="L36" s="24">
        <f t="shared" si="2"/>
        <v>-12.038769511048852</v>
      </c>
      <c r="M36" s="50">
        <v>0.90498649712052404</v>
      </c>
      <c r="N36" s="66">
        <v>11.631</v>
      </c>
      <c r="O36" s="14">
        <f t="shared" si="3"/>
        <v>1.0625294793055513</v>
      </c>
      <c r="P36" s="14">
        <f t="shared" si="4"/>
        <v>-0.95648763030460948</v>
      </c>
      <c r="Q36" s="14">
        <f t="shared" si="5"/>
        <v>0.89534426144761348</v>
      </c>
      <c r="R36" s="14">
        <f t="shared" si="6"/>
        <v>0.40776951104885129</v>
      </c>
    </row>
    <row r="38" spans="1:18" ht="15.75" customHeight="1">
      <c r="N38" s="1" t="s">
        <v>5</v>
      </c>
      <c r="O38" s="14">
        <f ca="1">IFERROR(__xludf.DUMMYFUNCTION("ARRAYFORMULA(SUM(FILTER(O2:O36, ROW(O2:O36)&lt;&gt;3, ROW(O2:O36)&lt;&gt;4)) / (ROWS(O2:O36)-2))"),0.640784269330805)</f>
        <v>0.64078426933080501</v>
      </c>
      <c r="P38" s="14">
        <f ca="1">IFERROR(__xludf.DUMMYFUNCTION("ARRAYFORMULA(SUM(FILTER(P2:P36, ROW(P2:P36)&lt;&gt;3, ROW(P2:P36)&lt;&gt;4)) / (ROWS(P2:P36)-2))"),-0.406920145261809)</f>
        <v>-0.40692014526180897</v>
      </c>
      <c r="Q38" s="14">
        <f ca="1">IFERROR(__xludf.DUMMYFUNCTION("ARRAYFORMULA(SUM(FILTER(Q2:Q36, ROW(Q2:Q36)&lt;&gt;3, ROW(Q2:Q36)&lt;&gt;4)) / (ROWS(Q2:Q36)-2))"),0.269929930061468)</f>
        <v>0.26992993006146798</v>
      </c>
      <c r="R38" s="14">
        <f ca="1">IFERROR(__xludf.DUMMYFUNCTION("ARRAYFORMULA(SUM(FILTER(R2:R36, ROW(R2:R36)&lt;&gt;3, ROW(R2:R36)&lt;&gt;4)) / (ROWS(R2:R36)-2))"),0.147872036613742)</f>
        <v>0.14787203661374199</v>
      </c>
    </row>
    <row r="39" spans="1:18" ht="15.75" customHeight="1">
      <c r="N39" s="9" t="s">
        <v>6</v>
      </c>
      <c r="O39" s="31">
        <f ca="1">IFERROR(__xludf.DUMMYFUNCTION("ARRAYFORMULA(SUM(ABS(FILTER(O2:O36, ROW(O2:O36)&lt;&gt;3, ROW(O2:O36)&lt;&gt;4))) / (ROWS(O2:O36)-2))"),0.87719703007774)</f>
        <v>0.87719703007773997</v>
      </c>
      <c r="P39" s="31">
        <f ca="1">IFERROR(__xludf.DUMMYFUNCTION("ARRAYFORMULA(SUM(ABS(FILTER(P2:P36, ROW(P2:P36)&lt;&gt;3, ROW(P2:P36)&lt;&gt;4))) / (ROWS(P2:P36)-2))"),0.514476158967071)</f>
        <v>0.514476158967071</v>
      </c>
      <c r="Q39" s="31">
        <f ca="1">IFERROR(__xludf.DUMMYFUNCTION("ARRAYFORMULA(SUM(ABS(FILTER(Q2:Q36, ROW(Q2:Q36)&lt;&gt;3, ROW(Q2:Q36)&lt;&gt;4))) / (ROWS(Q2:Q36)-2))"),0.445190127161551)</f>
        <v>0.44519012716155099</v>
      </c>
      <c r="R39" s="31">
        <f ca="1">IFERROR(__xludf.DUMMYFUNCTION("ARRAYFORMULA(SUM(ABS(FILTER(R2:R36, ROW(R2:R36)&lt;&gt;3, ROW(R2:R36)&lt;&gt;4))) / (ROWS(R2:R36)-2))"),0.34793107107306)</f>
        <v>0.34793107107305998</v>
      </c>
    </row>
    <row r="40" spans="1:18" ht="15.75" customHeight="1">
      <c r="N40" s="9" t="s">
        <v>7</v>
      </c>
      <c r="O40" s="31">
        <f ca="1">IFERROR(__xludf.DUMMYFUNCTION("ARRAYFORMULA(sqrt(SUM(ABS(FILTER(O2:O36, ROW(O2:O36)&lt;&gt;3, ROW(O2:O36)&lt;&gt;4))^2) / (ROWS(O2:O36)-2)))"),1.11880300720728)</f>
        <v>1.1188030072072801</v>
      </c>
      <c r="P40" s="31">
        <f ca="1">IFERROR(__xludf.DUMMYFUNCTION("ARRAYFORMULA(sqrt(SUM(ABS(FILTER(P2:P36, ROW(P2:P36)&lt;&gt;3, ROW(P2:P36)&lt;&gt;4))^2) / (ROWS(P2:P36)-2)))"),0.623547129894107)</f>
        <v>0.62354712989410699</v>
      </c>
      <c r="Q40" s="31">
        <f ca="1">IFERROR(__xludf.DUMMYFUNCTION("ARRAYFORMULA(sqrt(SUM(ABS(FILTER(Q2:Q36, ROW(Q2:Q36)&lt;&gt;3, ROW(Q2:Q36)&lt;&gt;4))^2) / (ROWS(Q2:Q36)-2)))"),0.648271979123091)</f>
        <v>0.64827197912309098</v>
      </c>
      <c r="R40" s="31">
        <f ca="1">IFERROR(__xludf.DUMMYFUNCTION("ARRAYFORMULA(sqrt(SUM(ABS(FILTER(R2:R36, ROW(R2:R36)&lt;&gt;3, ROW(R2:R36)&lt;&gt;4))^2) / (ROWS(R2:R36)-2)))"),0.526790861682489)</f>
        <v>0.52679086168248901</v>
      </c>
    </row>
    <row r="41" spans="1:18" ht="15.75" customHeight="1">
      <c r="O41" s="1" t="s">
        <v>12</v>
      </c>
      <c r="P41" s="1" t="s">
        <v>13</v>
      </c>
      <c r="Q41" s="1" t="s">
        <v>14</v>
      </c>
      <c r="R41" s="1" t="s">
        <v>15</v>
      </c>
    </row>
    <row r="43" spans="1:18" ht="15.75" customHeight="1">
      <c r="O43" s="1" t="s">
        <v>16</v>
      </c>
      <c r="P43" s="58">
        <f ca="1">IFERROR(__xludf.DUMMYFUNCTION("AVERAGE(FILTER(G2:G36, (ROW(G2:G36)&lt;&gt;3) * (ROW(G2:G36)&lt;&gt;4)))"),0.893818046143489)</f>
        <v>0.89381804614348903</v>
      </c>
      <c r="Q43" s="58">
        <f ca="1">IFERROR(__xludf.DUMMYFUNCTION("AVERAGE(FILTER(J2:J36, (ROW(J2:J36)&lt;&gt;3) * (ROW(J2:J36)&lt;&gt;4)))"),0.915672767722805)</f>
        <v>0.91567276772280504</v>
      </c>
      <c r="R43" s="58">
        <f ca="1">IFERROR(__xludf.DUMMYFUNCTION("AVERAGE(FILTER(M2:M36, (ROW(M2:M36)&lt;&gt;3) * (ROW(M2:M36)&lt;&gt;4)))"),0.910834984975033)</f>
        <v>0.91083498497503301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AC99-6898-4C7E-8A8F-47202693D8AD}">
  <sheetPr>
    <outlinePr summaryBelow="0" summaryRight="0"/>
  </sheetPr>
  <dimension ref="A1:I28"/>
  <sheetViews>
    <sheetView zoomScale="70" zoomScaleNormal="70" workbookViewId="0">
      <selection activeCell="D25" sqref="D25"/>
    </sheetView>
  </sheetViews>
  <sheetFormatPr defaultColWidth="12.6640625" defaultRowHeight="15.75" customHeight="1"/>
  <cols>
    <col min="1" max="2" width="12.6640625" style="2"/>
    <col min="3" max="3" width="7.33203125" style="2" customWidth="1"/>
    <col min="4" max="4" width="12.6640625" style="2"/>
    <col min="5" max="5" width="9.44140625" style="2" customWidth="1"/>
    <col min="6" max="6" width="7.88671875" style="2" customWidth="1"/>
    <col min="7" max="7" width="14.88671875" style="2" customWidth="1"/>
    <col min="8" max="8" width="12.6640625" style="2"/>
    <col min="9" max="9" width="9.77734375" style="2" customWidth="1"/>
    <col min="10" max="16384" width="12.6640625" style="2"/>
  </cols>
  <sheetData>
    <row r="1" spans="1:9" ht="15.75" customHeight="1">
      <c r="C1" s="1" t="s">
        <v>23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28</v>
      </c>
    </row>
    <row r="2" spans="1:9" ht="15.75" customHeight="1">
      <c r="A2" s="1" t="s">
        <v>198</v>
      </c>
      <c r="B2" s="1" t="s">
        <v>199</v>
      </c>
      <c r="C2" s="1" t="s">
        <v>200</v>
      </c>
      <c r="D2" s="14">
        <v>-0.21</v>
      </c>
      <c r="E2" s="1">
        <v>-0.186</v>
      </c>
      <c r="F2" s="1">
        <v>-0.19400000000000001</v>
      </c>
      <c r="G2" s="14">
        <v>6.3727</v>
      </c>
      <c r="H2" s="14">
        <v>6.6485000000000003</v>
      </c>
      <c r="I2" s="14">
        <v>6.41</v>
      </c>
    </row>
    <row r="3" spans="1:9" ht="15.75" customHeight="1">
      <c r="B3" s="1" t="s">
        <v>201</v>
      </c>
      <c r="C3" s="1" t="s">
        <v>202</v>
      </c>
      <c r="D3" s="14">
        <v>-0.28699999999999998</v>
      </c>
      <c r="E3" s="1">
        <v>-0.315</v>
      </c>
      <c r="F3" s="1">
        <v>-0.32800000000000001</v>
      </c>
      <c r="G3" s="14"/>
      <c r="H3" s="14"/>
      <c r="I3" s="14"/>
    </row>
    <row r="4" spans="1:9" ht="15.75" customHeight="1">
      <c r="B4" s="1" t="s">
        <v>203</v>
      </c>
      <c r="C4" s="1" t="s">
        <v>204</v>
      </c>
      <c r="D4" s="14">
        <v>-0.28899999999999998</v>
      </c>
      <c r="E4" s="1">
        <v>-0.31900000000000001</v>
      </c>
      <c r="F4" s="1">
        <v>-0.33100000000000002</v>
      </c>
      <c r="G4" s="14"/>
      <c r="H4" s="14"/>
      <c r="I4" s="14"/>
    </row>
    <row r="5" spans="1:9" ht="15.75" customHeight="1">
      <c r="B5" s="1" t="s">
        <v>205</v>
      </c>
      <c r="C5" s="1" t="s">
        <v>206</v>
      </c>
      <c r="D5" s="14">
        <v>-0.1</v>
      </c>
      <c r="E5" s="1">
        <v>-3.0000000000000001E-3</v>
      </c>
      <c r="F5" s="1">
        <v>-1.0999999999999999E-2</v>
      </c>
      <c r="G5" s="14"/>
      <c r="H5" s="14"/>
      <c r="I5" s="14"/>
    </row>
    <row r="6" spans="1:9" ht="15.75" customHeight="1">
      <c r="B6" s="1" t="s">
        <v>207</v>
      </c>
      <c r="C6" s="1" t="s">
        <v>208</v>
      </c>
      <c r="D6" s="14">
        <v>-9.8000000000000004E-2</v>
      </c>
      <c r="E6" s="14">
        <v>0</v>
      </c>
      <c r="F6" s="1">
        <v>-8.9999999999999993E-3</v>
      </c>
      <c r="G6" s="14"/>
      <c r="H6" s="14"/>
      <c r="I6" s="14"/>
    </row>
    <row r="7" spans="1:9" ht="15.75" customHeight="1">
      <c r="B7" s="1" t="s">
        <v>209</v>
      </c>
      <c r="C7" s="1" t="s">
        <v>210</v>
      </c>
      <c r="D7" s="14">
        <v>-2.5000000000000001E-2</v>
      </c>
      <c r="E7" s="1">
        <v>9.7000000000000003E-2</v>
      </c>
      <c r="F7" s="1">
        <v>8.6999999999999994E-2</v>
      </c>
      <c r="G7" s="14"/>
      <c r="H7" s="14"/>
      <c r="I7" s="14"/>
    </row>
    <row r="8" spans="1:9" ht="15.75" customHeight="1">
      <c r="G8" s="14"/>
      <c r="H8" s="14"/>
      <c r="I8" s="14"/>
    </row>
    <row r="9" spans="1:9" ht="15.75" customHeight="1">
      <c r="A9" s="1" t="s">
        <v>211</v>
      </c>
      <c r="B9" s="1" t="s">
        <v>199</v>
      </c>
      <c r="C9" s="1" t="s">
        <v>212</v>
      </c>
      <c r="D9" s="1">
        <v>-0.22600000000000001</v>
      </c>
      <c r="E9" s="1">
        <v>-0.22</v>
      </c>
      <c r="F9" s="1">
        <v>-0.22700000000000001</v>
      </c>
      <c r="G9" s="14">
        <v>7.2004000000000001</v>
      </c>
      <c r="H9" s="14">
        <v>7.0613999999999999</v>
      </c>
      <c r="I9" s="14">
        <v>6.9</v>
      </c>
    </row>
    <row r="10" spans="1:9" ht="15.75" customHeight="1">
      <c r="B10" s="1" t="s">
        <v>201</v>
      </c>
      <c r="C10" s="1" t="s">
        <v>213</v>
      </c>
      <c r="D10" s="1">
        <v>-0.22800000000000001</v>
      </c>
      <c r="E10" s="1">
        <v>-0.23100000000000001</v>
      </c>
      <c r="F10" s="1">
        <v>-0.245</v>
      </c>
      <c r="G10" s="14"/>
      <c r="H10" s="14"/>
      <c r="I10" s="14"/>
    </row>
    <row r="11" spans="1:9" ht="15.75" customHeight="1">
      <c r="B11" s="1" t="s">
        <v>203</v>
      </c>
      <c r="C11" s="1" t="s">
        <v>214</v>
      </c>
      <c r="D11" s="1">
        <v>-0.28499999999999998</v>
      </c>
      <c r="E11" s="1">
        <v>-0.32800000000000001</v>
      </c>
      <c r="F11" s="1">
        <v>-0.33800000000000002</v>
      </c>
      <c r="G11" s="14"/>
      <c r="H11" s="14"/>
      <c r="I11" s="14"/>
    </row>
    <row r="12" spans="1:9" ht="15.75" customHeight="1">
      <c r="B12" s="1" t="s">
        <v>205</v>
      </c>
      <c r="C12" s="1" t="s">
        <v>215</v>
      </c>
      <c r="D12" s="1">
        <v>-7.8E-2</v>
      </c>
      <c r="E12" s="1">
        <v>1.7999999999999999E-2</v>
      </c>
      <c r="F12" s="1">
        <v>8.9999999999999993E-3</v>
      </c>
      <c r="G12" s="14"/>
      <c r="H12" s="14"/>
      <c r="I12" s="14"/>
    </row>
    <row r="13" spans="1:9" ht="15.75" customHeight="1">
      <c r="B13" s="1" t="s">
        <v>207</v>
      </c>
      <c r="C13" s="1" t="s">
        <v>216</v>
      </c>
      <c r="D13" s="1">
        <v>-7.6999999999999999E-2</v>
      </c>
      <c r="E13" s="1">
        <v>0.02</v>
      </c>
      <c r="F13" s="1">
        <v>1.0999999999999999E-2</v>
      </c>
      <c r="G13" s="14"/>
      <c r="H13" s="14"/>
      <c r="I13" s="14"/>
    </row>
    <row r="14" spans="1:9" ht="15.75" customHeight="1">
      <c r="B14" s="1" t="s">
        <v>209</v>
      </c>
      <c r="C14" s="1" t="s">
        <v>217</v>
      </c>
      <c r="D14" s="1">
        <v>-5.0000000000000001E-3</v>
      </c>
      <c r="E14" s="1">
        <v>0.123</v>
      </c>
      <c r="F14" s="1">
        <v>0.114</v>
      </c>
      <c r="G14" s="14"/>
      <c r="H14" s="14"/>
      <c r="I14" s="14"/>
    </row>
    <row r="15" spans="1:9" ht="15.75" customHeight="1">
      <c r="G15" s="14"/>
      <c r="H15" s="14"/>
      <c r="I15" s="14"/>
    </row>
    <row r="16" spans="1:9" ht="15.75" customHeight="1">
      <c r="A16" s="1" t="s">
        <v>218</v>
      </c>
      <c r="B16" s="1" t="s">
        <v>199</v>
      </c>
      <c r="C16" s="1" t="s">
        <v>213</v>
      </c>
      <c r="D16" s="1">
        <v>-0.24</v>
      </c>
      <c r="E16" s="1">
        <v>-0.247</v>
      </c>
      <c r="F16" s="1">
        <v>-0.26100000000000001</v>
      </c>
      <c r="G16" s="14">
        <v>7.5361000000000002</v>
      </c>
      <c r="H16" s="14">
        <v>7.4</v>
      </c>
      <c r="I16" s="14">
        <v>7.21</v>
      </c>
    </row>
    <row r="17" spans="1:9" ht="15.75" customHeight="1">
      <c r="B17" s="1" t="s">
        <v>201</v>
      </c>
      <c r="C17" s="1" t="s">
        <v>219</v>
      </c>
      <c r="D17" s="1">
        <v>-0.24</v>
      </c>
      <c r="E17" s="1">
        <v>-0.247</v>
      </c>
      <c r="F17" s="1">
        <v>-0.26100000000000001</v>
      </c>
      <c r="G17" s="14"/>
      <c r="H17" s="14"/>
      <c r="I17" s="14"/>
    </row>
    <row r="18" spans="1:9" ht="15.75" customHeight="1">
      <c r="B18" s="1" t="s">
        <v>203</v>
      </c>
      <c r="C18" s="1" t="s">
        <v>214</v>
      </c>
      <c r="D18" s="1">
        <v>-0.29499999999999998</v>
      </c>
      <c r="E18" s="1">
        <v>-0.32300000000000001</v>
      </c>
      <c r="F18" s="1">
        <v>-0.33500000000000002</v>
      </c>
      <c r="G18" s="14"/>
      <c r="H18" s="14"/>
      <c r="I18" s="14"/>
    </row>
    <row r="19" spans="1:9" ht="15.75" customHeight="1">
      <c r="B19" s="1" t="s">
        <v>205</v>
      </c>
      <c r="C19" s="1" t="s">
        <v>215</v>
      </c>
      <c r="D19" s="1">
        <v>-4.2999999999999997E-2</v>
      </c>
      <c r="E19" s="1">
        <v>6.8000000000000005E-2</v>
      </c>
      <c r="F19" s="1">
        <v>0.06</v>
      </c>
      <c r="G19" s="14"/>
      <c r="H19" s="14"/>
      <c r="I19" s="14"/>
    </row>
    <row r="20" spans="1:9" ht="15.75" customHeight="1">
      <c r="B20" s="1" t="s">
        <v>207</v>
      </c>
      <c r="C20" s="1" t="s">
        <v>216</v>
      </c>
      <c r="D20" s="1">
        <v>-4.2999999999999997E-2</v>
      </c>
      <c r="E20" s="1">
        <v>6.8000000000000005E-2</v>
      </c>
      <c r="F20" s="1">
        <v>0.06</v>
      </c>
      <c r="G20" s="14"/>
      <c r="H20" s="14"/>
      <c r="I20" s="14"/>
    </row>
    <row r="21" spans="1:9" ht="15.75" customHeight="1">
      <c r="B21" s="1" t="s">
        <v>209</v>
      </c>
      <c r="C21" s="1" t="s">
        <v>220</v>
      </c>
      <c r="D21" s="1">
        <v>2E-3</v>
      </c>
      <c r="E21" s="1">
        <v>0.128</v>
      </c>
      <c r="F21" s="1">
        <v>0.11700000000000001</v>
      </c>
      <c r="G21" s="14"/>
      <c r="H21" s="14"/>
      <c r="I21" s="14"/>
    </row>
    <row r="22" spans="1:9" ht="15.75" customHeight="1">
      <c r="G22" s="14"/>
      <c r="H22" s="14"/>
      <c r="I22" s="14"/>
    </row>
    <row r="23" spans="1:9" ht="15.75" customHeight="1">
      <c r="A23" s="1" t="s">
        <v>221</v>
      </c>
      <c r="B23" s="1" t="s">
        <v>199</v>
      </c>
      <c r="C23" s="1" t="s">
        <v>222</v>
      </c>
      <c r="D23" s="1">
        <v>-0.27200000000000002</v>
      </c>
      <c r="E23" s="1">
        <v>-0.27900000000000003</v>
      </c>
      <c r="F23" s="1">
        <v>-0.29420000000000002</v>
      </c>
      <c r="G23" s="14">
        <v>8.4090000000000007</v>
      </c>
      <c r="H23" s="14">
        <v>8.2928999999999995</v>
      </c>
      <c r="I23" s="14">
        <v>7.64</v>
      </c>
    </row>
    <row r="24" spans="1:9" ht="15.75" customHeight="1">
      <c r="B24" s="1" t="s">
        <v>201</v>
      </c>
      <c r="C24" s="1" t="s">
        <v>223</v>
      </c>
      <c r="D24" s="1">
        <v>-0.27200000000000002</v>
      </c>
      <c r="E24" s="1">
        <v>-0.27900000000000003</v>
      </c>
      <c r="F24" s="1">
        <v>-0.29420000000000002</v>
      </c>
    </row>
    <row r="25" spans="1:9" ht="15.75" customHeight="1">
      <c r="B25" s="1" t="s">
        <v>203</v>
      </c>
      <c r="C25" s="1" t="s">
        <v>224</v>
      </c>
      <c r="D25" s="1">
        <v>-0.27200000000000002</v>
      </c>
      <c r="E25" s="1">
        <v>-0.27900000000000003</v>
      </c>
      <c r="F25" s="1">
        <v>-0.29420000000000002</v>
      </c>
    </row>
    <row r="26" spans="1:9" ht="15.75" customHeight="1">
      <c r="B26" s="1" t="s">
        <v>205</v>
      </c>
      <c r="C26" s="1" t="s">
        <v>225</v>
      </c>
      <c r="D26" s="1">
        <v>-0.126</v>
      </c>
      <c r="E26" s="1">
        <v>-2.3E-2</v>
      </c>
      <c r="F26" s="1">
        <v>-3.1099999999999999E-2</v>
      </c>
    </row>
    <row r="27" spans="1:9" ht="15.75" customHeight="1">
      <c r="B27" s="1" t="s">
        <v>207</v>
      </c>
      <c r="C27" s="1" t="s">
        <v>226</v>
      </c>
      <c r="D27" s="1">
        <v>-0.126</v>
      </c>
      <c r="E27" s="1">
        <v>-2.3E-2</v>
      </c>
      <c r="F27" s="1">
        <v>-3.1099999999999999E-2</v>
      </c>
    </row>
    <row r="28" spans="1:9" ht="15.75" customHeight="1">
      <c r="B28" s="1" t="s">
        <v>209</v>
      </c>
      <c r="C28" s="1" t="s">
        <v>227</v>
      </c>
      <c r="D28" s="1">
        <v>-0.126</v>
      </c>
      <c r="E28" s="1">
        <v>-2.3E-2</v>
      </c>
      <c r="F28" s="1">
        <v>-3.1099999999999999E-2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EAEF-6809-4945-BD8E-6D3EAB9DAD70}">
  <sheetPr>
    <outlinePr summaryBelow="0" summaryRight="0"/>
  </sheetPr>
  <dimension ref="A1:AA95"/>
  <sheetViews>
    <sheetView workbookViewId="0"/>
  </sheetViews>
  <sheetFormatPr defaultColWidth="12.6640625" defaultRowHeight="15.75" customHeight="1"/>
  <cols>
    <col min="1" max="2" width="12.6640625" style="2"/>
    <col min="3" max="3" width="15" style="2" customWidth="1"/>
    <col min="4" max="4" width="12.6640625" style="2"/>
    <col min="5" max="5" width="15" style="2" customWidth="1"/>
    <col min="6" max="6" width="14.44140625" style="2" customWidth="1"/>
    <col min="7" max="16384" width="12.6640625" style="2"/>
  </cols>
  <sheetData>
    <row r="1" spans="1:27" ht="15.75" customHeight="1">
      <c r="B1" s="1" t="s">
        <v>228</v>
      </c>
      <c r="D1" s="71" t="s">
        <v>36</v>
      </c>
      <c r="E1" s="5"/>
      <c r="F1" s="5"/>
      <c r="G1" s="5"/>
      <c r="H1" s="71" t="s">
        <v>39</v>
      </c>
      <c r="I1" s="5"/>
      <c r="J1" s="5"/>
      <c r="K1" s="5"/>
      <c r="L1" s="71" t="s">
        <v>38</v>
      </c>
      <c r="M1" s="5"/>
      <c r="N1" s="5"/>
      <c r="O1" s="5"/>
      <c r="P1" s="72"/>
      <c r="Q1" s="72"/>
      <c r="R1" s="72"/>
      <c r="S1" s="72"/>
      <c r="T1" s="72"/>
      <c r="U1" s="72"/>
      <c r="V1" s="72"/>
      <c r="W1" s="72"/>
      <c r="X1" s="71"/>
      <c r="Y1" s="5"/>
      <c r="Z1" s="5"/>
      <c r="AA1" s="5"/>
    </row>
    <row r="2" spans="1:27" ht="15.75" customHeight="1">
      <c r="B2" s="1" t="s">
        <v>229</v>
      </c>
      <c r="C2" s="1" t="s">
        <v>230</v>
      </c>
      <c r="F2" s="1" t="s">
        <v>229</v>
      </c>
      <c r="G2" s="1" t="s">
        <v>229</v>
      </c>
      <c r="J2" s="1" t="s">
        <v>229</v>
      </c>
      <c r="K2" s="1" t="s">
        <v>229</v>
      </c>
      <c r="N2" s="1" t="s">
        <v>229</v>
      </c>
      <c r="O2" s="1" t="s">
        <v>229</v>
      </c>
      <c r="P2" s="72"/>
      <c r="Q2" s="72"/>
      <c r="R2" s="72"/>
      <c r="S2" s="72"/>
      <c r="T2" s="72"/>
      <c r="U2" s="72"/>
      <c r="V2" s="72"/>
      <c r="W2" s="72"/>
    </row>
    <row r="3" spans="1:27" ht="15.75" customHeight="1">
      <c r="A3" s="1" t="s">
        <v>231</v>
      </c>
      <c r="B3" s="1" t="s">
        <v>232</v>
      </c>
      <c r="C3" s="3" t="s">
        <v>232</v>
      </c>
      <c r="D3" s="9" t="s">
        <v>233</v>
      </c>
      <c r="E3" s="9" t="s">
        <v>234</v>
      </c>
      <c r="F3" s="1" t="s">
        <v>235</v>
      </c>
      <c r="G3" s="1" t="s">
        <v>236</v>
      </c>
      <c r="H3" s="9" t="s">
        <v>233</v>
      </c>
      <c r="I3" s="9" t="s">
        <v>234</v>
      </c>
      <c r="J3" s="1" t="s">
        <v>235</v>
      </c>
      <c r="K3" s="1" t="s">
        <v>236</v>
      </c>
      <c r="L3" s="9" t="s">
        <v>233</v>
      </c>
      <c r="M3" s="9" t="s">
        <v>234</v>
      </c>
      <c r="N3" s="1" t="s">
        <v>235</v>
      </c>
      <c r="O3" s="1" t="s">
        <v>236</v>
      </c>
      <c r="P3" s="72"/>
      <c r="Q3" s="72"/>
      <c r="R3" s="72"/>
      <c r="S3" s="72"/>
      <c r="T3" s="72"/>
      <c r="U3" s="72"/>
      <c r="V3" s="72"/>
      <c r="W3" s="72"/>
    </row>
    <row r="4" spans="1:27" ht="15.75" customHeight="1">
      <c r="A4" s="1" t="s">
        <v>237</v>
      </c>
      <c r="B4" s="1">
        <v>75.391999999999996</v>
      </c>
      <c r="C4" s="15">
        <f t="shared" ref="C4:C28" si="0">(B4/627.5)*27.2114</f>
        <v>3.2693575598406373</v>
      </c>
      <c r="D4" s="1">
        <v>-606.86797234000005</v>
      </c>
      <c r="E4" s="1">
        <v>-606.74681829999997</v>
      </c>
      <c r="F4" s="14">
        <f t="shared" ref="F4:F28" si="1">(E4-D4)*627.5095</f>
        <v>76.025311063429299</v>
      </c>
      <c r="G4" s="14">
        <f t="shared" ref="G4:G28" si="2">F4-B4</f>
        <v>0.63331106342930354</v>
      </c>
      <c r="H4" s="1">
        <v>-606.86903200999996</v>
      </c>
      <c r="I4" s="1">
        <v>-606.74828539999999</v>
      </c>
      <c r="J4" s="14">
        <f t="shared" ref="J4:J28" si="3">(I4-H4)*627.5095</f>
        <v>75.769644867775682</v>
      </c>
      <c r="K4" s="14">
        <f t="shared" ref="K4:K28" si="4">J4-B4</f>
        <v>0.37764486777568607</v>
      </c>
      <c r="L4" s="1">
        <v>-606.86871301999997</v>
      </c>
      <c r="M4" s="1">
        <v>-606.74827895999999</v>
      </c>
      <c r="N4" s="14">
        <f t="shared" ref="N4:N28" si="5">(M4-L4)*627.5095</f>
        <v>75.573516773557188</v>
      </c>
      <c r="O4" s="14">
        <f t="shared" ref="O4:O28" si="6">N4-B4</f>
        <v>0.18151677355719187</v>
      </c>
    </row>
    <row r="5" spans="1:27" ht="15.75" customHeight="1">
      <c r="A5" s="1" t="s">
        <v>238</v>
      </c>
      <c r="B5" s="1">
        <v>78.706999999999994</v>
      </c>
      <c r="C5" s="15">
        <f t="shared" si="0"/>
        <v>3.4131118084462151</v>
      </c>
      <c r="D5" s="1">
        <v>-246.64813179000001</v>
      </c>
      <c r="E5" s="1">
        <v>-246.53509987999999</v>
      </c>
      <c r="F5" s="14">
        <f t="shared" si="1"/>
        <v>70.928597328156229</v>
      </c>
      <c r="G5" s="14">
        <f t="shared" si="2"/>
        <v>-7.7784026718437644</v>
      </c>
      <c r="H5" s="1">
        <v>-246.64960074999999</v>
      </c>
      <c r="I5" s="1">
        <v>-246.53632630999999</v>
      </c>
      <c r="J5" s="14">
        <f t="shared" si="3"/>
        <v>71.080787207178659</v>
      </c>
      <c r="K5" s="14">
        <f t="shared" si="4"/>
        <v>-7.6262127928213346</v>
      </c>
      <c r="L5" s="1">
        <v>-246.64917245999999</v>
      </c>
      <c r="M5" s="1">
        <v>-246.53608496000001</v>
      </c>
      <c r="N5" s="14">
        <f t="shared" si="5"/>
        <v>70.963480581235928</v>
      </c>
      <c r="O5" s="14">
        <f t="shared" si="6"/>
        <v>-7.7435194187640661</v>
      </c>
    </row>
    <row r="6" spans="1:27" ht="15.75" customHeight="1">
      <c r="A6" s="1" t="s">
        <v>239</v>
      </c>
      <c r="B6" s="1">
        <v>65.673000000000002</v>
      </c>
      <c r="C6" s="15">
        <f t="shared" si="0"/>
        <v>2.8478952545019922</v>
      </c>
      <c r="D6" s="1">
        <v>-147.43311546000001</v>
      </c>
      <c r="E6" s="1">
        <v>-147.3289359</v>
      </c>
      <c r="F6" s="14">
        <f t="shared" si="1"/>
        <v>65.373663605823594</v>
      </c>
      <c r="G6" s="14">
        <f t="shared" si="2"/>
        <v>-0.29933639417640734</v>
      </c>
      <c r="H6" s="1">
        <v>-147.43415049999999</v>
      </c>
      <c r="I6" s="1">
        <v>-147.32957035999999</v>
      </c>
      <c r="J6" s="14">
        <f t="shared" si="3"/>
        <v>65.625031361327444</v>
      </c>
      <c r="K6" s="14">
        <f t="shared" si="4"/>
        <v>-4.7968638672557518E-2</v>
      </c>
      <c r="L6" s="1">
        <v>-147.43382127999999</v>
      </c>
      <c r="M6" s="1">
        <v>-147.32936742999999</v>
      </c>
      <c r="N6" s="14">
        <f t="shared" si="5"/>
        <v>65.545783186574212</v>
      </c>
      <c r="O6" s="14">
        <f t="shared" si="6"/>
        <v>-0.12721681342578961</v>
      </c>
    </row>
    <row r="7" spans="1:27" ht="15.75" customHeight="1">
      <c r="A7" s="1" t="s">
        <v>240</v>
      </c>
      <c r="B7" s="1">
        <v>57.283999999999999</v>
      </c>
      <c r="C7" s="15">
        <f t="shared" si="0"/>
        <v>2.4841081077290839</v>
      </c>
      <c r="D7" s="1">
        <v>-595.45011666000005</v>
      </c>
      <c r="E7" s="1">
        <v>-595.35936330000004</v>
      </c>
      <c r="F7" s="14">
        <f t="shared" si="1"/>
        <v>56.94859555692495</v>
      </c>
      <c r="G7" s="14">
        <f t="shared" si="2"/>
        <v>-0.33540444307504913</v>
      </c>
      <c r="H7" s="1">
        <v>-595.45105909999995</v>
      </c>
      <c r="I7" s="1">
        <v>-595.36314458000004</v>
      </c>
      <c r="J7" s="14">
        <f t="shared" si="3"/>
        <v>55.167196487885377</v>
      </c>
      <c r="K7" s="14">
        <f t="shared" si="4"/>
        <v>-2.1168035121146218</v>
      </c>
      <c r="L7" s="1">
        <v>-595.45074333000002</v>
      </c>
      <c r="M7" s="1">
        <v>-595.36275842999999</v>
      </c>
      <c r="N7" s="14">
        <f t="shared" si="5"/>
        <v>55.211360606573635</v>
      </c>
      <c r="O7" s="14">
        <f t="shared" si="6"/>
        <v>-2.0726393934263641</v>
      </c>
    </row>
    <row r="8" spans="1:27" ht="15.75" customHeight="1">
      <c r="A8" s="1" t="s">
        <v>241</v>
      </c>
      <c r="B8" s="1">
        <v>45.686999999999998</v>
      </c>
      <c r="C8" s="15">
        <f t="shared" si="0"/>
        <v>1.9812067439043823</v>
      </c>
      <c r="D8" s="1">
        <v>-235.22149582</v>
      </c>
      <c r="E8" s="1">
        <v>-235.14950309</v>
      </c>
      <c r="F8" s="14">
        <f t="shared" si="1"/>
        <v>45.17612200593824</v>
      </c>
      <c r="G8" s="14">
        <f t="shared" si="2"/>
        <v>-0.51087799406175805</v>
      </c>
      <c r="H8" s="1">
        <v>-235.2227086</v>
      </c>
      <c r="I8" s="1">
        <v>-235.14845939</v>
      </c>
      <c r="J8" s="14">
        <f t="shared" si="3"/>
        <v>46.592084642498108</v>
      </c>
      <c r="K8" s="14">
        <f t="shared" si="4"/>
        <v>0.90508464249811027</v>
      </c>
      <c r="L8" s="1">
        <v>-235.22233255</v>
      </c>
      <c r="M8" s="1">
        <v>-235.15005198</v>
      </c>
      <c r="N8" s="14">
        <f t="shared" si="5"/>
        <v>45.356744340417364</v>
      </c>
      <c r="O8" s="14">
        <f t="shared" si="6"/>
        <v>-0.33025565958263314</v>
      </c>
    </row>
    <row r="9" spans="1:27" ht="15.75" customHeight="1">
      <c r="A9" s="1" t="s">
        <v>242</v>
      </c>
      <c r="B9" s="1">
        <v>72.366</v>
      </c>
      <c r="C9" s="15">
        <f t="shared" si="0"/>
        <v>3.1381357329083666</v>
      </c>
      <c r="D9" s="1">
        <v>-136.05468461000001</v>
      </c>
      <c r="E9" s="1">
        <v>-135.93952977000001</v>
      </c>
      <c r="F9" s="14">
        <f t="shared" si="1"/>
        <v>72.260756070981515</v>
      </c>
      <c r="G9" s="14">
        <f t="shared" si="2"/>
        <v>-0.10524392901848501</v>
      </c>
      <c r="H9" s="1">
        <v>-136.05534175</v>
      </c>
      <c r="I9" s="1">
        <v>-135.94008098</v>
      </c>
      <c r="J9" s="14">
        <f t="shared" si="3"/>
        <v>72.327228152309928</v>
      </c>
      <c r="K9" s="14">
        <f t="shared" si="4"/>
        <v>-3.8771847690071581E-2</v>
      </c>
      <c r="L9" s="1">
        <v>-136.05512904</v>
      </c>
      <c r="M9" s="1">
        <v>-135.93991625999999</v>
      </c>
      <c r="N9" s="14">
        <f t="shared" si="5"/>
        <v>72.297113971414603</v>
      </c>
      <c r="O9" s="14">
        <f t="shared" si="6"/>
        <v>-6.8886028585396275E-2</v>
      </c>
    </row>
    <row r="10" spans="1:27" ht="15.75" customHeight="1">
      <c r="A10" s="1" t="s">
        <v>243</v>
      </c>
      <c r="B10" s="1">
        <v>8.1869999999999994</v>
      </c>
      <c r="C10" s="15">
        <f t="shared" si="0"/>
        <v>0.35502746103585658</v>
      </c>
      <c r="D10" s="1">
        <v>-242.71827895999999</v>
      </c>
      <c r="E10" s="1">
        <v>-242.70668834</v>
      </c>
      <c r="F10" s="14">
        <f t="shared" si="1"/>
        <v>7.2732241608853991</v>
      </c>
      <c r="G10" s="14">
        <f t="shared" si="2"/>
        <v>-0.91377583911460025</v>
      </c>
      <c r="H10" s="1">
        <v>-242.71972414000001</v>
      </c>
      <c r="I10" s="1">
        <v>-242.70757358</v>
      </c>
      <c r="J10" s="14">
        <f t="shared" si="3"/>
        <v>7.6245918303257332</v>
      </c>
      <c r="K10" s="14">
        <f t="shared" si="4"/>
        <v>-0.56240816967426621</v>
      </c>
      <c r="L10" s="1">
        <v>-242.71901029</v>
      </c>
      <c r="M10" s="1">
        <v>-242.70736443000001</v>
      </c>
      <c r="N10" s="14">
        <f t="shared" si="5"/>
        <v>7.3078877856620625</v>
      </c>
      <c r="O10" s="14">
        <f t="shared" si="6"/>
        <v>-0.87911221433793685</v>
      </c>
    </row>
    <row r="11" spans="1:27" ht="15.75" customHeight="1">
      <c r="A11" s="1" t="s">
        <v>244</v>
      </c>
      <c r="B11" s="1">
        <v>8.8309999999999995</v>
      </c>
      <c r="C11" s="15">
        <f t="shared" si="0"/>
        <v>0.38295437992031872</v>
      </c>
      <c r="D11" s="1">
        <v>-2568.3712768099999</v>
      </c>
      <c r="E11" s="1">
        <v>-2568.3575016599998</v>
      </c>
      <c r="F11" s="14">
        <f t="shared" si="1"/>
        <v>8.6440374890057186</v>
      </c>
      <c r="G11" s="14">
        <f t="shared" si="2"/>
        <v>-0.18696251099428096</v>
      </c>
      <c r="H11" s="1">
        <v>-2568.3725367500001</v>
      </c>
      <c r="I11" s="1">
        <v>-2568.3590535500002</v>
      </c>
      <c r="J11" s="14">
        <f t="shared" si="3"/>
        <v>8.4608360903261701</v>
      </c>
      <c r="K11" s="14">
        <f t="shared" si="4"/>
        <v>-0.37016390967382939</v>
      </c>
      <c r="L11" s="1">
        <v>-2568.3720595300001</v>
      </c>
      <c r="M11" s="1">
        <v>-2568.3586201100002</v>
      </c>
      <c r="N11" s="14">
        <f t="shared" si="5"/>
        <v>8.4333637244527146</v>
      </c>
      <c r="O11" s="14">
        <f t="shared" si="6"/>
        <v>-0.39763627554728487</v>
      </c>
    </row>
    <row r="12" spans="1:27" ht="15.75" customHeight="1">
      <c r="A12" s="1" t="s">
        <v>245</v>
      </c>
      <c r="B12" s="1">
        <v>10.44</v>
      </c>
      <c r="C12" s="15">
        <f t="shared" si="0"/>
        <v>0.45272831235059763</v>
      </c>
      <c r="D12" s="1">
        <v>-565.58557403999998</v>
      </c>
      <c r="E12" s="1">
        <v>-565.56932801999994</v>
      </c>
      <c r="F12" s="14">
        <f t="shared" si="1"/>
        <v>10.194531887214854</v>
      </c>
      <c r="G12" s="14">
        <f t="shared" si="2"/>
        <v>-0.24546811278514546</v>
      </c>
      <c r="H12" s="1">
        <v>-565.58625388999997</v>
      </c>
      <c r="I12" s="1">
        <v>-565.57033837999995</v>
      </c>
      <c r="J12" s="14">
        <f t="shared" si="3"/>
        <v>9.9871337223534429</v>
      </c>
      <c r="K12" s="14">
        <f t="shared" si="4"/>
        <v>-0.45286627764655663</v>
      </c>
      <c r="L12" s="1">
        <v>-565.58593900000005</v>
      </c>
      <c r="M12" s="1">
        <v>-565.57007228999998</v>
      </c>
      <c r="N12" s="14">
        <f t="shared" si="5"/>
        <v>9.9565112587879536</v>
      </c>
      <c r="O12" s="14">
        <f t="shared" si="6"/>
        <v>-0.48348874121204588</v>
      </c>
    </row>
    <row r="13" spans="1:27" ht="15.75" customHeight="1">
      <c r="A13" s="1" t="s">
        <v>246</v>
      </c>
      <c r="B13" s="1">
        <v>64.570999999999998</v>
      </c>
      <c r="C13" s="15">
        <f t="shared" si="0"/>
        <v>2.8001072659760955</v>
      </c>
      <c r="D13" s="1">
        <v>-4213.2106280799999</v>
      </c>
      <c r="E13" s="1">
        <v>-4213.1111565499996</v>
      </c>
      <c r="F13" s="14">
        <f t="shared" si="1"/>
        <v>62.419330054723787</v>
      </c>
      <c r="G13" s="14">
        <f t="shared" si="2"/>
        <v>-2.1516699452762111</v>
      </c>
      <c r="H13" s="1">
        <v>-4213.2173817100002</v>
      </c>
      <c r="I13" s="1">
        <v>-4213.11082093</v>
      </c>
      <c r="J13" s="14">
        <f t="shared" si="3"/>
        <v>66.867901777478352</v>
      </c>
      <c r="K13" s="14">
        <f t="shared" si="4"/>
        <v>2.2969017774783538</v>
      </c>
      <c r="L13" s="1">
        <v>-4213.2156001900003</v>
      </c>
      <c r="M13" s="1">
        <v>-4213.1068696299999</v>
      </c>
      <c r="N13" s="14">
        <f t="shared" si="5"/>
        <v>68.229459340550548</v>
      </c>
      <c r="O13" s="14">
        <f t="shared" si="6"/>
        <v>3.6584593405505501</v>
      </c>
    </row>
    <row r="14" spans="1:27" ht="15.75" customHeight="1">
      <c r="A14" s="1" t="s">
        <v>247</v>
      </c>
      <c r="B14" s="1">
        <v>59.917000000000002</v>
      </c>
      <c r="C14" s="15">
        <f t="shared" si="0"/>
        <v>2.5982875757768928</v>
      </c>
      <c r="D14" s="1">
        <v>-2099.83897832</v>
      </c>
      <c r="E14" s="1">
        <v>-2099.7435966899998</v>
      </c>
      <c r="F14" s="14">
        <f t="shared" si="1"/>
        <v>59.852878950640147</v>
      </c>
      <c r="G14" s="14">
        <f t="shared" si="2"/>
        <v>-6.4121049359854965E-2</v>
      </c>
      <c r="H14" s="1">
        <v>-2099.8455633499998</v>
      </c>
      <c r="I14" s="1">
        <v>-2099.7391993800002</v>
      </c>
      <c r="J14" s="14">
        <f t="shared" si="3"/>
        <v>66.744401632476652</v>
      </c>
      <c r="K14" s="14">
        <f t="shared" si="4"/>
        <v>6.8274016324766507</v>
      </c>
      <c r="L14" s="1">
        <v>-2099.8439189800001</v>
      </c>
      <c r="M14" s="1">
        <v>-2099.74554571</v>
      </c>
      <c r="N14" s="14">
        <f t="shared" si="5"/>
        <v>61.730161471151781</v>
      </c>
      <c r="O14" s="14">
        <f t="shared" si="6"/>
        <v>1.8131614711517798</v>
      </c>
    </row>
    <row r="15" spans="1:27" ht="15.75" customHeight="1">
      <c r="A15" s="1" t="s">
        <v>248</v>
      </c>
      <c r="B15" s="1">
        <v>48.045999999999999</v>
      </c>
      <c r="C15" s="15">
        <f t="shared" si="0"/>
        <v>2.0835042619920321</v>
      </c>
      <c r="D15" s="1">
        <v>-1739.6254039099999</v>
      </c>
      <c r="E15" s="1">
        <v>-1739.55321587</v>
      </c>
      <c r="F15" s="14">
        <f t="shared" si="1"/>
        <v>45.29868088631779</v>
      </c>
      <c r="G15" s="14">
        <f t="shared" si="2"/>
        <v>-2.7473191136822095</v>
      </c>
      <c r="H15" s="1">
        <v>-1739.6330630699999</v>
      </c>
      <c r="I15" s="1">
        <v>-1739.5545561599999</v>
      </c>
      <c r="J15" s="14">
        <f t="shared" si="3"/>
        <v>49.263831840637046</v>
      </c>
      <c r="K15" s="14">
        <f t="shared" si="4"/>
        <v>1.2178318406370465</v>
      </c>
      <c r="L15" s="1">
        <v>-1739.6313179000001</v>
      </c>
      <c r="M15" s="1">
        <v>-1739.5548238399999</v>
      </c>
      <c r="N15" s="14">
        <f t="shared" si="5"/>
        <v>48.000749343686991</v>
      </c>
      <c r="O15" s="14">
        <f t="shared" si="6"/>
        <v>-4.5250656313008619E-2</v>
      </c>
    </row>
    <row r="16" spans="1:27" ht="15.75" customHeight="1">
      <c r="A16" s="1" t="s">
        <v>249</v>
      </c>
      <c r="B16" s="1">
        <v>59.792000000000002</v>
      </c>
      <c r="C16" s="15">
        <f t="shared" si="0"/>
        <v>2.592866978167331</v>
      </c>
      <c r="D16" s="1">
        <v>-1640.3949642800001</v>
      </c>
      <c r="E16" s="1">
        <v>-1640.30006144</v>
      </c>
      <c r="F16" s="14">
        <f t="shared" si="1"/>
        <v>59.552433676999811</v>
      </c>
      <c r="G16" s="14">
        <f t="shared" si="2"/>
        <v>-0.2395663230001901</v>
      </c>
      <c r="H16" s="1">
        <v>-1640.4015983899999</v>
      </c>
      <c r="I16" s="1">
        <v>-1640.3054725</v>
      </c>
      <c r="J16" s="14">
        <f t="shared" si="3"/>
        <v>60.319909170916922</v>
      </c>
      <c r="K16" s="14">
        <f t="shared" si="4"/>
        <v>0.5279091709169208</v>
      </c>
      <c r="L16" s="1">
        <v>-1640.39998324</v>
      </c>
      <c r="M16" s="1">
        <v>-1640.30448568</v>
      </c>
      <c r="N16" s="14">
        <f t="shared" si="5"/>
        <v>59.925626126827858</v>
      </c>
      <c r="O16" s="14">
        <f t="shared" si="6"/>
        <v>0.13362612682785624</v>
      </c>
    </row>
    <row r="17" spans="1:15" ht="15.75" customHeight="1">
      <c r="A17" s="1" t="s">
        <v>250</v>
      </c>
      <c r="B17" s="1">
        <v>6.7649999999999997</v>
      </c>
      <c r="C17" s="15">
        <f t="shared" si="0"/>
        <v>0.29336274262948203</v>
      </c>
      <c r="D17" s="1">
        <v>-228.27207913999999</v>
      </c>
      <c r="E17" s="1">
        <v>-228.26222984</v>
      </c>
      <c r="F17" s="14">
        <f t="shared" si="1"/>
        <v>6.1805293183404935</v>
      </c>
      <c r="G17" s="14">
        <f t="shared" si="2"/>
        <v>-0.58447068165950622</v>
      </c>
      <c r="H17" s="1">
        <v>-228.27322100000001</v>
      </c>
      <c r="I17" s="1">
        <v>-228.26315166000001</v>
      </c>
      <c r="J17" s="14">
        <f t="shared" si="3"/>
        <v>6.3186065087307206</v>
      </c>
      <c r="K17" s="14">
        <f t="shared" si="4"/>
        <v>-0.44639349126927907</v>
      </c>
      <c r="L17" s="1">
        <v>-228.27264632000001</v>
      </c>
      <c r="M17" s="1">
        <v>-228.26291868000001</v>
      </c>
      <c r="N17" s="14">
        <f t="shared" si="5"/>
        <v>6.104186512576331</v>
      </c>
      <c r="O17" s="14">
        <f t="shared" si="6"/>
        <v>-0.66081348742366863</v>
      </c>
    </row>
    <row r="18" spans="1:15" ht="15.75" customHeight="1">
      <c r="A18" s="1" t="s">
        <v>251</v>
      </c>
      <c r="B18" s="1">
        <v>5.9669999999999996</v>
      </c>
      <c r="C18" s="15">
        <f t="shared" si="0"/>
        <v>0.25875764749003982</v>
      </c>
      <c r="D18" s="1">
        <v>-2553.9312356599999</v>
      </c>
      <c r="E18" s="1">
        <v>-2553.92225654</v>
      </c>
      <c r="F18" s="14">
        <f t="shared" si="1"/>
        <v>5.6344831015281187</v>
      </c>
      <c r="G18" s="14">
        <f t="shared" si="2"/>
        <v>-0.33251689847188093</v>
      </c>
      <c r="H18" s="1">
        <v>-2553.9325251800001</v>
      </c>
      <c r="I18" s="1">
        <v>-2553.9238517700001</v>
      </c>
      <c r="J18" s="14">
        <f t="shared" si="3"/>
        <v>5.4426471724129</v>
      </c>
      <c r="K18" s="14">
        <f t="shared" si="4"/>
        <v>-0.52435282758709967</v>
      </c>
      <c r="L18" s="1">
        <v>-2553.9320481300001</v>
      </c>
      <c r="M18" s="1">
        <v>-2553.9234128200001</v>
      </c>
      <c r="N18" s="14">
        <f t="shared" si="5"/>
        <v>5.4187390604733245</v>
      </c>
      <c r="O18" s="14">
        <f t="shared" si="6"/>
        <v>-0.5482609395266751</v>
      </c>
    </row>
    <row r="19" spans="1:15" ht="15.75" customHeight="1">
      <c r="A19" s="1" t="s">
        <v>252</v>
      </c>
      <c r="B19" s="1">
        <v>8.2539999999999996</v>
      </c>
      <c r="C19" s="15">
        <f t="shared" si="0"/>
        <v>0.35793290135458167</v>
      </c>
      <c r="D19" s="1">
        <v>-551.14483137000002</v>
      </c>
      <c r="E19" s="1">
        <v>-551.13223949999997</v>
      </c>
      <c r="F19" s="14">
        <f t="shared" si="1"/>
        <v>7.9015180477970848</v>
      </c>
      <c r="G19" s="14">
        <f t="shared" si="2"/>
        <v>-0.35248195220291478</v>
      </c>
      <c r="H19" s="1">
        <v>-551.14558896000005</v>
      </c>
      <c r="I19" s="1">
        <v>-551.13327259000005</v>
      </c>
      <c r="J19" s="14">
        <f t="shared" si="3"/>
        <v>7.7286391805198553</v>
      </c>
      <c r="K19" s="14">
        <f t="shared" si="4"/>
        <v>-0.52536081948014424</v>
      </c>
      <c r="L19" s="1">
        <v>-551.14526787</v>
      </c>
      <c r="M19" s="1">
        <v>-551.13298497999995</v>
      </c>
      <c r="N19" s="14">
        <f t="shared" si="5"/>
        <v>7.7076301624872157</v>
      </c>
      <c r="O19" s="14">
        <f t="shared" si="6"/>
        <v>-0.5463698375127839</v>
      </c>
    </row>
    <row r="20" spans="1:15" ht="15.75" customHeight="1">
      <c r="A20" s="1" t="s">
        <v>253</v>
      </c>
      <c r="B20" s="1">
        <v>40.411000000000001</v>
      </c>
      <c r="C20" s="15">
        <f t="shared" si="0"/>
        <v>1.7524141600000001</v>
      </c>
      <c r="D20" s="1">
        <v>-157.05076106000001</v>
      </c>
      <c r="E20" s="1">
        <v>-156.98355067</v>
      </c>
      <c r="F20" s="14">
        <f t="shared" si="1"/>
        <v>42.17515822371368</v>
      </c>
      <c r="G20" s="14">
        <f t="shared" si="2"/>
        <v>1.7641582237136788</v>
      </c>
      <c r="H20" s="1">
        <v>-157.05156011</v>
      </c>
      <c r="I20" s="1">
        <v>-156.98503063999999</v>
      </c>
      <c r="J20" s="14">
        <f t="shared" si="3"/>
        <v>41.747874454968816</v>
      </c>
      <c r="K20" s="14">
        <f t="shared" si="4"/>
        <v>1.3368744549688145</v>
      </c>
      <c r="L20" s="1">
        <v>-157.05130943</v>
      </c>
      <c r="M20" s="1">
        <v>-156.98470664999999</v>
      </c>
      <c r="N20" s="14">
        <f t="shared" si="5"/>
        <v>41.793877176416814</v>
      </c>
      <c r="O20" s="14">
        <f t="shared" si="6"/>
        <v>1.3828771764168124</v>
      </c>
    </row>
    <row r="21" spans="1:15" ht="15.75" customHeight="1">
      <c r="A21" s="1" t="s">
        <v>254</v>
      </c>
      <c r="B21" s="1">
        <v>1.972</v>
      </c>
      <c r="C21" s="15">
        <f t="shared" si="0"/>
        <v>8.5515347888446211E-2</v>
      </c>
      <c r="D21" s="1">
        <v>-132.70848011000001</v>
      </c>
      <c r="E21" s="1">
        <v>-132.70401670999999</v>
      </c>
      <c r="F21" s="14">
        <f t="shared" si="1"/>
        <v>2.8008259023126136</v>
      </c>
      <c r="G21" s="14">
        <f t="shared" si="2"/>
        <v>0.82882590231261366</v>
      </c>
      <c r="H21" s="1">
        <v>-132.70943131999999</v>
      </c>
      <c r="I21" s="1">
        <v>-132.70812746999999</v>
      </c>
      <c r="J21" s="14">
        <f t="shared" si="3"/>
        <v>0.81817826157457907</v>
      </c>
      <c r="K21" s="14">
        <f t="shared" si="4"/>
        <v>-1.153821738425421</v>
      </c>
      <c r="L21" s="1">
        <v>-132.70930575</v>
      </c>
      <c r="M21" s="1">
        <v>-132.70797411999999</v>
      </c>
      <c r="N21" s="14">
        <f t="shared" si="5"/>
        <v>0.83561047549121803</v>
      </c>
      <c r="O21" s="14">
        <f t="shared" si="6"/>
        <v>-1.1363895245087821</v>
      </c>
    </row>
    <row r="22" spans="1:15" ht="15.75" customHeight="1">
      <c r="A22" s="1" t="s">
        <v>255</v>
      </c>
      <c r="B22" s="1">
        <v>5.6529999999999996</v>
      </c>
      <c r="C22" s="15">
        <f t="shared" si="0"/>
        <v>0.24514110629482072</v>
      </c>
      <c r="D22" s="1">
        <v>-3333.5382936599999</v>
      </c>
      <c r="E22" s="1">
        <v>-3333.5342024900001</v>
      </c>
      <c r="F22" s="14">
        <f t="shared" si="1"/>
        <v>2.5672480409960983</v>
      </c>
      <c r="G22" s="14">
        <f t="shared" si="2"/>
        <v>-3.0857519590039013</v>
      </c>
      <c r="H22" s="1">
        <v>-3333.5402709199998</v>
      </c>
      <c r="I22" s="1">
        <v>-3333.5354813399999</v>
      </c>
      <c r="J22" s="14">
        <f t="shared" si="3"/>
        <v>3.0055069509167596</v>
      </c>
      <c r="K22" s="14">
        <f t="shared" si="4"/>
        <v>-2.64749304908324</v>
      </c>
      <c r="L22" s="1">
        <v>-3333.5395047000002</v>
      </c>
      <c r="M22" s="1">
        <v>-3333.5350591599999</v>
      </c>
      <c r="N22" s="14">
        <f t="shared" si="5"/>
        <v>2.7896185827764919</v>
      </c>
      <c r="O22" s="14">
        <f t="shared" si="6"/>
        <v>-2.8633814172235077</v>
      </c>
    </row>
    <row r="23" spans="1:15" ht="15.75" customHeight="1">
      <c r="A23" s="1" t="s">
        <v>256</v>
      </c>
      <c r="B23" s="1">
        <v>6.6959999999999997</v>
      </c>
      <c r="C23" s="15">
        <f t="shared" si="0"/>
        <v>0.29037057274900402</v>
      </c>
      <c r="D23" s="1">
        <v>-1220.17617079</v>
      </c>
      <c r="E23" s="1">
        <v>-1220.17020407</v>
      </c>
      <c r="F23" s="14">
        <f t="shared" si="1"/>
        <v>3.7441734838778871</v>
      </c>
      <c r="G23" s="14">
        <f t="shared" si="2"/>
        <v>-2.9518265161221127</v>
      </c>
      <c r="H23" s="1">
        <v>-1220.1776636699999</v>
      </c>
      <c r="I23" s="1">
        <v>-1220.17105601</v>
      </c>
      <c r="J23" s="14">
        <f t="shared" si="3"/>
        <v>4.1463694226898919</v>
      </c>
      <c r="K23" s="14">
        <f t="shared" si="4"/>
        <v>-2.5496305773101078</v>
      </c>
      <c r="L23" s="1">
        <v>-1220.1770807600001</v>
      </c>
      <c r="M23" s="1">
        <v>-1220.17079739</v>
      </c>
      <c r="N23" s="14">
        <f t="shared" si="5"/>
        <v>3.9428743670898294</v>
      </c>
      <c r="O23" s="14">
        <f t="shared" si="6"/>
        <v>-2.7531256329101703</v>
      </c>
    </row>
    <row r="24" spans="1:15" ht="15.75" customHeight="1">
      <c r="A24" s="1" t="s">
        <v>257</v>
      </c>
      <c r="B24" s="1">
        <v>10.736000000000001</v>
      </c>
      <c r="C24" s="15">
        <f t="shared" si="0"/>
        <v>0.46556428749003992</v>
      </c>
      <c r="D24" s="1">
        <v>-860.00729709999996</v>
      </c>
      <c r="E24" s="1">
        <v>-859.99504293999996</v>
      </c>
      <c r="F24" s="14">
        <f t="shared" si="1"/>
        <v>7.6896018145185456</v>
      </c>
      <c r="G24" s="14">
        <f t="shared" si="2"/>
        <v>-3.046398185481455</v>
      </c>
      <c r="H24" s="1">
        <v>-860.00935981999999</v>
      </c>
      <c r="I24" s="1">
        <v>-859.99631426999997</v>
      </c>
      <c r="J24" s="14">
        <f t="shared" si="3"/>
        <v>8.1862065577345895</v>
      </c>
      <c r="K24" s="14">
        <f t="shared" si="4"/>
        <v>-2.5497934422654112</v>
      </c>
      <c r="L24" s="1">
        <v>-860.00860409999996</v>
      </c>
      <c r="M24" s="1">
        <v>-859.99588180000001</v>
      </c>
      <c r="N24" s="14">
        <f t="shared" si="5"/>
        <v>7.9833641118188359</v>
      </c>
      <c r="O24" s="14">
        <f t="shared" si="6"/>
        <v>-2.7526358881811648</v>
      </c>
    </row>
    <row r="25" spans="1:15" ht="15.75" customHeight="1">
      <c r="A25" s="1" t="s">
        <v>258</v>
      </c>
      <c r="B25" s="1">
        <v>8.0630000000000006</v>
      </c>
      <c r="C25" s="15">
        <f t="shared" si="0"/>
        <v>0.3496502282071714</v>
      </c>
      <c r="D25" s="1">
        <v>-760.68717425</v>
      </c>
      <c r="E25" s="1">
        <v>-760.67768028</v>
      </c>
      <c r="F25" s="14">
        <f t="shared" si="1"/>
        <v>5.9575563677112839</v>
      </c>
      <c r="G25" s="14">
        <f t="shared" si="2"/>
        <v>-2.1054436322887167</v>
      </c>
      <c r="H25" s="1">
        <v>-760.68755374</v>
      </c>
      <c r="I25" s="1">
        <v>-760.67784712000002</v>
      </c>
      <c r="J25" s="14">
        <f t="shared" si="3"/>
        <v>6.0909962628739756</v>
      </c>
      <c r="K25" s="14">
        <f t="shared" si="4"/>
        <v>-1.9720037371260251</v>
      </c>
      <c r="L25" s="1">
        <v>-760.68746107000004</v>
      </c>
      <c r="M25" s="1">
        <v>-760.67786691000003</v>
      </c>
      <c r="N25" s="14">
        <f t="shared" si="5"/>
        <v>6.0204265445237732</v>
      </c>
      <c r="O25" s="14">
        <f t="shared" si="6"/>
        <v>-2.0425734554762274</v>
      </c>
    </row>
    <row r="26" spans="1:15" ht="15.75" customHeight="1">
      <c r="A26" s="1" t="s">
        <v>259</v>
      </c>
      <c r="B26" s="1">
        <v>12.273</v>
      </c>
      <c r="C26" s="15">
        <f t="shared" si="0"/>
        <v>0.53221595569721114</v>
      </c>
      <c r="D26" s="1">
        <v>-1853.7918692600001</v>
      </c>
      <c r="E26" s="1">
        <v>-1853.7736686999999</v>
      </c>
      <c r="F26" s="14">
        <f t="shared" si="1"/>
        <v>11.421024305442844</v>
      </c>
      <c r="G26" s="14">
        <f t="shared" si="2"/>
        <v>-0.85197569455715616</v>
      </c>
      <c r="H26" s="1">
        <v>-1853.7956468899999</v>
      </c>
      <c r="I26" s="1">
        <v>-1853.7772359999999</v>
      </c>
      <c r="J26" s="14">
        <f t="shared" si="3"/>
        <v>11.553008378480751</v>
      </c>
      <c r="K26" s="14">
        <f t="shared" si="4"/>
        <v>-0.71999162151924878</v>
      </c>
      <c r="L26" s="1">
        <v>-1853.7943547899999</v>
      </c>
      <c r="M26" s="1">
        <v>-1853.7762038599999</v>
      </c>
      <c r="N26" s="14">
        <f t="shared" si="5"/>
        <v>11.389881008864545</v>
      </c>
      <c r="O26" s="14">
        <f t="shared" si="6"/>
        <v>-0.88311899113545422</v>
      </c>
    </row>
    <row r="27" spans="1:15" ht="15.75" customHeight="1">
      <c r="A27" s="1" t="s">
        <v>260</v>
      </c>
      <c r="B27" s="1">
        <v>12.429</v>
      </c>
      <c r="C27" s="15">
        <f t="shared" si="0"/>
        <v>0.53898086151394431</v>
      </c>
      <c r="D27" s="1">
        <v>-4179.43342398</v>
      </c>
      <c r="E27" s="1">
        <v>-4179.4136742800001</v>
      </c>
      <c r="F27" s="14">
        <f t="shared" si="1"/>
        <v>12.393124372099967</v>
      </c>
      <c r="G27" s="14">
        <f t="shared" si="2"/>
        <v>-3.587562790003318E-2</v>
      </c>
      <c r="H27" s="1">
        <v>-4179.4369595899998</v>
      </c>
      <c r="I27" s="1">
        <v>-4179.4176934999996</v>
      </c>
      <c r="J27" s="14">
        <f t="shared" si="3"/>
        <v>12.089654502981176</v>
      </c>
      <c r="K27" s="14">
        <f t="shared" si="4"/>
        <v>-0.3393454970188241</v>
      </c>
      <c r="L27" s="1">
        <v>-4179.4358169999996</v>
      </c>
      <c r="M27" s="1">
        <v>-4179.4165148800002</v>
      </c>
      <c r="N27" s="14">
        <f t="shared" si="5"/>
        <v>12.112263669724697</v>
      </c>
      <c r="O27" s="14">
        <f t="shared" si="6"/>
        <v>-0.31673633027530279</v>
      </c>
    </row>
    <row r="28" spans="1:15" ht="15.75" customHeight="1">
      <c r="A28" s="1" t="s">
        <v>261</v>
      </c>
      <c r="B28" s="1">
        <v>13.381</v>
      </c>
      <c r="C28" s="15">
        <f t="shared" si="0"/>
        <v>0.58026413290836654</v>
      </c>
      <c r="D28" s="1">
        <v>-2176.6505220399999</v>
      </c>
      <c r="E28" s="1">
        <v>-2176.62929768</v>
      </c>
      <c r="F28" s="14">
        <f t="shared" si="1"/>
        <v>13.318487531360747</v>
      </c>
      <c r="G28" s="14">
        <f t="shared" si="2"/>
        <v>-6.2512468639253527E-2</v>
      </c>
      <c r="H28" s="1">
        <v>-2176.65348571</v>
      </c>
      <c r="I28" s="1">
        <v>-2176.6328413000001</v>
      </c>
      <c r="J28" s="14">
        <f t="shared" si="3"/>
        <v>12.954563396852121</v>
      </c>
      <c r="K28" s="14">
        <f t="shared" si="4"/>
        <v>-0.42643660314787901</v>
      </c>
      <c r="L28" s="1">
        <v>-2176.6525246299998</v>
      </c>
      <c r="M28" s="1">
        <v>-2176.63181996</v>
      </c>
      <c r="N28" s="14">
        <f t="shared" si="5"/>
        <v>12.99237711921381</v>
      </c>
      <c r="O28" s="14">
        <f t="shared" si="6"/>
        <v>-0.38862288078619045</v>
      </c>
    </row>
    <row r="30" spans="1:15" ht="15.75" customHeight="1">
      <c r="C30" s="73"/>
      <c r="F30" s="1" t="s">
        <v>6</v>
      </c>
      <c r="G30" s="74">
        <f t="array" ref="G30">SUM(ABS(G4:G28))/ROWS(G4:G28)</f>
        <v>1.2885478852868189</v>
      </c>
      <c r="J30" s="1" t="s">
        <v>6</v>
      </c>
      <c r="K30" s="74">
        <f t="array" ref="K30">SUM(ABS(K4:K28))/ROWS(K4:K28)</f>
        <v>1.5423786775710999</v>
      </c>
      <c r="N30" s="1" t="s">
        <v>6</v>
      </c>
      <c r="O30" s="74">
        <f t="array" ref="O30">SUM(ABS(O4:O28))/ROWS(O4:O28)</f>
        <v>1.3683869789863456</v>
      </c>
    </row>
    <row r="31" spans="1:15" ht="15.75" customHeight="1">
      <c r="C31" s="73"/>
      <c r="F31" s="1" t="s">
        <v>262</v>
      </c>
      <c r="G31" s="74">
        <f t="array" ref="G31">SQRT(SUM(ABS(G4:G28)^2)/ROWS(G4:G28))</f>
        <v>2.1128483911478808</v>
      </c>
      <c r="J31" s="1" t="s">
        <v>262</v>
      </c>
      <c r="K31" s="74">
        <f t="array" ref="K31">SQRT(SUM(ABS(K4:K28)^2)/ROWS(K4:K28))</f>
        <v>2.4207369910841665</v>
      </c>
      <c r="N31" s="1" t="s">
        <v>262</v>
      </c>
      <c r="O31" s="74">
        <f t="array" ref="O31">SQRT(SUM(ABS(O4:O28)^2)/ROWS(O4:O28))</f>
        <v>2.1454687038078024</v>
      </c>
    </row>
    <row r="33" spans="1:11" ht="15.75" customHeight="1">
      <c r="D33" s="75" t="s">
        <v>263</v>
      </c>
      <c r="E33" s="5"/>
      <c r="F33" s="5"/>
      <c r="G33" s="5"/>
      <c r="H33" s="75" t="s">
        <v>264</v>
      </c>
      <c r="I33" s="5"/>
      <c r="J33" s="5"/>
      <c r="K33" s="5"/>
    </row>
    <row r="34" spans="1:11" ht="15.75" customHeight="1">
      <c r="B34" s="1" t="s">
        <v>229</v>
      </c>
      <c r="C34" s="1" t="s">
        <v>230</v>
      </c>
      <c r="D34" s="32"/>
      <c r="E34" s="32"/>
      <c r="F34" s="1" t="s">
        <v>229</v>
      </c>
      <c r="G34" s="1" t="s">
        <v>229</v>
      </c>
      <c r="H34" s="32"/>
      <c r="I34" s="32"/>
      <c r="J34" s="1" t="s">
        <v>229</v>
      </c>
      <c r="K34" s="1" t="s">
        <v>229</v>
      </c>
    </row>
    <row r="35" spans="1:11" ht="15.75" customHeight="1">
      <c r="A35" s="1" t="s">
        <v>231</v>
      </c>
      <c r="B35" s="1" t="s">
        <v>232</v>
      </c>
      <c r="C35" s="3" t="s">
        <v>232</v>
      </c>
      <c r="D35" s="76" t="s">
        <v>233</v>
      </c>
      <c r="E35" s="76" t="s">
        <v>234</v>
      </c>
      <c r="F35" s="32" t="s">
        <v>235</v>
      </c>
      <c r="G35" s="32" t="s">
        <v>236</v>
      </c>
      <c r="H35" s="76" t="s">
        <v>233</v>
      </c>
      <c r="I35" s="76" t="s">
        <v>234</v>
      </c>
      <c r="J35" s="32" t="s">
        <v>235</v>
      </c>
      <c r="K35" s="32" t="s">
        <v>236</v>
      </c>
    </row>
    <row r="36" spans="1:11" ht="15.75" customHeight="1">
      <c r="A36" s="1" t="s">
        <v>237</v>
      </c>
      <c r="B36" s="1">
        <v>75.391999999999996</v>
      </c>
      <c r="C36" s="15">
        <f t="shared" ref="C36:C60" si="7">(B36/627.5)*27.2114</f>
        <v>3.2693575598406373</v>
      </c>
      <c r="D36" s="1">
        <v>-606.86890800000003</v>
      </c>
      <c r="E36" s="1">
        <v>-606.74812349000001</v>
      </c>
      <c r="F36" s="14">
        <f t="shared" ref="F36:F60" si="8">(E36-D36)*627.5095</f>
        <v>75.793427477858387</v>
      </c>
      <c r="G36" s="14">
        <f t="shared" ref="G36:G60" si="9">F36-B36</f>
        <v>0.40142747785839106</v>
      </c>
      <c r="H36" s="1">
        <v>-606.86853721</v>
      </c>
      <c r="I36" s="1">
        <v>-606.74830264000002</v>
      </c>
      <c r="J36" s="14">
        <f t="shared" ref="J36:J60" si="10">(I36-H36)*627.5095</f>
        <v>75.448334903402213</v>
      </c>
      <c r="K36" s="14">
        <f t="shared" ref="K36:K60" si="11">J36-B36</f>
        <v>5.6334903402216696E-2</v>
      </c>
    </row>
    <row r="37" spans="1:11" ht="15.75" customHeight="1">
      <c r="A37" s="1" t="s">
        <v>238</v>
      </c>
      <c r="B37" s="1">
        <v>78.706999999999994</v>
      </c>
      <c r="C37" s="15">
        <f t="shared" si="7"/>
        <v>3.4131118084462151</v>
      </c>
      <c r="D37" s="1">
        <v>-246.64953503999999</v>
      </c>
      <c r="E37" s="1">
        <v>-246.53621555000001</v>
      </c>
      <c r="F37" s="14">
        <f t="shared" si="8"/>
        <v>71.109056510142921</v>
      </c>
      <c r="G37" s="14">
        <f t="shared" si="9"/>
        <v>-7.597943489857073</v>
      </c>
      <c r="H37" s="1">
        <v>-246.64892613000001</v>
      </c>
      <c r="I37" s="1">
        <v>-246.53597504000001</v>
      </c>
      <c r="J37" s="14">
        <f t="shared" si="10"/>
        <v>70.877882010352309</v>
      </c>
      <c r="K37" s="14">
        <f t="shared" si="11"/>
        <v>-7.8291179896476848</v>
      </c>
    </row>
    <row r="38" spans="1:11" ht="15.75" customHeight="1">
      <c r="A38" s="1" t="s">
        <v>239</v>
      </c>
      <c r="B38" s="1">
        <v>65.673000000000002</v>
      </c>
      <c r="C38" s="15">
        <f t="shared" si="7"/>
        <v>2.8478952545019922</v>
      </c>
      <c r="D38" s="1">
        <v>-147.43402470000001</v>
      </c>
      <c r="E38" s="1">
        <v>-147.32947160000001</v>
      </c>
      <c r="F38" s="14">
        <f t="shared" si="8"/>
        <v>65.608063504452474</v>
      </c>
      <c r="G38" s="14">
        <f t="shared" si="9"/>
        <v>-6.4936495547527784E-2</v>
      </c>
      <c r="H38" s="1">
        <v>-147.43369175000001</v>
      </c>
      <c r="I38" s="1">
        <v>-147.3293166</v>
      </c>
      <c r="J38" s="14">
        <f t="shared" si="10"/>
        <v>65.496398188931181</v>
      </c>
      <c r="K38" s="14">
        <f t="shared" si="11"/>
        <v>-0.17660181106882078</v>
      </c>
    </row>
    <row r="39" spans="1:11" ht="15.75" customHeight="1">
      <c r="A39" s="1" t="s">
        <v>240</v>
      </c>
      <c r="B39" s="1">
        <v>57.283999999999999</v>
      </c>
      <c r="C39" s="15">
        <f t="shared" si="7"/>
        <v>2.4841081077290839</v>
      </c>
      <c r="D39" s="1">
        <v>-595.45091167999999</v>
      </c>
      <c r="E39" s="1">
        <v>-595.36305013000003</v>
      </c>
      <c r="F39" s="14">
        <f t="shared" si="8"/>
        <v>55.133957309697941</v>
      </c>
      <c r="G39" s="14">
        <f t="shared" si="9"/>
        <v>-2.1500426903020582</v>
      </c>
      <c r="H39" s="1">
        <v>-595.45059479999998</v>
      </c>
      <c r="I39" s="1">
        <v>-595.36220892999995</v>
      </c>
      <c r="J39" s="14">
        <f t="shared" si="10"/>
        <v>55.462973090780451</v>
      </c>
      <c r="K39" s="14">
        <f t="shared" si="11"/>
        <v>-1.8210269092195475</v>
      </c>
    </row>
    <row r="40" spans="1:11" ht="15.75" customHeight="1">
      <c r="A40" s="1" t="s">
        <v>241</v>
      </c>
      <c r="B40" s="1">
        <v>45.686999999999998</v>
      </c>
      <c r="C40" s="15">
        <f t="shared" si="7"/>
        <v>1.9812067439043823</v>
      </c>
      <c r="D40" s="1">
        <v>-235.22261735000001</v>
      </c>
      <c r="E40" s="1">
        <v>-235.14923626999999</v>
      </c>
      <c r="F40" s="14">
        <f t="shared" si="8"/>
        <v>46.047324820271626</v>
      </c>
      <c r="G40" s="14">
        <f t="shared" si="9"/>
        <v>0.36032482027162871</v>
      </c>
      <c r="H40" s="1">
        <v>-235.22212596</v>
      </c>
      <c r="I40" s="1">
        <v>-235.14995711</v>
      </c>
      <c r="J40" s="14">
        <f t="shared" si="10"/>
        <v>45.28663897907316</v>
      </c>
      <c r="K40" s="14">
        <f t="shared" si="11"/>
        <v>-0.40036102092683734</v>
      </c>
    </row>
    <row r="41" spans="1:11" ht="15.75" customHeight="1">
      <c r="A41" s="1" t="s">
        <v>242</v>
      </c>
      <c r="B41" s="1">
        <v>72.366</v>
      </c>
      <c r="C41" s="15">
        <f t="shared" si="7"/>
        <v>3.1381357329083666</v>
      </c>
      <c r="D41" s="1">
        <v>-136.05523862000001</v>
      </c>
      <c r="E41" s="1">
        <v>-135.93999295</v>
      </c>
      <c r="F41" s="14">
        <f t="shared" si="8"/>
        <v>72.317752758869574</v>
      </c>
      <c r="G41" s="14">
        <f t="shared" si="9"/>
        <v>-4.8247241130425778E-2</v>
      </c>
      <c r="H41" s="1">
        <v>-136.05505255</v>
      </c>
      <c r="I41" s="1">
        <v>-135.93986618</v>
      </c>
      <c r="J41" s="14">
        <f t="shared" si="10"/>
        <v>72.280541445517215</v>
      </c>
      <c r="K41" s="14">
        <f t="shared" si="11"/>
        <v>-8.5458554482784166E-2</v>
      </c>
    </row>
    <row r="42" spans="1:11" ht="15.75" customHeight="1">
      <c r="A42" s="1" t="s">
        <v>243</v>
      </c>
      <c r="B42" s="1">
        <v>8.1869999999999994</v>
      </c>
      <c r="C42" s="15">
        <f t="shared" si="7"/>
        <v>0.35502746103585658</v>
      </c>
      <c r="D42" s="1">
        <v>-242.71958004000001</v>
      </c>
      <c r="E42" s="1">
        <v>-242.70750068999999</v>
      </c>
      <c r="F42" s="14">
        <f t="shared" si="8"/>
        <v>7.579906878838683</v>
      </c>
      <c r="G42" s="14">
        <f t="shared" si="9"/>
        <v>-0.60709312116131642</v>
      </c>
      <c r="H42" s="1">
        <v>-242.71890060000001</v>
      </c>
      <c r="I42" s="1">
        <v>-242.70726094</v>
      </c>
      <c r="J42" s="14">
        <f t="shared" si="10"/>
        <v>7.3039972267790194</v>
      </c>
      <c r="K42" s="14">
        <f t="shared" si="11"/>
        <v>-0.88300277322097998</v>
      </c>
    </row>
    <row r="43" spans="1:11" ht="15.75" customHeight="1">
      <c r="A43" s="1" t="s">
        <v>244</v>
      </c>
      <c r="B43" s="1">
        <v>8.8309999999999995</v>
      </c>
      <c r="C43" s="15">
        <f t="shared" si="7"/>
        <v>0.38295437992031872</v>
      </c>
      <c r="D43" s="1">
        <v>-2568.3723203999998</v>
      </c>
      <c r="E43" s="1">
        <v>-2568.3588439199998</v>
      </c>
      <c r="F43" s="14">
        <f t="shared" si="8"/>
        <v>8.4566192265653033</v>
      </c>
      <c r="G43" s="14">
        <f t="shared" si="9"/>
        <v>-0.37438077343469622</v>
      </c>
      <c r="H43" s="1">
        <v>-2568.3719216099998</v>
      </c>
      <c r="I43" s="1">
        <v>-2568.35847139</v>
      </c>
      <c r="J43" s="14">
        <f t="shared" si="10"/>
        <v>8.4401408270070686</v>
      </c>
      <c r="K43" s="14">
        <f t="shared" si="11"/>
        <v>-0.39085917299293094</v>
      </c>
    </row>
    <row r="44" spans="1:11" ht="15.75" customHeight="1">
      <c r="A44" s="1" t="s">
        <v>245</v>
      </c>
      <c r="B44" s="1">
        <v>10.44</v>
      </c>
      <c r="C44" s="15">
        <f t="shared" si="7"/>
        <v>0.45272831235059763</v>
      </c>
      <c r="D44" s="1">
        <v>-565.58612020999999</v>
      </c>
      <c r="E44" s="1">
        <v>-565.57020697999997</v>
      </c>
      <c r="F44" s="14">
        <f t="shared" si="8"/>
        <v>9.9857030006999086</v>
      </c>
      <c r="G44" s="14">
        <f t="shared" si="9"/>
        <v>-0.45429699930009093</v>
      </c>
      <c r="H44" s="1">
        <v>-565.58585532999996</v>
      </c>
      <c r="I44" s="1">
        <v>-565.56997137999997</v>
      </c>
      <c r="J44" s="14">
        <f t="shared" si="10"/>
        <v>9.9673295225178116</v>
      </c>
      <c r="K44" s="14">
        <f t="shared" si="11"/>
        <v>-0.47267047748218793</v>
      </c>
    </row>
    <row r="45" spans="1:11" ht="15.75" customHeight="1">
      <c r="A45" s="1" t="s">
        <v>246</v>
      </c>
      <c r="B45" s="1">
        <v>64.570999999999998</v>
      </c>
      <c r="C45" s="15">
        <f t="shared" si="7"/>
        <v>2.8001072659760955</v>
      </c>
      <c r="D45" s="1">
        <v>-4213.2171750999996</v>
      </c>
      <c r="E45" s="1">
        <v>-4213.1105887100002</v>
      </c>
      <c r="F45" s="14">
        <f t="shared" si="8"/>
        <v>66.883972295324014</v>
      </c>
      <c r="G45" s="14">
        <f t="shared" si="9"/>
        <v>2.3129722953240162</v>
      </c>
      <c r="H45" s="1">
        <v>-4213.2148779299996</v>
      </c>
      <c r="I45" s="1">
        <v>-4213.1130685199996</v>
      </c>
      <c r="J45" s="14">
        <f t="shared" si="10"/>
        <v>63.88637196438691</v>
      </c>
      <c r="K45" s="14">
        <f t="shared" si="11"/>
        <v>-0.6846280356130876</v>
      </c>
    </row>
    <row r="46" spans="1:11" ht="15.75" customHeight="1">
      <c r="A46" s="9" t="s">
        <v>247</v>
      </c>
      <c r="B46" s="1">
        <v>59.917000000000002</v>
      </c>
      <c r="C46" s="15">
        <f t="shared" si="7"/>
        <v>2.5982875757768928</v>
      </c>
      <c r="D46" s="1">
        <v>-2099.8454501800002</v>
      </c>
      <c r="E46" s="1">
        <v>-2099.7392165599999</v>
      </c>
      <c r="F46" s="14">
        <f t="shared" si="8"/>
        <v>66.662605769540079</v>
      </c>
      <c r="G46" s="14">
        <f t="shared" si="9"/>
        <v>6.7456057695400773</v>
      </c>
      <c r="H46" s="1">
        <v>-2099.8431939299999</v>
      </c>
      <c r="I46" s="1">
        <v>-2099.7455883799998</v>
      </c>
      <c r="J46" s="14">
        <f t="shared" si="10"/>
        <v>61.248409877741118</v>
      </c>
      <c r="K46" s="14">
        <f t="shared" si="11"/>
        <v>1.3314098777411161</v>
      </c>
    </row>
    <row r="47" spans="1:11" ht="15.75" customHeight="1">
      <c r="A47" s="1" t="s">
        <v>248</v>
      </c>
      <c r="B47" s="1">
        <v>48.045999999999999</v>
      </c>
      <c r="C47" s="15">
        <f t="shared" si="7"/>
        <v>2.0835042619920321</v>
      </c>
      <c r="D47" s="1">
        <v>-1739.6330176199999</v>
      </c>
      <c r="E47" s="1">
        <v>-1739.55460238</v>
      </c>
      <c r="F47" s="14">
        <f t="shared" si="8"/>
        <v>49.206308044725382</v>
      </c>
      <c r="G47" s="14">
        <f t="shared" si="9"/>
        <v>1.1603080447253831</v>
      </c>
      <c r="H47" s="1">
        <v>-1739.63043113</v>
      </c>
      <c r="I47" s="1">
        <v>-1739.5546845700001</v>
      </c>
      <c r="J47" s="14">
        <f t="shared" si="10"/>
        <v>47.531685992301483</v>
      </c>
      <c r="K47" s="14">
        <f t="shared" si="11"/>
        <v>-0.51431400769851621</v>
      </c>
    </row>
    <row r="48" spans="1:11" ht="15.75" customHeight="1">
      <c r="A48" s="1" t="s">
        <v>249</v>
      </c>
      <c r="B48" s="1">
        <v>59.792000000000002</v>
      </c>
      <c r="C48" s="15">
        <f t="shared" si="7"/>
        <v>2.592866978167331</v>
      </c>
      <c r="D48" s="1">
        <v>-1640.4015586</v>
      </c>
      <c r="E48" s="1">
        <v>-1640.3053255899999</v>
      </c>
      <c r="F48" s="14">
        <f t="shared" si="8"/>
        <v>60.387127988661156</v>
      </c>
      <c r="G48" s="14">
        <f t="shared" si="9"/>
        <v>0.59512798866115446</v>
      </c>
      <c r="H48" s="1">
        <v>-1640.39930882</v>
      </c>
      <c r="I48" s="1">
        <v>-1640.3041252099999</v>
      </c>
      <c r="J48" s="14">
        <f t="shared" si="10"/>
        <v>59.728619519325846</v>
      </c>
      <c r="K48" s="14">
        <f t="shared" si="11"/>
        <v>-6.3380480674155137E-2</v>
      </c>
    </row>
    <row r="49" spans="1:11" ht="15.75" customHeight="1">
      <c r="A49" s="1" t="s">
        <v>250</v>
      </c>
      <c r="B49" s="1">
        <v>6.7649999999999997</v>
      </c>
      <c r="C49" s="15">
        <f t="shared" si="7"/>
        <v>0.29336274262948203</v>
      </c>
      <c r="D49" s="1">
        <v>-228.27306096999999</v>
      </c>
      <c r="E49" s="1">
        <v>-228.26305540000001</v>
      </c>
      <c r="F49" s="14">
        <f t="shared" si="8"/>
        <v>6.2785902278997545</v>
      </c>
      <c r="G49" s="14">
        <f t="shared" si="9"/>
        <v>-0.48640977210024516</v>
      </c>
      <c r="H49" s="1">
        <v>-228.27251971000001</v>
      </c>
      <c r="I49" s="1">
        <v>-228.26284018999999</v>
      </c>
      <c r="J49" s="14">
        <f t="shared" si="10"/>
        <v>6.0739907554526429</v>
      </c>
      <c r="K49" s="14">
        <f t="shared" si="11"/>
        <v>-0.69100924454735679</v>
      </c>
    </row>
    <row r="50" spans="1:11" ht="15.75" customHeight="1">
      <c r="A50" s="1" t="s">
        <v>251</v>
      </c>
      <c r="B50" s="1">
        <v>5.9669999999999996</v>
      </c>
      <c r="C50" s="15">
        <f t="shared" si="7"/>
        <v>0.25875764749003982</v>
      </c>
      <c r="D50" s="1">
        <v>-2553.9322963899999</v>
      </c>
      <c r="E50" s="1">
        <v>-2553.92363312</v>
      </c>
      <c r="F50" s="14">
        <f t="shared" si="8"/>
        <v>5.436284226029052</v>
      </c>
      <c r="G50" s="14">
        <f t="shared" si="9"/>
        <v>-0.5307157739709476</v>
      </c>
      <c r="H50" s="1">
        <v>-2553.9319157199998</v>
      </c>
      <c r="I50" s="1">
        <v>-2553.9232919199999</v>
      </c>
      <c r="J50" s="14">
        <f t="shared" si="10"/>
        <v>5.4115164260345567</v>
      </c>
      <c r="K50" s="14">
        <f t="shared" si="11"/>
        <v>-0.5554835739654429</v>
      </c>
    </row>
    <row r="51" spans="1:11" ht="15.75" customHeight="1">
      <c r="A51" s="1" t="s">
        <v>252</v>
      </c>
      <c r="B51" s="1">
        <v>8.2539999999999996</v>
      </c>
      <c r="C51" s="15">
        <f t="shared" si="7"/>
        <v>0.35793290135458167</v>
      </c>
      <c r="D51" s="1">
        <v>-551.14543413000001</v>
      </c>
      <c r="E51" s="1">
        <v>-551.13312218999999</v>
      </c>
      <c r="F51" s="14">
        <f t="shared" si="8"/>
        <v>7.7258593134411599</v>
      </c>
      <c r="G51" s="14">
        <f t="shared" si="9"/>
        <v>-0.52814068655883961</v>
      </c>
      <c r="H51" s="1">
        <v>-551.14518607000002</v>
      </c>
      <c r="I51" s="1">
        <v>-551.13290854000002</v>
      </c>
      <c r="J51" s="14">
        <f t="shared" si="10"/>
        <v>7.7042667115386108</v>
      </c>
      <c r="K51" s="14">
        <f t="shared" si="11"/>
        <v>-0.5497332884613888</v>
      </c>
    </row>
    <row r="52" spans="1:11" ht="15.75" customHeight="1">
      <c r="A52" s="1" t="s">
        <v>253</v>
      </c>
      <c r="B52" s="1">
        <v>40.411000000000001</v>
      </c>
      <c r="C52" s="15">
        <f t="shared" si="7"/>
        <v>1.7524141600000001</v>
      </c>
      <c r="D52" s="1">
        <v>-157.05146740999999</v>
      </c>
      <c r="E52" s="1">
        <v>-156.98490143000001</v>
      </c>
      <c r="F52" s="14">
        <f t="shared" si="8"/>
        <v>41.770784826796643</v>
      </c>
      <c r="G52" s="14">
        <f t="shared" si="9"/>
        <v>1.3597848267966413</v>
      </c>
      <c r="H52" s="1">
        <v>-157.05117164000001</v>
      </c>
      <c r="I52" s="1">
        <v>-156.98455632</v>
      </c>
      <c r="J52" s="14">
        <f t="shared" si="10"/>
        <v>41.801746145546922</v>
      </c>
      <c r="K52" s="14">
        <f t="shared" si="11"/>
        <v>1.3907461455469203</v>
      </c>
    </row>
    <row r="53" spans="1:11" ht="15.75" customHeight="1">
      <c r="A53" s="1" t="s">
        <v>254</v>
      </c>
      <c r="B53" s="1">
        <v>1.972</v>
      </c>
      <c r="C53" s="15">
        <f t="shared" si="7"/>
        <v>8.5515347888446211E-2</v>
      </c>
      <c r="D53" s="1">
        <v>-132.70947967999999</v>
      </c>
      <c r="E53" s="1">
        <v>-132.70811581000001</v>
      </c>
      <c r="F53" s="14">
        <f t="shared" si="8"/>
        <v>0.85584138175081592</v>
      </c>
      <c r="G53" s="14">
        <f t="shared" si="9"/>
        <v>-1.1161586182491841</v>
      </c>
      <c r="H53" s="1">
        <v>-132.70916206000001</v>
      </c>
      <c r="I53" s="1">
        <v>-132.70787849999999</v>
      </c>
      <c r="J53" s="14">
        <f t="shared" si="10"/>
        <v>0.80544609383174959</v>
      </c>
      <c r="K53" s="14">
        <f t="shared" si="11"/>
        <v>-1.1665539061682504</v>
      </c>
    </row>
    <row r="54" spans="1:11" ht="15.75" customHeight="1">
      <c r="A54" s="1" t="s">
        <v>255</v>
      </c>
      <c r="B54" s="1">
        <v>5.6529999999999996</v>
      </c>
      <c r="C54" s="15">
        <f t="shared" si="7"/>
        <v>0.24514110629482072</v>
      </c>
      <c r="D54" s="1">
        <v>-3333.5399882000002</v>
      </c>
      <c r="E54" s="1">
        <v>-3333.5352915200001</v>
      </c>
      <c r="F54" s="14">
        <f t="shared" si="8"/>
        <v>2.9472113184925401</v>
      </c>
      <c r="G54" s="14">
        <f t="shared" si="9"/>
        <v>-2.7057886815074594</v>
      </c>
      <c r="H54" s="1">
        <v>-3333.53930472</v>
      </c>
      <c r="I54" s="1">
        <v>-3333.53493991</v>
      </c>
      <c r="J54" s="14">
        <f t="shared" si="10"/>
        <v>2.7389597406761879</v>
      </c>
      <c r="K54" s="14">
        <f t="shared" si="11"/>
        <v>-2.9140402593238117</v>
      </c>
    </row>
    <row r="55" spans="1:11" ht="15.75" customHeight="1">
      <c r="A55" s="1" t="s">
        <v>256</v>
      </c>
      <c r="B55" s="1">
        <v>6.6959999999999997</v>
      </c>
      <c r="C55" s="15">
        <f t="shared" si="7"/>
        <v>0.29037057274900402</v>
      </c>
      <c r="D55" s="1">
        <v>-1220.17746235</v>
      </c>
      <c r="E55" s="1">
        <v>-1220.1709595299999</v>
      </c>
      <c r="F55" s="14">
        <f t="shared" si="8"/>
        <v>4.0805813268845519</v>
      </c>
      <c r="G55" s="14">
        <f t="shared" si="9"/>
        <v>-2.6154186731154478</v>
      </c>
      <c r="H55" s="1">
        <v>-1220.1769222200001</v>
      </c>
      <c r="I55" s="1">
        <v>-1220.1707182600001</v>
      </c>
      <c r="J55" s="14">
        <f t="shared" si="10"/>
        <v>3.8930438376158949</v>
      </c>
      <c r="K55" s="14">
        <f t="shared" si="11"/>
        <v>-2.8029561623841048</v>
      </c>
    </row>
    <row r="56" spans="1:11" ht="15.75" customHeight="1">
      <c r="A56" s="1" t="s">
        <v>257</v>
      </c>
      <c r="B56" s="1">
        <v>10.736000000000001</v>
      </c>
      <c r="C56" s="15">
        <f t="shared" si="7"/>
        <v>0.46556428749003992</v>
      </c>
      <c r="D56" s="1">
        <v>-860.00918491000004</v>
      </c>
      <c r="E56" s="1">
        <v>-859.99620733999996</v>
      </c>
      <c r="F56" s="14">
        <f t="shared" si="8"/>
        <v>8.1435484619709388</v>
      </c>
      <c r="G56" s="14">
        <f t="shared" si="9"/>
        <v>-2.5924515380290618</v>
      </c>
      <c r="H56" s="1">
        <v>-860.00838919</v>
      </c>
      <c r="I56" s="1">
        <v>-859.99574643999995</v>
      </c>
      <c r="J56" s="14">
        <f t="shared" si="10"/>
        <v>7.933445731159229</v>
      </c>
      <c r="K56" s="14">
        <f t="shared" si="11"/>
        <v>-2.8025542688407716</v>
      </c>
    </row>
    <row r="57" spans="1:11" ht="15.75" customHeight="1">
      <c r="A57" s="1" t="s">
        <v>258</v>
      </c>
      <c r="B57" s="1">
        <v>8.0630000000000006</v>
      </c>
      <c r="C57" s="15">
        <f t="shared" si="7"/>
        <v>0.3496502282071714</v>
      </c>
      <c r="D57" s="1">
        <v>-760.68748699000002</v>
      </c>
      <c r="E57" s="1">
        <v>-760.67783310000004</v>
      </c>
      <c r="F57" s="14">
        <f t="shared" si="8"/>
        <v>6.0579076869433299</v>
      </c>
      <c r="G57" s="14">
        <f t="shared" si="9"/>
        <v>-2.0050923130566707</v>
      </c>
      <c r="H57" s="1">
        <v>-760.68739201999995</v>
      </c>
      <c r="I57" s="1">
        <v>-760.6778607</v>
      </c>
      <c r="J57" s="14">
        <f t="shared" si="10"/>
        <v>5.9809938475092128</v>
      </c>
      <c r="K57" s="14">
        <f t="shared" si="11"/>
        <v>-2.0820061524907878</v>
      </c>
    </row>
    <row r="58" spans="1:11" ht="15.75" customHeight="1">
      <c r="A58" s="1" t="s">
        <v>259</v>
      </c>
      <c r="B58" s="1">
        <v>12.273</v>
      </c>
      <c r="C58" s="15">
        <f t="shared" si="7"/>
        <v>0.53221595569721114</v>
      </c>
      <c r="D58" s="1">
        <v>-1853.79541733</v>
      </c>
      <c r="E58" s="1">
        <v>-1853.7770331199999</v>
      </c>
      <c r="F58" s="14">
        <f t="shared" si="8"/>
        <v>11.536266425008801</v>
      </c>
      <c r="G58" s="14">
        <f t="shared" si="9"/>
        <v>-0.73673357499119874</v>
      </c>
      <c r="H58" s="1">
        <v>-1853.79400986</v>
      </c>
      <c r="I58" s="1">
        <v>-1853.7758219499999</v>
      </c>
      <c r="J58" s="14">
        <f t="shared" si="10"/>
        <v>11.413086310177309</v>
      </c>
      <c r="K58" s="14">
        <f t="shared" si="11"/>
        <v>-0.85991368982269023</v>
      </c>
    </row>
    <row r="59" spans="1:11" ht="15.75" customHeight="1">
      <c r="A59" s="1" t="s">
        <v>260</v>
      </c>
      <c r="B59" s="1">
        <v>12.429</v>
      </c>
      <c r="C59" s="15">
        <f t="shared" si="7"/>
        <v>0.53898086151394431</v>
      </c>
      <c r="D59" s="1">
        <v>-4179.4366469400002</v>
      </c>
      <c r="E59" s="1">
        <v>-4179.4173959099999</v>
      </c>
      <c r="F59" s="14">
        <f t="shared" si="8"/>
        <v>12.080204209976413</v>
      </c>
      <c r="G59" s="14">
        <f t="shared" si="9"/>
        <v>-0.34879579002358696</v>
      </c>
      <c r="H59" s="1">
        <v>-4179.4354803400001</v>
      </c>
      <c r="I59" s="1">
        <v>-4179.4161424499998</v>
      </c>
      <c r="J59" s="14">
        <f t="shared" si="10"/>
        <v>12.134709685152906</v>
      </c>
      <c r="K59" s="14">
        <f t="shared" si="11"/>
        <v>-0.29429031484709434</v>
      </c>
    </row>
    <row r="60" spans="1:11" ht="15.75" customHeight="1">
      <c r="A60" s="1" t="s">
        <v>261</v>
      </c>
      <c r="B60" s="1">
        <v>13.381</v>
      </c>
      <c r="C60" s="15">
        <f t="shared" si="7"/>
        <v>0.58026413290836654</v>
      </c>
      <c r="D60" s="1">
        <v>-2176.6532803800001</v>
      </c>
      <c r="E60" s="1">
        <v>-2176.6326324699999</v>
      </c>
      <c r="F60" s="14">
        <f t="shared" si="8"/>
        <v>12.956759680274924</v>
      </c>
      <c r="G60" s="14">
        <f t="shared" si="9"/>
        <v>-0.42424031972507592</v>
      </c>
      <c r="H60" s="1">
        <v>-2176.6522351899998</v>
      </c>
      <c r="I60" s="1">
        <v>-2176.6314847600001</v>
      </c>
      <c r="J60" s="14">
        <f t="shared" si="10"/>
        <v>13.02109195388414</v>
      </c>
      <c r="K60" s="14">
        <f t="shared" si="11"/>
        <v>-0.35990804611586036</v>
      </c>
    </row>
    <row r="62" spans="1:11" ht="15.75" customHeight="1">
      <c r="F62" s="1" t="s">
        <v>6</v>
      </c>
      <c r="G62" s="74">
        <f t="array" ref="G62">SUM(ABS(G36:G60))/ROWS(G36:G60)</f>
        <v>1.532897511009528</v>
      </c>
      <c r="J62" s="1" t="s">
        <v>6</v>
      </c>
      <c r="K62" s="74">
        <f t="array" ref="K62">SUM(ABS(K36:K60))/ROWS(K36:K60)</f>
        <v>1.2471344426674138</v>
      </c>
    </row>
    <row r="63" spans="1:11" ht="15.75" customHeight="1">
      <c r="F63" s="1" t="s">
        <v>262</v>
      </c>
      <c r="G63" s="74">
        <f t="array" ref="G63">SQRT(SUM(ABS(G36:G60)^2)/ROWS(G36:G60))</f>
        <v>2.41293948127751</v>
      </c>
      <c r="J63" s="1" t="s">
        <v>262</v>
      </c>
      <c r="K63" s="74">
        <f t="array" ref="K63">SQRT(SUM(ABS(K36:K60)^2)/ROWS(K36:K60))</f>
        <v>2.0234139348617948</v>
      </c>
    </row>
    <row r="65" spans="1:11" ht="15.75" customHeight="1">
      <c r="D65" s="75" t="s">
        <v>63</v>
      </c>
      <c r="E65" s="5"/>
      <c r="F65" s="5"/>
      <c r="G65" s="5"/>
      <c r="H65" s="75" t="s">
        <v>265</v>
      </c>
      <c r="I65" s="5"/>
      <c r="J65" s="5"/>
      <c r="K65" s="5"/>
    </row>
    <row r="66" spans="1:11" ht="15.75" customHeight="1">
      <c r="B66" s="1" t="s">
        <v>229</v>
      </c>
      <c r="C66" s="1" t="s">
        <v>230</v>
      </c>
      <c r="D66" s="32"/>
      <c r="E66" s="32"/>
      <c r="F66" s="1" t="s">
        <v>229</v>
      </c>
      <c r="G66" s="1" t="s">
        <v>229</v>
      </c>
      <c r="H66" s="32"/>
      <c r="I66" s="32"/>
      <c r="J66" s="1" t="s">
        <v>229</v>
      </c>
      <c r="K66" s="1" t="s">
        <v>229</v>
      </c>
    </row>
    <row r="67" spans="1:11" ht="15.75" customHeight="1">
      <c r="A67" s="1" t="s">
        <v>231</v>
      </c>
      <c r="B67" s="1" t="s">
        <v>232</v>
      </c>
      <c r="C67" s="3" t="s">
        <v>232</v>
      </c>
      <c r="D67" s="76" t="s">
        <v>233</v>
      </c>
      <c r="E67" s="76" t="s">
        <v>234</v>
      </c>
      <c r="F67" s="32" t="s">
        <v>235</v>
      </c>
      <c r="G67" s="32" t="s">
        <v>236</v>
      </c>
      <c r="H67" s="76" t="s">
        <v>233</v>
      </c>
      <c r="I67" s="76" t="s">
        <v>234</v>
      </c>
      <c r="J67" s="32" t="s">
        <v>235</v>
      </c>
      <c r="K67" s="32" t="s">
        <v>236</v>
      </c>
    </row>
    <row r="68" spans="1:11" ht="15.75" customHeight="1">
      <c r="A68" s="1" t="s">
        <v>237</v>
      </c>
      <c r="B68" s="1">
        <v>75.391999999999996</v>
      </c>
      <c r="C68" s="15">
        <f t="shared" ref="C68:C92" si="12">(B68/627.5)*27.2114</f>
        <v>3.2693575598406373</v>
      </c>
      <c r="D68" s="1">
        <v>-606.86872014000005</v>
      </c>
      <c r="E68" s="1">
        <v>-606.74811484999998</v>
      </c>
      <c r="F68" s="14">
        <f t="shared" ref="F68:F92" si="13">(E68-D68)*627.5095</f>
        <v>75.680965225299786</v>
      </c>
      <c r="G68" s="14">
        <f t="shared" ref="G68:G92" si="14">F68-B68</f>
        <v>0.28896522529979052</v>
      </c>
      <c r="H68" s="1">
        <v>-606.86844570000005</v>
      </c>
      <c r="I68" s="1">
        <v>-606.74820752000005</v>
      </c>
      <c r="J68" s="14">
        <f t="shared" ref="J68:J92" si="15">(I68-H68)*627.5095</f>
        <v>75.450600212710754</v>
      </c>
      <c r="K68" s="14">
        <f t="shared" ref="K68:K92" si="16">J68-B68</f>
        <v>5.860021271075766E-2</v>
      </c>
    </row>
    <row r="69" spans="1:11" ht="15.75" customHeight="1">
      <c r="A69" s="1" t="s">
        <v>238</v>
      </c>
      <c r="B69" s="1">
        <v>78.706999999999994</v>
      </c>
      <c r="C69" s="15">
        <f t="shared" si="12"/>
        <v>3.4131118084462151</v>
      </c>
      <c r="D69" s="1">
        <v>-246.64921935000001</v>
      </c>
      <c r="E69" s="1">
        <v>-246.53609693999999</v>
      </c>
      <c r="F69" s="14">
        <f t="shared" si="13"/>
        <v>70.985386937905531</v>
      </c>
      <c r="G69" s="14">
        <f t="shared" si="14"/>
        <v>-7.7216130620944625</v>
      </c>
      <c r="H69" s="1">
        <v>-246.64876845000001</v>
      </c>
      <c r="I69" s="1">
        <v>-246.53594627000001</v>
      </c>
      <c r="J69" s="14">
        <f t="shared" si="15"/>
        <v>70.796989760706794</v>
      </c>
      <c r="K69" s="14">
        <f t="shared" si="16"/>
        <v>-7.9100102392932001</v>
      </c>
    </row>
    <row r="70" spans="1:11" ht="15.75" customHeight="1">
      <c r="A70" s="1" t="s">
        <v>239</v>
      </c>
      <c r="B70" s="1">
        <v>65.673000000000002</v>
      </c>
      <c r="C70" s="15">
        <f t="shared" si="12"/>
        <v>2.8478952545019922</v>
      </c>
      <c r="D70" s="1">
        <v>-147.43393578999999</v>
      </c>
      <c r="E70" s="1">
        <v>-147.32934643999999</v>
      </c>
      <c r="F70" s="14">
        <f t="shared" si="13"/>
        <v>65.630810723823558</v>
      </c>
      <c r="G70" s="14">
        <f t="shared" si="14"/>
        <v>-4.2189276176443968E-2</v>
      </c>
      <c r="H70" s="1">
        <v>-147.43365211</v>
      </c>
      <c r="I70" s="1">
        <v>-147.32926078</v>
      </c>
      <c r="J70" s="14">
        <f t="shared" si="15"/>
        <v>65.5065512926341</v>
      </c>
      <c r="K70" s="14">
        <f t="shared" si="16"/>
        <v>-0.16644870736590178</v>
      </c>
    </row>
    <row r="71" spans="1:11" ht="15.75" customHeight="1">
      <c r="A71" s="1" t="s">
        <v>240</v>
      </c>
      <c r="B71" s="1">
        <v>57.283999999999999</v>
      </c>
      <c r="C71" s="15">
        <f t="shared" si="12"/>
        <v>2.4841081077290839</v>
      </c>
      <c r="D71" s="1">
        <v>-595.45081226000002</v>
      </c>
      <c r="E71" s="1">
        <v>-595.36294353000005</v>
      </c>
      <c r="F71" s="14">
        <f t="shared" si="13"/>
        <v>55.138462827915113</v>
      </c>
      <c r="G71" s="14">
        <f t="shared" si="14"/>
        <v>-2.1455371720848859</v>
      </c>
      <c r="H71" s="1">
        <v>-595.45055685</v>
      </c>
      <c r="I71" s="1">
        <v>-595.36209526000005</v>
      </c>
      <c r="J71" s="14">
        <f t="shared" si="15"/>
        <v>55.510488110074682</v>
      </c>
      <c r="K71" s="14">
        <f t="shared" si="16"/>
        <v>-1.7735118899253166</v>
      </c>
    </row>
    <row r="72" spans="1:11" ht="15.75" customHeight="1">
      <c r="A72" s="1" t="s">
        <v>241</v>
      </c>
      <c r="B72" s="1">
        <v>45.686999999999998</v>
      </c>
      <c r="C72" s="15">
        <f t="shared" si="12"/>
        <v>1.9812067439043823</v>
      </c>
      <c r="D72" s="1">
        <v>-235.22241460000001</v>
      </c>
      <c r="E72" s="1">
        <v>-235.15003057000001</v>
      </c>
      <c r="F72" s="14">
        <f t="shared" si="13"/>
        <v>45.421666473281824</v>
      </c>
      <c r="G72" s="14">
        <f t="shared" si="14"/>
        <v>-0.26533352671817312</v>
      </c>
      <c r="H72" s="1">
        <v>-235.22203482</v>
      </c>
      <c r="I72" s="1">
        <v>-235.14993383999999</v>
      </c>
      <c r="J72" s="14">
        <f t="shared" si="15"/>
        <v>45.24404990932009</v>
      </c>
      <c r="K72" s="14">
        <f t="shared" si="16"/>
        <v>-0.44295009067990776</v>
      </c>
    </row>
    <row r="73" spans="1:11" ht="15.75" customHeight="1">
      <c r="A73" s="1" t="s">
        <v>242</v>
      </c>
      <c r="B73" s="1">
        <v>72.366</v>
      </c>
      <c r="C73" s="15">
        <f t="shared" si="12"/>
        <v>3.1381357329083666</v>
      </c>
      <c r="D73" s="1">
        <v>-136.05520274</v>
      </c>
      <c r="E73" s="1">
        <v>-135.93990360000001</v>
      </c>
      <c r="F73" s="14">
        <f t="shared" si="13"/>
        <v>72.351305691824052</v>
      </c>
      <c r="G73" s="14">
        <f t="shared" si="14"/>
        <v>-1.4694308175947413E-2</v>
      </c>
      <c r="H73" s="1">
        <v>-136.05504859000001</v>
      </c>
      <c r="I73" s="1">
        <v>-135.93981815999999</v>
      </c>
      <c r="J73" s="14">
        <f t="shared" si="15"/>
        <v>72.308189514100874</v>
      </c>
      <c r="K73" s="14">
        <f t="shared" si="16"/>
        <v>-5.7810485899125297E-2</v>
      </c>
    </row>
    <row r="74" spans="1:11" ht="15.75" customHeight="1">
      <c r="A74" s="1" t="s">
        <v>243</v>
      </c>
      <c r="B74" s="1">
        <v>8.1869999999999994</v>
      </c>
      <c r="C74" s="15">
        <f t="shared" si="12"/>
        <v>0.35502746103585658</v>
      </c>
      <c r="D74" s="1">
        <v>-242.71912646000001</v>
      </c>
      <c r="E74" s="1">
        <v>-242.70739836999999</v>
      </c>
      <c r="F74" s="14">
        <f t="shared" si="13"/>
        <v>7.3594878918673112</v>
      </c>
      <c r="G74" s="14">
        <f t="shared" si="14"/>
        <v>-0.82751210813268816</v>
      </c>
      <c r="H74" s="1">
        <v>-242.71869548999999</v>
      </c>
      <c r="I74" s="1">
        <v>-242.70720338000001</v>
      </c>
      <c r="J74" s="14">
        <f t="shared" si="15"/>
        <v>7.2114082000309621</v>
      </c>
      <c r="K74" s="14">
        <f t="shared" si="16"/>
        <v>-0.97559179996903733</v>
      </c>
    </row>
    <row r="75" spans="1:11" ht="15.75" customHeight="1">
      <c r="A75" s="1" t="s">
        <v>244</v>
      </c>
      <c r="B75" s="1">
        <v>8.8309999999999995</v>
      </c>
      <c r="C75" s="15">
        <f t="shared" si="12"/>
        <v>0.38295437992031872</v>
      </c>
      <c r="D75" s="1">
        <v>-2568.37212572</v>
      </c>
      <c r="E75" s="1">
        <v>-2568.3586600200001</v>
      </c>
      <c r="F75" s="14">
        <f t="shared" si="13"/>
        <v>8.4498546740682254</v>
      </c>
      <c r="G75" s="14">
        <f t="shared" si="14"/>
        <v>-0.38114532593177408</v>
      </c>
      <c r="H75" s="1">
        <v>-2568.3718160200001</v>
      </c>
      <c r="I75" s="1">
        <v>-2568.3583599600001</v>
      </c>
      <c r="J75" s="14">
        <f t="shared" si="15"/>
        <v>8.4438054825405953</v>
      </c>
      <c r="K75" s="14">
        <f t="shared" si="16"/>
        <v>-0.38719451745940425</v>
      </c>
    </row>
    <row r="76" spans="1:11" ht="15.75" customHeight="1">
      <c r="A76" s="1" t="s">
        <v>245</v>
      </c>
      <c r="B76" s="1">
        <v>10.44</v>
      </c>
      <c r="C76" s="15">
        <f t="shared" si="12"/>
        <v>0.45272831235059763</v>
      </c>
      <c r="D76" s="1">
        <v>-565.58601979000002</v>
      </c>
      <c r="E76" s="1">
        <v>-565.57010697999999</v>
      </c>
      <c r="F76" s="14">
        <f t="shared" si="13"/>
        <v>9.9854394467148548</v>
      </c>
      <c r="G76" s="14">
        <f t="shared" si="14"/>
        <v>-0.45456055328514466</v>
      </c>
      <c r="H76" s="1">
        <v>-565.58581912</v>
      </c>
      <c r="I76" s="1">
        <v>-565.56991660000006</v>
      </c>
      <c r="J76" s="14">
        <f t="shared" si="15"/>
        <v>9.9789823739026779</v>
      </c>
      <c r="K76" s="14">
        <f t="shared" si="16"/>
        <v>-0.46101762609732155</v>
      </c>
    </row>
    <row r="77" spans="1:11" ht="15.75" customHeight="1">
      <c r="A77" s="1" t="s">
        <v>246</v>
      </c>
      <c r="B77" s="1">
        <v>64.570999999999998</v>
      </c>
      <c r="C77" s="15">
        <f t="shared" si="12"/>
        <v>2.8001072659760955</v>
      </c>
      <c r="D77" s="1">
        <v>-4213.2161297399998</v>
      </c>
      <c r="E77" s="1">
        <v>-4213.1055827299997</v>
      </c>
      <c r="F77" s="14">
        <f t="shared" si="13"/>
        <v>69.369298971669338</v>
      </c>
      <c r="G77" s="14">
        <f t="shared" si="14"/>
        <v>4.7982989716693396</v>
      </c>
      <c r="H77" s="1">
        <v>-4213.2142293200004</v>
      </c>
      <c r="I77" s="1">
        <v>-4213.1134411200001</v>
      </c>
      <c r="J77" s="14">
        <f t="shared" si="15"/>
        <v>63.245552988120842</v>
      </c>
      <c r="K77" s="14">
        <f t="shared" si="16"/>
        <v>-1.3254470118791559</v>
      </c>
    </row>
    <row r="78" spans="1:11" ht="15.75" customHeight="1">
      <c r="A78" s="1" t="s">
        <v>247</v>
      </c>
      <c r="B78" s="1">
        <v>59.917000000000002</v>
      </c>
      <c r="C78" s="15">
        <f t="shared" si="12"/>
        <v>2.5982875757768928</v>
      </c>
      <c r="D78" s="1">
        <v>-2099.8444476499999</v>
      </c>
      <c r="E78" s="1">
        <v>-2099.7435579399998</v>
      </c>
      <c r="F78" s="14">
        <f t="shared" si="13"/>
        <v>63.309251477274344</v>
      </c>
      <c r="G78" s="14">
        <f t="shared" si="14"/>
        <v>3.3922514772743426</v>
      </c>
      <c r="H78" s="1">
        <v>-2099.8425727600002</v>
      </c>
      <c r="I78" s="1">
        <v>-2099.7454259699998</v>
      </c>
      <c r="J78" s="14">
        <f t="shared" si="15"/>
        <v>60.96053361972573</v>
      </c>
      <c r="K78" s="14">
        <f t="shared" si="16"/>
        <v>1.0435336197257286</v>
      </c>
    </row>
    <row r="79" spans="1:11" ht="15.75" customHeight="1">
      <c r="A79" s="1" t="s">
        <v>248</v>
      </c>
      <c r="B79" s="1">
        <v>48.045999999999999</v>
      </c>
      <c r="C79" s="15">
        <f t="shared" si="12"/>
        <v>2.0835042619920321</v>
      </c>
      <c r="D79" s="1">
        <v>-1739.6319336700001</v>
      </c>
      <c r="E79" s="1">
        <v>-1739.5547050299999</v>
      </c>
      <c r="F79" s="14">
        <f t="shared" si="13"/>
        <v>48.461705272178904</v>
      </c>
      <c r="G79" s="14">
        <f t="shared" si="14"/>
        <v>0.41570527217890429</v>
      </c>
      <c r="H79" s="1">
        <v>-1739.6297531600001</v>
      </c>
      <c r="I79" s="1">
        <v>-1739.5545821600001</v>
      </c>
      <c r="J79" s="14">
        <f t="shared" si="15"/>
        <v>47.170516624471638</v>
      </c>
      <c r="K79" s="14">
        <f t="shared" si="16"/>
        <v>-0.87548337552836131</v>
      </c>
    </row>
    <row r="80" spans="1:11" ht="15.75" customHeight="1">
      <c r="A80" s="1" t="s">
        <v>249</v>
      </c>
      <c r="B80" s="1">
        <v>59.792000000000002</v>
      </c>
      <c r="C80" s="15">
        <f t="shared" si="12"/>
        <v>2.592866978167331</v>
      </c>
      <c r="D80" s="1">
        <v>-1640.4006668</v>
      </c>
      <c r="E80" s="1">
        <v>-1640.3046154000001</v>
      </c>
      <c r="F80" s="14">
        <f t="shared" si="13"/>
        <v>60.273165988206578</v>
      </c>
      <c r="G80" s="14">
        <f t="shared" si="14"/>
        <v>0.48116598820657686</v>
      </c>
      <c r="H80" s="1">
        <v>-1640.3987458900001</v>
      </c>
      <c r="I80" s="1">
        <v>-1640.3036807999999</v>
      </c>
      <c r="J80" s="14">
        <f t="shared" si="15"/>
        <v>59.654247093456625</v>
      </c>
      <c r="K80" s="14">
        <f t="shared" si="16"/>
        <v>-0.13775290654337624</v>
      </c>
    </row>
    <row r="81" spans="1:11" ht="15.75" customHeight="1">
      <c r="A81" s="1" t="s">
        <v>250</v>
      </c>
      <c r="B81" s="1">
        <v>6.7649999999999997</v>
      </c>
      <c r="C81" s="15">
        <f t="shared" si="12"/>
        <v>0.29336274262948203</v>
      </c>
      <c r="D81" s="1">
        <v>-228.27271146999999</v>
      </c>
      <c r="E81" s="1">
        <v>-228.26295246999999</v>
      </c>
      <c r="F81" s="14">
        <f t="shared" si="13"/>
        <v>6.1238652105015783</v>
      </c>
      <c r="G81" s="14">
        <f t="shared" si="14"/>
        <v>-0.6411347894984214</v>
      </c>
      <c r="H81" s="1">
        <v>-228.27238421000001</v>
      </c>
      <c r="I81" s="1">
        <v>-228.26278707</v>
      </c>
      <c r="J81" s="14">
        <f t="shared" si="15"/>
        <v>6.0222965228368999</v>
      </c>
      <c r="K81" s="14">
        <f t="shared" si="16"/>
        <v>-0.74270347716309981</v>
      </c>
    </row>
    <row r="82" spans="1:11" ht="15.75" customHeight="1">
      <c r="A82" s="1" t="s">
        <v>251</v>
      </c>
      <c r="B82" s="1">
        <v>5.9669999999999996</v>
      </c>
      <c r="C82" s="15">
        <f t="shared" si="12"/>
        <v>0.25875764749003982</v>
      </c>
      <c r="D82" s="1">
        <v>-2553.9321214699999</v>
      </c>
      <c r="E82" s="1">
        <v>-2553.92346688</v>
      </c>
      <c r="F82" s="14">
        <f t="shared" si="13"/>
        <v>5.4308374435285858</v>
      </c>
      <c r="G82" s="14">
        <f t="shared" si="14"/>
        <v>-0.53616255647141386</v>
      </c>
      <c r="H82" s="1">
        <v>-2553.9318300999998</v>
      </c>
      <c r="I82" s="1">
        <v>-2553.9231998300002</v>
      </c>
      <c r="J82" s="14">
        <f t="shared" si="15"/>
        <v>5.4155764123673151</v>
      </c>
      <c r="K82" s="14">
        <f t="shared" si="16"/>
        <v>-0.55142358763268451</v>
      </c>
    </row>
    <row r="83" spans="1:11" ht="15.75" customHeight="1">
      <c r="A83" s="1" t="s">
        <v>252</v>
      </c>
      <c r="B83" s="1">
        <v>8.2539999999999996</v>
      </c>
      <c r="C83" s="15">
        <f t="shared" si="12"/>
        <v>0.35793290135458167</v>
      </c>
      <c r="D83" s="1">
        <v>-551.14534656000001</v>
      </c>
      <c r="E83" s="1">
        <v>-551.13303904999998</v>
      </c>
      <c r="F83" s="14">
        <f t="shared" si="13"/>
        <v>7.7230794463624655</v>
      </c>
      <c r="G83" s="14">
        <f t="shared" si="14"/>
        <v>-0.5309205536375341</v>
      </c>
      <c r="H83" s="1">
        <v>-551.14515944000004</v>
      </c>
      <c r="I83" s="1">
        <v>-551.13286945000004</v>
      </c>
      <c r="J83" s="14">
        <f t="shared" si="15"/>
        <v>7.7120854799045651</v>
      </c>
      <c r="K83" s="14">
        <f t="shared" si="16"/>
        <v>-0.5419145200954345</v>
      </c>
    </row>
    <row r="84" spans="1:11" ht="15.75" customHeight="1">
      <c r="A84" s="1" t="s">
        <v>253</v>
      </c>
      <c r="B84" s="1">
        <v>40.411000000000001</v>
      </c>
      <c r="C84" s="15">
        <f t="shared" si="12"/>
        <v>1.7524141600000001</v>
      </c>
      <c r="D84" s="1">
        <v>-157.05134858</v>
      </c>
      <c r="E84" s="1">
        <v>-156.98476911</v>
      </c>
      <c r="F84" s="14">
        <f t="shared" si="13"/>
        <v>41.77924992996094</v>
      </c>
      <c r="G84" s="14">
        <f t="shared" si="14"/>
        <v>1.368249929960939</v>
      </c>
      <c r="H84" s="1">
        <v>-157.05111715000001</v>
      </c>
      <c r="I84" s="1">
        <v>-156.98449539000001</v>
      </c>
      <c r="J84" s="14">
        <f t="shared" si="15"/>
        <v>41.805787306722422</v>
      </c>
      <c r="K84" s="14">
        <f t="shared" si="16"/>
        <v>1.3947873067224208</v>
      </c>
    </row>
    <row r="85" spans="1:11" ht="15.75" customHeight="1">
      <c r="A85" s="1" t="s">
        <v>254</v>
      </c>
      <c r="B85" s="1">
        <v>1.972</v>
      </c>
      <c r="C85" s="15">
        <f t="shared" si="12"/>
        <v>8.5515347888446211E-2</v>
      </c>
      <c r="D85" s="1">
        <v>-132.70935215</v>
      </c>
      <c r="E85" s="1">
        <v>-132.70802151999999</v>
      </c>
      <c r="F85" s="14">
        <f t="shared" si="13"/>
        <v>0.83498296599280231</v>
      </c>
      <c r="G85" s="14">
        <f t="shared" si="14"/>
        <v>-1.1370170340071977</v>
      </c>
      <c r="H85" s="1">
        <v>-132.70909574999999</v>
      </c>
      <c r="I85" s="1">
        <v>-132.70782693999999</v>
      </c>
      <c r="J85" s="14">
        <f t="shared" si="15"/>
        <v>0.79619032869444839</v>
      </c>
      <c r="K85" s="14">
        <f t="shared" si="16"/>
        <v>-1.1758096713055517</v>
      </c>
    </row>
    <row r="86" spans="1:11" ht="15.75" customHeight="1">
      <c r="A86" s="1" t="s">
        <v>255</v>
      </c>
      <c r="B86" s="1">
        <v>5.6529999999999996</v>
      </c>
      <c r="C86" s="15">
        <f t="shared" si="12"/>
        <v>0.24514110629482072</v>
      </c>
      <c r="D86" s="1">
        <v>-3333.5396199400002</v>
      </c>
      <c r="E86" s="1">
        <v>-3333.5350610800001</v>
      </c>
      <c r="F86" s="14">
        <f t="shared" si="13"/>
        <v>2.8607279592254193</v>
      </c>
      <c r="G86" s="14">
        <f t="shared" si="14"/>
        <v>-2.7922720407745802</v>
      </c>
      <c r="H86" s="1">
        <v>-3333.5391482300001</v>
      </c>
      <c r="I86" s="1">
        <v>-3333.5348293100001</v>
      </c>
      <c r="J86" s="14">
        <f t="shared" si="15"/>
        <v>2.7101633297774836</v>
      </c>
      <c r="K86" s="14">
        <f t="shared" si="16"/>
        <v>-2.9428366702225159</v>
      </c>
    </row>
    <row r="87" spans="1:11" ht="15.75" customHeight="1">
      <c r="A87" s="1" t="s">
        <v>256</v>
      </c>
      <c r="B87" s="1">
        <v>6.6959999999999997</v>
      </c>
      <c r="C87" s="15">
        <f t="shared" si="12"/>
        <v>0.29037057274900402</v>
      </c>
      <c r="D87" s="1">
        <v>-1220.1771770800001</v>
      </c>
      <c r="E87" s="1">
        <v>-1220.1707955500001</v>
      </c>
      <c r="F87" s="14">
        <f t="shared" si="13"/>
        <v>4.0044706995342141</v>
      </c>
      <c r="G87" s="14">
        <f t="shared" si="14"/>
        <v>-2.6915293004657856</v>
      </c>
      <c r="H87" s="1">
        <v>-1220.1768120700001</v>
      </c>
      <c r="I87" s="1">
        <v>-1220.1706489400001</v>
      </c>
      <c r="J87" s="14">
        <f t="shared" si="15"/>
        <v>3.867422624737797</v>
      </c>
      <c r="K87" s="14">
        <f t="shared" si="16"/>
        <v>-2.8285773752622028</v>
      </c>
    </row>
    <row r="88" spans="1:11" ht="15.75" customHeight="1">
      <c r="A88" s="1" t="s">
        <v>257</v>
      </c>
      <c r="B88" s="1">
        <v>10.736000000000001</v>
      </c>
      <c r="C88" s="15">
        <f t="shared" si="12"/>
        <v>0.46556428749003992</v>
      </c>
      <c r="D88" s="1">
        <v>-860.00880643999994</v>
      </c>
      <c r="E88" s="1">
        <v>-859.99595496999996</v>
      </c>
      <c r="F88" s="14">
        <f t="shared" si="13"/>
        <v>8.0644195139567643</v>
      </c>
      <c r="G88" s="14">
        <f t="shared" si="14"/>
        <v>-2.6715804860432364</v>
      </c>
      <c r="H88" s="1">
        <v>-860.00822056000004</v>
      </c>
      <c r="I88" s="1">
        <v>-859.99563538999996</v>
      </c>
      <c r="J88" s="14">
        <f t="shared" si="15"/>
        <v>7.8973137341648343</v>
      </c>
      <c r="K88" s="14">
        <f t="shared" si="16"/>
        <v>-2.8386862658351664</v>
      </c>
    </row>
    <row r="89" spans="1:11" ht="15.75" customHeight="1">
      <c r="A89" s="1" t="s">
        <v>258</v>
      </c>
      <c r="B89" s="1">
        <v>8.0630000000000006</v>
      </c>
      <c r="C89" s="15">
        <f t="shared" si="12"/>
        <v>0.3496502282071714</v>
      </c>
      <c r="D89" s="1">
        <v>-760.68745129000001</v>
      </c>
      <c r="E89" s="1">
        <v>-760.67782861000001</v>
      </c>
      <c r="F89" s="14">
        <f t="shared" si="13"/>
        <v>6.0383231154642463</v>
      </c>
      <c r="G89" s="14">
        <f t="shared" si="14"/>
        <v>-2.0246768845357543</v>
      </c>
      <c r="H89" s="1">
        <v>-760.68738688999997</v>
      </c>
      <c r="I89" s="1">
        <v>-760.67785554</v>
      </c>
      <c r="J89" s="14">
        <f t="shared" si="15"/>
        <v>5.9810126728091468</v>
      </c>
      <c r="K89" s="14">
        <f t="shared" si="16"/>
        <v>-2.0819873271908538</v>
      </c>
    </row>
    <row r="90" spans="1:11" ht="15.75" customHeight="1">
      <c r="A90" s="1" t="s">
        <v>259</v>
      </c>
      <c r="B90" s="1">
        <v>12.273</v>
      </c>
      <c r="C90" s="15">
        <f t="shared" si="12"/>
        <v>0.53221595569721114</v>
      </c>
      <c r="D90" s="1">
        <v>-1853.79471057</v>
      </c>
      <c r="E90" s="1">
        <v>-1853.7763968899999</v>
      </c>
      <c r="F90" s="14">
        <f t="shared" si="13"/>
        <v>11.492008180034892</v>
      </c>
      <c r="G90" s="14">
        <f t="shared" si="14"/>
        <v>-0.78099181996510758</v>
      </c>
      <c r="H90" s="1">
        <v>-1853.7935962199999</v>
      </c>
      <c r="I90" s="1">
        <v>-1853.7754404100001</v>
      </c>
      <c r="J90" s="14">
        <f t="shared" si="15"/>
        <v>11.392943255085548</v>
      </c>
      <c r="K90" s="14">
        <f t="shared" si="16"/>
        <v>-0.88005674491445163</v>
      </c>
    </row>
    <row r="91" spans="1:11" ht="15.75" customHeight="1">
      <c r="A91" s="1" t="s">
        <v>260</v>
      </c>
      <c r="B91" s="1">
        <v>12.429</v>
      </c>
      <c r="C91" s="15">
        <f t="shared" si="12"/>
        <v>0.53898086151394431</v>
      </c>
      <c r="D91" s="1">
        <v>-4179.4360379</v>
      </c>
      <c r="E91" s="1">
        <v>-4179.4167260100003</v>
      </c>
      <c r="F91" s="14">
        <f t="shared" si="13"/>
        <v>12.11839443776606</v>
      </c>
      <c r="G91" s="14">
        <f t="shared" si="14"/>
        <v>-0.31060556223394009</v>
      </c>
      <c r="H91" s="1">
        <v>-4179.4351006799998</v>
      </c>
      <c r="I91" s="1">
        <v>-4179.4157252100003</v>
      </c>
      <c r="J91" s="14">
        <f t="shared" si="15"/>
        <v>12.158291491608271</v>
      </c>
      <c r="K91" s="14">
        <f t="shared" si="16"/>
        <v>-0.27070850839172955</v>
      </c>
    </row>
    <row r="92" spans="1:11" ht="15.75" customHeight="1">
      <c r="A92" s="1" t="s">
        <v>261</v>
      </c>
      <c r="B92" s="1">
        <v>13.381</v>
      </c>
      <c r="C92" s="15">
        <f t="shared" si="12"/>
        <v>0.58026413290836654</v>
      </c>
      <c r="D92" s="1">
        <v>-2176.6527611299998</v>
      </c>
      <c r="E92" s="1">
        <v>-2176.6320320599998</v>
      </c>
      <c r="F92" s="14">
        <f t="shared" si="13"/>
        <v>13.007688351174902</v>
      </c>
      <c r="G92" s="14">
        <f t="shared" si="14"/>
        <v>-0.37331164882509782</v>
      </c>
      <c r="H92" s="1">
        <v>-2176.6519156899999</v>
      </c>
      <c r="I92" s="1">
        <v>-2176.6311177399998</v>
      </c>
      <c r="J92" s="14">
        <f t="shared" si="15"/>
        <v>13.050911205579869</v>
      </c>
      <c r="K92" s="14">
        <f t="shared" si="16"/>
        <v>-0.33008879442013139</v>
      </c>
    </row>
    <row r="94" spans="1:11" ht="15.75" customHeight="1">
      <c r="F94" s="1" t="s">
        <v>6</v>
      </c>
      <c r="G94" s="74">
        <f t="array" ref="G94">SUM(ABS(G68:G92))/ROWS(G68:G92)</f>
        <v>1.4834969949458992</v>
      </c>
      <c r="J94" s="1" t="s">
        <v>6</v>
      </c>
      <c r="K94" s="74">
        <f t="array" ref="K94">SUM(ABS(K68:K92))/ROWS(K68:K92)</f>
        <v>1.2877973092893138</v>
      </c>
    </row>
    <row r="95" spans="1:11" ht="15.75" customHeight="1">
      <c r="F95" s="1" t="s">
        <v>262</v>
      </c>
      <c r="G95" s="74">
        <f t="array" ref="G95">SQRT(SUM(ABS(G68:G92)^2)/ROWS(G68:G92))</f>
        <v>2.2945453456996132</v>
      </c>
      <c r="J95" s="1" t="s">
        <v>262</v>
      </c>
      <c r="K95" s="74">
        <f t="array" ref="K95">SQRT(SUM(ABS(K68:K92)^2)/ROWS(K68:K92))</f>
        <v>2.0530732647687171</v>
      </c>
    </row>
  </sheetData>
  <mergeCells count="8">
    <mergeCell ref="D65:G65"/>
    <mergeCell ref="H65:K65"/>
    <mergeCell ref="D1:G1"/>
    <mergeCell ref="H1:K1"/>
    <mergeCell ref="L1:O1"/>
    <mergeCell ref="X1:AA1"/>
    <mergeCell ref="D33:G33"/>
    <mergeCell ref="H33:K3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86B4-B81D-4F9C-96C4-1BBFAFF06709}">
  <sheetPr>
    <outlinePr summaryBelow="0" summaryRight="0"/>
  </sheetPr>
  <dimension ref="A2:T76"/>
  <sheetViews>
    <sheetView workbookViewId="0"/>
  </sheetViews>
  <sheetFormatPr defaultColWidth="12.6640625" defaultRowHeight="15.75" customHeight="1"/>
  <cols>
    <col min="1" max="16384" width="12.6640625" style="2"/>
  </cols>
  <sheetData>
    <row r="2" spans="1:20" ht="15.75" customHeight="1">
      <c r="B2" s="1" t="s">
        <v>229</v>
      </c>
      <c r="C2" s="1" t="s">
        <v>229</v>
      </c>
    </row>
    <row r="3" spans="1:20" ht="15.75" customHeight="1">
      <c r="B3" s="1" t="s">
        <v>6</v>
      </c>
      <c r="C3" s="1" t="s">
        <v>262</v>
      </c>
    </row>
    <row r="4" spans="1:20" ht="15.75" customHeight="1">
      <c r="A4" s="1" t="s">
        <v>36</v>
      </c>
      <c r="B4" s="74">
        <v>1.2885478852868189</v>
      </c>
      <c r="C4" s="74">
        <v>2.1128483911478808</v>
      </c>
    </row>
    <row r="5" spans="1:20" ht="15.75" customHeight="1">
      <c r="A5" s="1" t="s">
        <v>39</v>
      </c>
      <c r="B5" s="74">
        <v>1.5423786775710999</v>
      </c>
      <c r="C5" s="74">
        <v>2.4207369910841665</v>
      </c>
    </row>
    <row r="6" spans="1:20" ht="15.75" customHeight="1">
      <c r="A6" s="1" t="s">
        <v>38</v>
      </c>
      <c r="B6" s="74">
        <v>1.3683869789863456</v>
      </c>
      <c r="C6" s="74">
        <v>2.1454687038078024</v>
      </c>
    </row>
    <row r="7" spans="1:20" ht="15.75" customHeight="1">
      <c r="A7" s="1" t="s">
        <v>263</v>
      </c>
      <c r="B7" s="74">
        <v>1.532897511009528</v>
      </c>
      <c r="C7" s="74">
        <v>2.41293948127751</v>
      </c>
    </row>
    <row r="8" spans="1:20" ht="15.75" customHeight="1">
      <c r="A8" s="1" t="s">
        <v>264</v>
      </c>
      <c r="B8" s="74">
        <v>1.2471344426674138</v>
      </c>
      <c r="C8" s="74">
        <v>2.0234139348617948</v>
      </c>
    </row>
    <row r="9" spans="1:20" ht="15.75" customHeight="1">
      <c r="A9" s="1" t="s">
        <v>63</v>
      </c>
      <c r="B9" s="74">
        <v>1.4834969949458992</v>
      </c>
      <c r="C9" s="74">
        <v>2.2945453456996132</v>
      </c>
    </row>
    <row r="10" spans="1:20" ht="15.75" customHeight="1">
      <c r="A10" s="1" t="s">
        <v>265</v>
      </c>
      <c r="B10" s="74">
        <v>1.2877973092893138</v>
      </c>
      <c r="C10" s="74">
        <v>2.0530732647687171</v>
      </c>
    </row>
    <row r="11" spans="1:20" ht="15.75" customHeight="1">
      <c r="M11" s="74"/>
      <c r="Q11" s="74"/>
    </row>
    <row r="12" spans="1:20" ht="15.75" customHeight="1">
      <c r="M12" s="74"/>
      <c r="Q12" s="74"/>
      <c r="T12" s="74"/>
    </row>
    <row r="13" spans="1:20" ht="15.75" customHeight="1">
      <c r="B13" s="74"/>
      <c r="L13" s="74"/>
      <c r="P13" s="74"/>
      <c r="T13" s="74"/>
    </row>
    <row r="14" spans="1:20" ht="15.75" customHeight="1">
      <c r="B14" s="74"/>
    </row>
    <row r="21" spans="1:8" ht="15.75" customHeight="1">
      <c r="B21" s="1" t="s">
        <v>266</v>
      </c>
    </row>
    <row r="22" spans="1:8" ht="15.75" customHeight="1">
      <c r="A22" s="1" t="s">
        <v>231</v>
      </c>
      <c r="B22" s="1" t="s">
        <v>36</v>
      </c>
      <c r="C22" s="1" t="s">
        <v>39</v>
      </c>
      <c r="D22" s="1" t="s">
        <v>38</v>
      </c>
      <c r="E22" s="1" t="s">
        <v>263</v>
      </c>
      <c r="F22" s="1" t="s">
        <v>264</v>
      </c>
      <c r="G22" s="1" t="s">
        <v>63</v>
      </c>
      <c r="H22" s="1" t="s">
        <v>265</v>
      </c>
    </row>
    <row r="23" spans="1:8" ht="15.75" customHeight="1">
      <c r="A23" s="1" t="s">
        <v>237</v>
      </c>
      <c r="B23" s="14">
        <v>0.63331106342930354</v>
      </c>
      <c r="C23" s="14">
        <v>0.37764486777568607</v>
      </c>
      <c r="D23" s="14">
        <v>0.18151677355719187</v>
      </c>
      <c r="E23" s="14">
        <v>0.40142747785839106</v>
      </c>
      <c r="F23" s="14">
        <v>5.6334903402216696E-2</v>
      </c>
      <c r="G23" s="14">
        <v>0.28896522529979052</v>
      </c>
      <c r="H23" s="14">
        <v>5.860021271075766E-2</v>
      </c>
    </row>
    <row r="24" spans="1:8" ht="15.75" customHeight="1">
      <c r="A24" s="1" t="s">
        <v>238</v>
      </c>
      <c r="B24" s="14">
        <v>-7.7784026718437644</v>
      </c>
      <c r="C24" s="14">
        <v>-7.6262127928213346</v>
      </c>
      <c r="D24" s="14">
        <v>-7.7435194187640661</v>
      </c>
      <c r="E24" s="14">
        <v>-7.597943489857073</v>
      </c>
      <c r="F24" s="14">
        <v>-7.8291179896476848</v>
      </c>
      <c r="G24" s="14">
        <v>-7.7216130620944625</v>
      </c>
      <c r="H24" s="14">
        <v>-7.9100102392932001</v>
      </c>
    </row>
    <row r="25" spans="1:8" ht="15.75" customHeight="1">
      <c r="A25" s="1" t="s">
        <v>239</v>
      </c>
      <c r="B25" s="14">
        <v>-0.29933639417640734</v>
      </c>
      <c r="C25" s="14">
        <v>-4.7968638672557518E-2</v>
      </c>
      <c r="D25" s="14">
        <v>-0.12721681342578961</v>
      </c>
      <c r="E25" s="14">
        <v>-6.4936495547527784E-2</v>
      </c>
      <c r="F25" s="14">
        <v>-0.17660181106882078</v>
      </c>
      <c r="G25" s="14">
        <v>-4.2189276176443968E-2</v>
      </c>
      <c r="H25" s="14">
        <v>-0.16644870736590178</v>
      </c>
    </row>
    <row r="26" spans="1:8" ht="15.75" customHeight="1">
      <c r="A26" s="1" t="s">
        <v>240</v>
      </c>
      <c r="B26" s="14">
        <v>-0.33540444307504913</v>
      </c>
      <c r="C26" s="14">
        <v>-2.1168035121146218</v>
      </c>
      <c r="D26" s="14">
        <v>-2.0726393934263641</v>
      </c>
      <c r="E26" s="14">
        <v>-2.1500426903020582</v>
      </c>
      <c r="F26" s="14">
        <v>-1.8210269092195475</v>
      </c>
      <c r="G26" s="14">
        <v>-2.1455371720848859</v>
      </c>
      <c r="H26" s="14">
        <v>-1.7735118899253166</v>
      </c>
    </row>
    <row r="27" spans="1:8" ht="15.75" customHeight="1">
      <c r="A27" s="1" t="s">
        <v>241</v>
      </c>
      <c r="B27" s="14">
        <v>-0.51087799406175805</v>
      </c>
      <c r="C27" s="14">
        <v>0.90508464249811027</v>
      </c>
      <c r="D27" s="14">
        <v>-0.33025565958263314</v>
      </c>
      <c r="E27" s="14">
        <v>0.36032482027162871</v>
      </c>
      <c r="F27" s="14">
        <v>-0.40036102092683734</v>
      </c>
      <c r="G27" s="14">
        <v>-0.26533352671817312</v>
      </c>
      <c r="H27" s="14">
        <v>-0.44295009067990776</v>
      </c>
    </row>
    <row r="28" spans="1:8" ht="15.75" customHeight="1">
      <c r="A28" s="1" t="s">
        <v>242</v>
      </c>
      <c r="B28" s="14">
        <v>-0.10524392901848501</v>
      </c>
      <c r="C28" s="14">
        <v>-3.8771847690071581E-2</v>
      </c>
      <c r="D28" s="14">
        <v>-6.8886028585396275E-2</v>
      </c>
      <c r="E28" s="14">
        <v>-4.8247241130425778E-2</v>
      </c>
      <c r="F28" s="14">
        <v>-8.5458554482784166E-2</v>
      </c>
      <c r="G28" s="14">
        <v>-1.4694308175947413E-2</v>
      </c>
      <c r="H28" s="14">
        <v>-5.7810485899125297E-2</v>
      </c>
    </row>
    <row r="29" spans="1:8" ht="15.75" customHeight="1">
      <c r="A29" s="1" t="s">
        <v>243</v>
      </c>
      <c r="B29" s="14">
        <v>-0.91377583911460025</v>
      </c>
      <c r="C29" s="14">
        <v>-0.56240816967426621</v>
      </c>
      <c r="D29" s="14">
        <v>-0.87911221433793685</v>
      </c>
      <c r="E29" s="14">
        <v>-0.60709312116131642</v>
      </c>
      <c r="F29" s="14">
        <v>-0.88300277322097998</v>
      </c>
      <c r="G29" s="14">
        <v>-0.82751210813268816</v>
      </c>
      <c r="H29" s="14">
        <v>-0.97559179996903733</v>
      </c>
    </row>
    <row r="30" spans="1:8" ht="15.75" customHeight="1">
      <c r="A30" s="1" t="s">
        <v>244</v>
      </c>
      <c r="B30" s="14">
        <v>-0.18696251099428096</v>
      </c>
      <c r="C30" s="14">
        <v>-0.37016390967382939</v>
      </c>
      <c r="D30" s="14">
        <v>-0.39763627554728487</v>
      </c>
      <c r="E30" s="14">
        <v>-0.37438077343469622</v>
      </c>
      <c r="F30" s="14">
        <v>-0.39085917299293094</v>
      </c>
      <c r="G30" s="14">
        <v>-0.38114532593177408</v>
      </c>
      <c r="H30" s="14">
        <v>-0.38719451745940425</v>
      </c>
    </row>
    <row r="31" spans="1:8" ht="15.75" customHeight="1">
      <c r="A31" s="1" t="s">
        <v>245</v>
      </c>
      <c r="B31" s="14">
        <v>-0.24546811278514546</v>
      </c>
      <c r="C31" s="14">
        <v>-0.45286627764655663</v>
      </c>
      <c r="D31" s="14">
        <v>-0.48348874121204588</v>
      </c>
      <c r="E31" s="14">
        <v>-0.45429699930009093</v>
      </c>
      <c r="F31" s="14">
        <v>-0.47267047748218793</v>
      </c>
      <c r="G31" s="14">
        <v>-0.45456055328514466</v>
      </c>
      <c r="H31" s="14">
        <v>-0.46101762609732155</v>
      </c>
    </row>
    <row r="32" spans="1:8" ht="15.75" customHeight="1">
      <c r="A32" s="1" t="s">
        <v>246</v>
      </c>
      <c r="B32" s="14">
        <v>-2.1516699452762111</v>
      </c>
      <c r="C32" s="14">
        <v>2.2969017774783538</v>
      </c>
      <c r="D32" s="14">
        <v>3.6584593405505501</v>
      </c>
      <c r="E32" s="14">
        <v>2.3129722953240162</v>
      </c>
      <c r="F32" s="14">
        <v>-0.6846280356130876</v>
      </c>
      <c r="G32" s="14">
        <v>4.7982989716693396</v>
      </c>
      <c r="H32" s="14">
        <v>-1.3254470118791559</v>
      </c>
    </row>
    <row r="33" spans="1:8" ht="15.75" customHeight="1">
      <c r="A33" s="1" t="s">
        <v>247</v>
      </c>
      <c r="B33" s="14">
        <v>-6.4121049359854965E-2</v>
      </c>
      <c r="C33" s="14">
        <v>6.8274016324766507</v>
      </c>
      <c r="D33" s="14">
        <v>1.8131614711517798</v>
      </c>
      <c r="E33" s="14">
        <v>6.7456057695400773</v>
      </c>
      <c r="F33" s="14">
        <v>1.3314098777411161</v>
      </c>
      <c r="G33" s="14">
        <v>3.3922514772743426</v>
      </c>
      <c r="H33" s="14">
        <v>1.0435336197257286</v>
      </c>
    </row>
    <row r="34" spans="1:8" ht="15.75" customHeight="1">
      <c r="A34" s="1" t="s">
        <v>248</v>
      </c>
      <c r="B34" s="14">
        <v>-2.7473191136822095</v>
      </c>
      <c r="C34" s="14">
        <v>1.2178318406370465</v>
      </c>
      <c r="D34" s="14">
        <v>-4.5250656313008619E-2</v>
      </c>
      <c r="E34" s="14">
        <v>1.1603080447253831</v>
      </c>
      <c r="F34" s="14">
        <v>-0.51431400769851621</v>
      </c>
      <c r="G34" s="14">
        <v>0.41570527217890429</v>
      </c>
      <c r="H34" s="14">
        <v>-0.87548337552836131</v>
      </c>
    </row>
    <row r="35" spans="1:8" ht="15.75" customHeight="1">
      <c r="A35" s="1" t="s">
        <v>249</v>
      </c>
      <c r="B35" s="14">
        <v>-0.2395663230001901</v>
      </c>
      <c r="C35" s="14">
        <v>0.5279091709169208</v>
      </c>
      <c r="D35" s="14">
        <v>0.13362612682785624</v>
      </c>
      <c r="E35" s="14">
        <v>0.59512798866115446</v>
      </c>
      <c r="F35" s="14">
        <v>-6.3380480674155137E-2</v>
      </c>
      <c r="G35" s="14">
        <v>0.48116598820657686</v>
      </c>
      <c r="H35" s="14">
        <v>-0.13775290654337624</v>
      </c>
    </row>
    <row r="36" spans="1:8" ht="15.75" customHeight="1">
      <c r="A36" s="1" t="s">
        <v>250</v>
      </c>
      <c r="B36" s="14">
        <v>-0.58447068165950622</v>
      </c>
      <c r="C36" s="14">
        <v>-0.44639349126927907</v>
      </c>
      <c r="D36" s="14">
        <v>-0.66081348742366863</v>
      </c>
      <c r="E36" s="14">
        <v>-0.48640977210024516</v>
      </c>
      <c r="F36" s="14">
        <v>-0.69100924454735679</v>
      </c>
      <c r="G36" s="14">
        <v>-0.6411347894984214</v>
      </c>
      <c r="H36" s="14">
        <v>-0.74270347716309981</v>
      </c>
    </row>
    <row r="37" spans="1:8" ht="15.75" customHeight="1">
      <c r="A37" s="1" t="s">
        <v>251</v>
      </c>
      <c r="B37" s="14">
        <v>-0.33251689847188093</v>
      </c>
      <c r="C37" s="14">
        <v>-0.52435282758709967</v>
      </c>
      <c r="D37" s="14">
        <v>-0.5482609395266751</v>
      </c>
      <c r="E37" s="14">
        <v>-0.5307157739709476</v>
      </c>
      <c r="F37" s="14">
        <v>-0.5554835739654429</v>
      </c>
      <c r="G37" s="14">
        <v>-0.53616255647141386</v>
      </c>
      <c r="H37" s="14">
        <v>-0.55142358763268451</v>
      </c>
    </row>
    <row r="38" spans="1:8" ht="15.75" customHeight="1">
      <c r="A38" s="1" t="s">
        <v>252</v>
      </c>
      <c r="B38" s="14">
        <v>-0.35248195220291478</v>
      </c>
      <c r="C38" s="14">
        <v>-0.52536081948014424</v>
      </c>
      <c r="D38" s="14">
        <v>-0.5463698375127839</v>
      </c>
      <c r="E38" s="14">
        <v>-0.52814068655883961</v>
      </c>
      <c r="F38" s="14">
        <v>-0.5497332884613888</v>
      </c>
      <c r="G38" s="14">
        <v>-0.5309205536375341</v>
      </c>
      <c r="H38" s="14">
        <v>-0.5419145200954345</v>
      </c>
    </row>
    <row r="39" spans="1:8" ht="15.75" customHeight="1">
      <c r="A39" s="1" t="s">
        <v>253</v>
      </c>
      <c r="B39" s="14">
        <v>1.7641582237136788</v>
      </c>
      <c r="C39" s="14">
        <v>1.3368744549688145</v>
      </c>
      <c r="D39" s="14">
        <v>1.3828771764168124</v>
      </c>
      <c r="E39" s="14">
        <v>1.3597848267966413</v>
      </c>
      <c r="F39" s="14">
        <v>1.3907461455469203</v>
      </c>
      <c r="G39" s="14">
        <v>1.368249929960939</v>
      </c>
      <c r="H39" s="14">
        <v>1.3947873067224208</v>
      </c>
    </row>
    <row r="40" spans="1:8" ht="15.75" customHeight="1">
      <c r="A40" s="1" t="s">
        <v>254</v>
      </c>
      <c r="B40" s="14">
        <v>0.82882590231261366</v>
      </c>
      <c r="C40" s="14">
        <v>-1.153821738425421</v>
      </c>
      <c r="D40" s="14">
        <v>-1.1363895245087821</v>
      </c>
      <c r="E40" s="14">
        <v>-1.1161586182491841</v>
      </c>
      <c r="F40" s="14">
        <v>-1.1665539061682504</v>
      </c>
      <c r="G40" s="14">
        <v>-1.1370170340071977</v>
      </c>
      <c r="H40" s="14">
        <v>-1.1758096713055517</v>
      </c>
    </row>
    <row r="41" spans="1:8" ht="15.75" customHeight="1">
      <c r="A41" s="1" t="s">
        <v>255</v>
      </c>
      <c r="B41" s="14">
        <v>-3.0857519590039013</v>
      </c>
      <c r="C41" s="14">
        <v>-2.64749304908324</v>
      </c>
      <c r="D41" s="14">
        <v>-2.8633814172235077</v>
      </c>
      <c r="E41" s="14">
        <v>-2.7057886815074594</v>
      </c>
      <c r="F41" s="14">
        <v>-2.9140402593238117</v>
      </c>
      <c r="G41" s="14">
        <v>-2.7922720407745802</v>
      </c>
      <c r="H41" s="14">
        <v>-2.9428366702225159</v>
      </c>
    </row>
    <row r="42" spans="1:8" ht="15.75" customHeight="1">
      <c r="A42" s="1" t="s">
        <v>256</v>
      </c>
      <c r="B42" s="14">
        <v>-2.9518265161221127</v>
      </c>
      <c r="C42" s="14">
        <v>-2.5496305773101078</v>
      </c>
      <c r="D42" s="14">
        <v>-2.7531256329101703</v>
      </c>
      <c r="E42" s="14">
        <v>-2.6154186731154478</v>
      </c>
      <c r="F42" s="14">
        <v>-2.8029561623841048</v>
      </c>
      <c r="G42" s="14">
        <v>-2.6915293004657856</v>
      </c>
      <c r="H42" s="14">
        <v>-2.8285773752622028</v>
      </c>
    </row>
    <row r="43" spans="1:8" ht="15.75" customHeight="1">
      <c r="A43" s="1" t="s">
        <v>257</v>
      </c>
      <c r="B43" s="14">
        <v>-3.046398185481455</v>
      </c>
      <c r="C43" s="14">
        <v>-2.5497934422654112</v>
      </c>
      <c r="D43" s="14">
        <v>-2.7526358881811648</v>
      </c>
      <c r="E43" s="14">
        <v>-2.5924515380290618</v>
      </c>
      <c r="F43" s="14">
        <v>-2.8025542688407716</v>
      </c>
      <c r="G43" s="14">
        <v>-2.6715804860432364</v>
      </c>
      <c r="H43" s="14">
        <v>-2.8386862658351664</v>
      </c>
    </row>
    <row r="44" spans="1:8" ht="15.75" customHeight="1">
      <c r="A44" s="1" t="s">
        <v>258</v>
      </c>
      <c r="B44" s="14">
        <v>-2.1054436322887167</v>
      </c>
      <c r="C44" s="14">
        <v>-1.9720037371260251</v>
      </c>
      <c r="D44" s="14">
        <v>-2.0425734554762274</v>
      </c>
      <c r="E44" s="14">
        <v>-2.0050923130566707</v>
      </c>
      <c r="F44" s="14">
        <v>-2.0820061524907878</v>
      </c>
      <c r="G44" s="14">
        <v>-2.0246768845357543</v>
      </c>
      <c r="H44" s="14">
        <v>-2.0819873271908538</v>
      </c>
    </row>
    <row r="45" spans="1:8" ht="15.75" customHeight="1">
      <c r="A45" s="1" t="s">
        <v>259</v>
      </c>
      <c r="B45" s="14">
        <v>-0.85197569455715616</v>
      </c>
      <c r="C45" s="14">
        <v>-0.71999162151924878</v>
      </c>
      <c r="D45" s="14">
        <v>-0.88311899113545422</v>
      </c>
      <c r="E45" s="14">
        <v>-0.73673357499119874</v>
      </c>
      <c r="F45" s="14">
        <v>-0.85991368982269023</v>
      </c>
      <c r="G45" s="14">
        <v>-0.78099181996510758</v>
      </c>
      <c r="H45" s="14">
        <v>-0.88005674491445163</v>
      </c>
    </row>
    <row r="46" spans="1:8" ht="15.75" customHeight="1">
      <c r="A46" s="1" t="s">
        <v>260</v>
      </c>
      <c r="B46" s="14">
        <v>-3.587562790003318E-2</v>
      </c>
      <c r="C46" s="14">
        <v>-0.3393454970188241</v>
      </c>
      <c r="D46" s="14">
        <v>-0.31673633027530279</v>
      </c>
      <c r="E46" s="14">
        <v>-0.34879579002358696</v>
      </c>
      <c r="F46" s="14">
        <v>-0.29429031484709434</v>
      </c>
      <c r="G46" s="14">
        <v>-0.31060556223394009</v>
      </c>
      <c r="H46" s="14">
        <v>-0.27070850839172955</v>
      </c>
    </row>
    <row r="47" spans="1:8" ht="15.75" customHeight="1">
      <c r="A47" s="1" t="s">
        <v>261</v>
      </c>
      <c r="B47" s="14">
        <v>-6.2512468639253527E-2</v>
      </c>
      <c r="C47" s="14">
        <v>-0.42643660314787901</v>
      </c>
      <c r="D47" s="14">
        <v>-0.38862288078619045</v>
      </c>
      <c r="E47" s="14">
        <v>-0.42424031972507592</v>
      </c>
      <c r="F47" s="14">
        <v>-0.35990804611586036</v>
      </c>
      <c r="G47" s="14">
        <v>-0.37331164882509782</v>
      </c>
      <c r="H47" s="14">
        <v>-0.33008879442013139</v>
      </c>
    </row>
    <row r="49" spans="1:12" ht="15.75" customHeight="1">
      <c r="D49" s="1" t="s">
        <v>267</v>
      </c>
    </row>
    <row r="50" spans="1:12" ht="15.75" customHeight="1">
      <c r="A50" s="1" t="s">
        <v>231</v>
      </c>
      <c r="B50" s="32" t="s">
        <v>39</v>
      </c>
      <c r="C50" s="1" t="s">
        <v>38</v>
      </c>
      <c r="D50" s="32" t="s">
        <v>263</v>
      </c>
      <c r="E50" s="32" t="s">
        <v>264</v>
      </c>
      <c r="F50" s="32" t="s">
        <v>63</v>
      </c>
      <c r="G50" s="32" t="s">
        <v>265</v>
      </c>
      <c r="H50" s="1" t="s">
        <v>268</v>
      </c>
      <c r="I50" s="1" t="s">
        <v>269</v>
      </c>
      <c r="J50" s="32"/>
      <c r="K50" s="32"/>
    </row>
    <row r="51" spans="1:12" ht="15.75" customHeight="1">
      <c r="A51" s="1" t="s">
        <v>237</v>
      </c>
      <c r="B51" s="77" t="b">
        <f t="shared" ref="B51:B75" si="0">ABS(C23) &lt; ABS(B23)</f>
        <v>1</v>
      </c>
      <c r="C51" s="77" t="b">
        <f t="shared" ref="C51:C75" si="1">ABS(D23) &lt; ABS(B23)</f>
        <v>1</v>
      </c>
      <c r="D51" s="77" t="b">
        <f t="shared" ref="D51:D75" si="2">ABS(E23) &lt; ABS(B23)</f>
        <v>1</v>
      </c>
      <c r="E51" s="77" t="b">
        <f t="shared" ref="E51:E75" si="3">ABS(F23) &lt; ABS(B23)</f>
        <v>1</v>
      </c>
      <c r="F51" s="77" t="b">
        <f t="shared" ref="F51:F75" si="4">ABS(G23) &lt; ABS(B23)</f>
        <v>1</v>
      </c>
      <c r="G51" s="77" t="b">
        <f t="shared" ref="G51:G75" si="5">ABS(H23) &lt; ABS(B23)</f>
        <v>1</v>
      </c>
      <c r="H51" s="30" t="b">
        <f>SFigure15!B4 &lt; 11.5</f>
        <v>0</v>
      </c>
    </row>
    <row r="52" spans="1:12" ht="15.75" customHeight="1">
      <c r="A52" s="1" t="s">
        <v>238</v>
      </c>
      <c r="B52" s="77" t="b">
        <f t="shared" si="0"/>
        <v>1</v>
      </c>
      <c r="C52" s="77" t="b">
        <f t="shared" si="1"/>
        <v>1</v>
      </c>
      <c r="D52" s="77" t="b">
        <f t="shared" si="2"/>
        <v>1</v>
      </c>
      <c r="E52" s="78" t="b">
        <f t="shared" si="3"/>
        <v>0</v>
      </c>
      <c r="F52" s="77" t="b">
        <f t="shared" si="4"/>
        <v>1</v>
      </c>
      <c r="G52" s="78" t="b">
        <f t="shared" si="5"/>
        <v>0</v>
      </c>
      <c r="H52" s="30" t="b">
        <f>SFigure15!B5 &lt; 11.5</f>
        <v>0</v>
      </c>
    </row>
    <row r="53" spans="1:12" ht="15.75" customHeight="1">
      <c r="A53" s="1" t="s">
        <v>239</v>
      </c>
      <c r="B53" s="77" t="b">
        <f t="shared" si="0"/>
        <v>1</v>
      </c>
      <c r="C53" s="77" t="b">
        <f t="shared" si="1"/>
        <v>1</v>
      </c>
      <c r="D53" s="77" t="b">
        <f t="shared" si="2"/>
        <v>1</v>
      </c>
      <c r="E53" s="77" t="b">
        <f t="shared" si="3"/>
        <v>1</v>
      </c>
      <c r="F53" s="77" t="b">
        <f t="shared" si="4"/>
        <v>1</v>
      </c>
      <c r="G53" s="77" t="b">
        <f t="shared" si="5"/>
        <v>1</v>
      </c>
      <c r="H53" s="30" t="b">
        <f>SFigure15!B6 &lt; 11.5</f>
        <v>0</v>
      </c>
      <c r="K53" s="27">
        <f>0.5/27.2114</f>
        <v>1.8374651800348384E-2</v>
      </c>
      <c r="L53" s="1" t="s">
        <v>270</v>
      </c>
    </row>
    <row r="54" spans="1:12" ht="15.75" customHeight="1">
      <c r="A54" s="1" t="s">
        <v>240</v>
      </c>
      <c r="B54" s="78" t="b">
        <f t="shared" si="0"/>
        <v>0</v>
      </c>
      <c r="C54" s="78" t="b">
        <f t="shared" si="1"/>
        <v>0</v>
      </c>
      <c r="D54" s="78" t="b">
        <f t="shared" si="2"/>
        <v>0</v>
      </c>
      <c r="E54" s="78" t="b">
        <f t="shared" si="3"/>
        <v>0</v>
      </c>
      <c r="F54" s="78" t="b">
        <f t="shared" si="4"/>
        <v>0</v>
      </c>
      <c r="G54" s="78" t="b">
        <f t="shared" si="5"/>
        <v>0</v>
      </c>
      <c r="H54" s="30" t="b">
        <f>SFigure15!B7 &lt; 11.5</f>
        <v>0</v>
      </c>
      <c r="K54" s="27">
        <f>K53*627.509</f>
        <v>11.530259376584814</v>
      </c>
      <c r="L54" s="1" t="s">
        <v>271</v>
      </c>
    </row>
    <row r="55" spans="1:12" ht="15.75" customHeight="1">
      <c r="A55" s="1" t="s">
        <v>241</v>
      </c>
      <c r="B55" s="78" t="b">
        <f t="shared" si="0"/>
        <v>0</v>
      </c>
      <c r="C55" s="77" t="b">
        <f t="shared" si="1"/>
        <v>1</v>
      </c>
      <c r="D55" s="77" t="b">
        <f t="shared" si="2"/>
        <v>1</v>
      </c>
      <c r="E55" s="77" t="b">
        <f t="shared" si="3"/>
        <v>1</v>
      </c>
      <c r="F55" s="77" t="b">
        <f t="shared" si="4"/>
        <v>1</v>
      </c>
      <c r="G55" s="77" t="b">
        <f t="shared" si="5"/>
        <v>1</v>
      </c>
      <c r="H55" s="30" t="b">
        <f>SFigure15!B8 &lt; 11.5</f>
        <v>0</v>
      </c>
    </row>
    <row r="56" spans="1:12" ht="15.75" customHeight="1">
      <c r="A56" s="1" t="s">
        <v>242</v>
      </c>
      <c r="B56" s="77" t="b">
        <f t="shared" si="0"/>
        <v>1</v>
      </c>
      <c r="C56" s="77" t="b">
        <f t="shared" si="1"/>
        <v>1</v>
      </c>
      <c r="D56" s="77" t="b">
        <f t="shared" si="2"/>
        <v>1</v>
      </c>
      <c r="E56" s="77" t="b">
        <f t="shared" si="3"/>
        <v>1</v>
      </c>
      <c r="F56" s="77" t="b">
        <f t="shared" si="4"/>
        <v>1</v>
      </c>
      <c r="G56" s="77" t="b">
        <f t="shared" si="5"/>
        <v>1</v>
      </c>
      <c r="H56" s="30" t="b">
        <f>SFigure15!B9 &lt; 11.5</f>
        <v>0</v>
      </c>
    </row>
    <row r="57" spans="1:12" ht="15.75" customHeight="1">
      <c r="A57" s="1" t="s">
        <v>243</v>
      </c>
      <c r="B57" s="77" t="b">
        <f t="shared" si="0"/>
        <v>1</v>
      </c>
      <c r="C57" s="77" t="b">
        <f t="shared" si="1"/>
        <v>1</v>
      </c>
      <c r="D57" s="77" t="b">
        <f t="shared" si="2"/>
        <v>1</v>
      </c>
      <c r="E57" s="77" t="b">
        <f t="shared" si="3"/>
        <v>1</v>
      </c>
      <c r="F57" s="77" t="b">
        <f t="shared" si="4"/>
        <v>1</v>
      </c>
      <c r="G57" s="78" t="b">
        <f t="shared" si="5"/>
        <v>0</v>
      </c>
      <c r="H57" s="79" t="b">
        <f>SFigure15!B10 &lt; 11.5</f>
        <v>1</v>
      </c>
    </row>
    <row r="58" spans="1:12" ht="15.75" customHeight="1">
      <c r="A58" s="1" t="s">
        <v>244</v>
      </c>
      <c r="B58" s="78" t="b">
        <f t="shared" si="0"/>
        <v>0</v>
      </c>
      <c r="C58" s="78" t="b">
        <f t="shared" si="1"/>
        <v>0</v>
      </c>
      <c r="D58" s="78" t="b">
        <f t="shared" si="2"/>
        <v>0</v>
      </c>
      <c r="E58" s="78" t="b">
        <f t="shared" si="3"/>
        <v>0</v>
      </c>
      <c r="F58" s="78" t="b">
        <f t="shared" si="4"/>
        <v>0</v>
      </c>
      <c r="G58" s="78" t="b">
        <f t="shared" si="5"/>
        <v>0</v>
      </c>
      <c r="H58" s="79" t="b">
        <f>SFigure15!B11 &lt; 11.5</f>
        <v>1</v>
      </c>
    </row>
    <row r="59" spans="1:12" ht="15.75" customHeight="1">
      <c r="A59" s="1" t="s">
        <v>245</v>
      </c>
      <c r="B59" s="78" t="b">
        <f t="shared" si="0"/>
        <v>0</v>
      </c>
      <c r="C59" s="78" t="b">
        <f t="shared" si="1"/>
        <v>0</v>
      </c>
      <c r="D59" s="78" t="b">
        <f t="shared" si="2"/>
        <v>0</v>
      </c>
      <c r="E59" s="78" t="b">
        <f t="shared" si="3"/>
        <v>0</v>
      </c>
      <c r="F59" s="78" t="b">
        <f t="shared" si="4"/>
        <v>0</v>
      </c>
      <c r="G59" s="78" t="b">
        <f t="shared" si="5"/>
        <v>0</v>
      </c>
      <c r="H59" s="79" t="b">
        <f>SFigure15!B12 &lt; 11.5</f>
        <v>1</v>
      </c>
    </row>
    <row r="60" spans="1:12" ht="15.75" customHeight="1">
      <c r="A60" s="1" t="s">
        <v>246</v>
      </c>
      <c r="B60" s="78" t="b">
        <f t="shared" si="0"/>
        <v>0</v>
      </c>
      <c r="C60" s="78" t="b">
        <f t="shared" si="1"/>
        <v>0</v>
      </c>
      <c r="D60" s="78" t="b">
        <f t="shared" si="2"/>
        <v>0</v>
      </c>
      <c r="E60" s="77" t="b">
        <f t="shared" si="3"/>
        <v>1</v>
      </c>
      <c r="F60" s="78" t="b">
        <f t="shared" si="4"/>
        <v>0</v>
      </c>
      <c r="G60" s="78" t="b">
        <f t="shared" si="5"/>
        <v>1</v>
      </c>
      <c r="H60" s="30" t="b">
        <f>SFigure15!B13 &lt; 11.5</f>
        <v>0</v>
      </c>
    </row>
    <row r="61" spans="1:12" ht="15.75" customHeight="1">
      <c r="A61" s="1" t="s">
        <v>247</v>
      </c>
      <c r="B61" s="78" t="b">
        <f t="shared" si="0"/>
        <v>0</v>
      </c>
      <c r="C61" s="78" t="b">
        <f t="shared" si="1"/>
        <v>0</v>
      </c>
      <c r="D61" s="78" t="b">
        <f t="shared" si="2"/>
        <v>0</v>
      </c>
      <c r="E61" s="78" t="b">
        <f t="shared" si="3"/>
        <v>0</v>
      </c>
      <c r="F61" s="78" t="b">
        <f t="shared" si="4"/>
        <v>0</v>
      </c>
      <c r="G61" s="78" t="b">
        <f t="shared" si="5"/>
        <v>0</v>
      </c>
      <c r="H61" s="30" t="b">
        <f>SFigure15!B14 &lt; 11.5</f>
        <v>0</v>
      </c>
    </row>
    <row r="62" spans="1:12" ht="15.75" customHeight="1">
      <c r="A62" s="1" t="s">
        <v>248</v>
      </c>
      <c r="B62" s="77" t="b">
        <f t="shared" si="0"/>
        <v>1</v>
      </c>
      <c r="C62" s="77" t="b">
        <f t="shared" si="1"/>
        <v>1</v>
      </c>
      <c r="D62" s="77" t="b">
        <f t="shared" si="2"/>
        <v>1</v>
      </c>
      <c r="E62" s="77" t="b">
        <f t="shared" si="3"/>
        <v>1</v>
      </c>
      <c r="F62" s="77" t="b">
        <f t="shared" si="4"/>
        <v>1</v>
      </c>
      <c r="G62" s="77" t="b">
        <f t="shared" si="5"/>
        <v>1</v>
      </c>
      <c r="H62" s="30" t="b">
        <f>SFigure15!B15 &lt; 11.5</f>
        <v>0</v>
      </c>
    </row>
    <row r="63" spans="1:12" ht="15.75" customHeight="1">
      <c r="A63" s="1" t="s">
        <v>249</v>
      </c>
      <c r="B63" s="78" t="b">
        <f t="shared" si="0"/>
        <v>0</v>
      </c>
      <c r="C63" s="77" t="b">
        <f t="shared" si="1"/>
        <v>1</v>
      </c>
      <c r="D63" s="78" t="b">
        <f t="shared" si="2"/>
        <v>0</v>
      </c>
      <c r="E63" s="77" t="b">
        <f t="shared" si="3"/>
        <v>1</v>
      </c>
      <c r="F63" s="78" t="b">
        <f t="shared" si="4"/>
        <v>0</v>
      </c>
      <c r="G63" s="77" t="b">
        <f t="shared" si="5"/>
        <v>1</v>
      </c>
      <c r="H63" s="30" t="b">
        <f>SFigure15!B16 &lt; 11.5</f>
        <v>0</v>
      </c>
    </row>
    <row r="64" spans="1:12" ht="15.75" customHeight="1">
      <c r="A64" s="1" t="s">
        <v>250</v>
      </c>
      <c r="B64" s="77" t="b">
        <f t="shared" si="0"/>
        <v>1</v>
      </c>
      <c r="C64" s="78" t="b">
        <f t="shared" si="1"/>
        <v>0</v>
      </c>
      <c r="D64" s="77" t="b">
        <f t="shared" si="2"/>
        <v>1</v>
      </c>
      <c r="E64" s="78" t="b">
        <f t="shared" si="3"/>
        <v>0</v>
      </c>
      <c r="F64" s="78" t="b">
        <f t="shared" si="4"/>
        <v>0</v>
      </c>
      <c r="G64" s="78" t="b">
        <f t="shared" si="5"/>
        <v>0</v>
      </c>
      <c r="H64" s="79" t="b">
        <f>SFigure15!B17 &lt; 11.5</f>
        <v>1</v>
      </c>
    </row>
    <row r="65" spans="1:8" ht="15.75" customHeight="1">
      <c r="A65" s="1" t="s">
        <v>251</v>
      </c>
      <c r="B65" s="78" t="b">
        <f t="shared" si="0"/>
        <v>0</v>
      </c>
      <c r="C65" s="78" t="b">
        <f t="shared" si="1"/>
        <v>0</v>
      </c>
      <c r="D65" s="78" t="b">
        <f t="shared" si="2"/>
        <v>0</v>
      </c>
      <c r="E65" s="78" t="b">
        <f t="shared" si="3"/>
        <v>0</v>
      </c>
      <c r="F65" s="78" t="b">
        <f t="shared" si="4"/>
        <v>0</v>
      </c>
      <c r="G65" s="78" t="b">
        <f t="shared" si="5"/>
        <v>0</v>
      </c>
      <c r="H65" s="79" t="b">
        <f>SFigure15!B18 &lt; 11.5</f>
        <v>1</v>
      </c>
    </row>
    <row r="66" spans="1:8" ht="15.75" customHeight="1">
      <c r="A66" s="1" t="s">
        <v>252</v>
      </c>
      <c r="B66" s="78" t="b">
        <f t="shared" si="0"/>
        <v>0</v>
      </c>
      <c r="C66" s="78" t="b">
        <f t="shared" si="1"/>
        <v>0</v>
      </c>
      <c r="D66" s="78" t="b">
        <f t="shared" si="2"/>
        <v>0</v>
      </c>
      <c r="E66" s="78" t="b">
        <f t="shared" si="3"/>
        <v>0</v>
      </c>
      <c r="F66" s="78" t="b">
        <f t="shared" si="4"/>
        <v>0</v>
      </c>
      <c r="G66" s="78" t="b">
        <f t="shared" si="5"/>
        <v>0</v>
      </c>
      <c r="H66" s="79" t="b">
        <f>SFigure15!B19 &lt; 11.5</f>
        <v>1</v>
      </c>
    </row>
    <row r="67" spans="1:8" ht="15.75" customHeight="1">
      <c r="A67" s="1" t="s">
        <v>253</v>
      </c>
      <c r="B67" s="77" t="b">
        <f t="shared" si="0"/>
        <v>1</v>
      </c>
      <c r="C67" s="77" t="b">
        <f t="shared" si="1"/>
        <v>1</v>
      </c>
      <c r="D67" s="77" t="b">
        <f t="shared" si="2"/>
        <v>1</v>
      </c>
      <c r="E67" s="77" t="b">
        <f t="shared" si="3"/>
        <v>1</v>
      </c>
      <c r="F67" s="77" t="b">
        <f t="shared" si="4"/>
        <v>1</v>
      </c>
      <c r="G67" s="77" t="b">
        <f t="shared" si="5"/>
        <v>1</v>
      </c>
      <c r="H67" s="30" t="b">
        <f>SFigure15!B20 &lt; 11.5</f>
        <v>0</v>
      </c>
    </row>
    <row r="68" spans="1:8" ht="15.75" customHeight="1">
      <c r="A68" s="1" t="s">
        <v>254</v>
      </c>
      <c r="B68" s="78" t="b">
        <f t="shared" si="0"/>
        <v>0</v>
      </c>
      <c r="C68" s="78" t="b">
        <f t="shared" si="1"/>
        <v>0</v>
      </c>
      <c r="D68" s="78" t="b">
        <f t="shared" si="2"/>
        <v>0</v>
      </c>
      <c r="E68" s="78" t="b">
        <f t="shared" si="3"/>
        <v>0</v>
      </c>
      <c r="F68" s="78" t="b">
        <f t="shared" si="4"/>
        <v>0</v>
      </c>
      <c r="G68" s="78" t="b">
        <f t="shared" si="5"/>
        <v>0</v>
      </c>
      <c r="H68" s="79" t="b">
        <f>SFigure15!B21 &lt; 11.5</f>
        <v>1</v>
      </c>
    </row>
    <row r="69" spans="1:8" ht="15.75" customHeight="1">
      <c r="A69" s="1" t="s">
        <v>255</v>
      </c>
      <c r="B69" s="77" t="b">
        <f t="shared" si="0"/>
        <v>1</v>
      </c>
      <c r="C69" s="77" t="b">
        <f t="shared" si="1"/>
        <v>1</v>
      </c>
      <c r="D69" s="77" t="b">
        <f t="shared" si="2"/>
        <v>1</v>
      </c>
      <c r="E69" s="77" t="b">
        <f t="shared" si="3"/>
        <v>1</v>
      </c>
      <c r="F69" s="77" t="b">
        <f t="shared" si="4"/>
        <v>1</v>
      </c>
      <c r="G69" s="77" t="b">
        <f t="shared" si="5"/>
        <v>1</v>
      </c>
      <c r="H69" s="79" t="b">
        <f>SFigure15!B22 &lt; 11.5</f>
        <v>1</v>
      </c>
    </row>
    <row r="70" spans="1:8" ht="15.75" customHeight="1">
      <c r="A70" s="1" t="s">
        <v>256</v>
      </c>
      <c r="B70" s="77" t="b">
        <f t="shared" si="0"/>
        <v>1</v>
      </c>
      <c r="C70" s="77" t="b">
        <f t="shared" si="1"/>
        <v>1</v>
      </c>
      <c r="D70" s="77" t="b">
        <f t="shared" si="2"/>
        <v>1</v>
      </c>
      <c r="E70" s="77" t="b">
        <f t="shared" si="3"/>
        <v>1</v>
      </c>
      <c r="F70" s="77" t="b">
        <f t="shared" si="4"/>
        <v>1</v>
      </c>
      <c r="G70" s="77" t="b">
        <f t="shared" si="5"/>
        <v>1</v>
      </c>
      <c r="H70" s="79" t="b">
        <f>SFigure15!B23 &lt; 11.5</f>
        <v>1</v>
      </c>
    </row>
    <row r="71" spans="1:8" ht="15.75" customHeight="1">
      <c r="A71" s="1" t="s">
        <v>257</v>
      </c>
      <c r="B71" s="77" t="b">
        <f t="shared" si="0"/>
        <v>1</v>
      </c>
      <c r="C71" s="77" t="b">
        <f t="shared" si="1"/>
        <v>1</v>
      </c>
      <c r="D71" s="77" t="b">
        <f t="shared" si="2"/>
        <v>1</v>
      </c>
      <c r="E71" s="77" t="b">
        <f t="shared" si="3"/>
        <v>1</v>
      </c>
      <c r="F71" s="77" t="b">
        <f t="shared" si="4"/>
        <v>1</v>
      </c>
      <c r="G71" s="77" t="b">
        <f t="shared" si="5"/>
        <v>1</v>
      </c>
      <c r="H71" s="79" t="b">
        <f>SFigure15!B24 &lt; 11.5</f>
        <v>1</v>
      </c>
    </row>
    <row r="72" spans="1:8" ht="15.75" customHeight="1">
      <c r="A72" s="1" t="s">
        <v>258</v>
      </c>
      <c r="B72" s="77" t="b">
        <f t="shared" si="0"/>
        <v>1</v>
      </c>
      <c r="C72" s="77" t="b">
        <f t="shared" si="1"/>
        <v>1</v>
      </c>
      <c r="D72" s="77" t="b">
        <f t="shared" si="2"/>
        <v>1</v>
      </c>
      <c r="E72" s="77" t="b">
        <f t="shared" si="3"/>
        <v>1</v>
      </c>
      <c r="F72" s="77" t="b">
        <f t="shared" si="4"/>
        <v>1</v>
      </c>
      <c r="G72" s="77" t="b">
        <f t="shared" si="5"/>
        <v>1</v>
      </c>
      <c r="H72" s="79" t="b">
        <f>SFigure15!B25 &lt; 11.5</f>
        <v>1</v>
      </c>
    </row>
    <row r="73" spans="1:8" ht="15.75" customHeight="1">
      <c r="A73" s="1" t="s">
        <v>259</v>
      </c>
      <c r="B73" s="77" t="b">
        <f t="shared" si="0"/>
        <v>1</v>
      </c>
      <c r="C73" s="78" t="b">
        <f t="shared" si="1"/>
        <v>0</v>
      </c>
      <c r="D73" s="77" t="b">
        <f t="shared" si="2"/>
        <v>1</v>
      </c>
      <c r="E73" s="78" t="b">
        <f t="shared" si="3"/>
        <v>0</v>
      </c>
      <c r="F73" s="77" t="b">
        <f t="shared" si="4"/>
        <v>1</v>
      </c>
      <c r="G73" s="78" t="b">
        <f t="shared" si="5"/>
        <v>0</v>
      </c>
      <c r="H73" s="30" t="b">
        <f>SFigure15!B26 &lt; 11.5</f>
        <v>0</v>
      </c>
    </row>
    <row r="74" spans="1:8" ht="15.75" customHeight="1">
      <c r="A74" s="1" t="s">
        <v>260</v>
      </c>
      <c r="B74" s="78" t="b">
        <f t="shared" si="0"/>
        <v>0</v>
      </c>
      <c r="C74" s="78" t="b">
        <f t="shared" si="1"/>
        <v>0</v>
      </c>
      <c r="D74" s="78" t="b">
        <f t="shared" si="2"/>
        <v>0</v>
      </c>
      <c r="E74" s="78" t="b">
        <f t="shared" si="3"/>
        <v>0</v>
      </c>
      <c r="F74" s="78" t="b">
        <f t="shared" si="4"/>
        <v>0</v>
      </c>
      <c r="G74" s="78" t="b">
        <f t="shared" si="5"/>
        <v>0</v>
      </c>
      <c r="H74" s="30" t="b">
        <f>SFigure15!B27 &lt; 11.5</f>
        <v>0</v>
      </c>
    </row>
    <row r="75" spans="1:8" ht="15.75" customHeight="1">
      <c r="A75" s="1" t="s">
        <v>261</v>
      </c>
      <c r="B75" s="78" t="b">
        <f t="shared" si="0"/>
        <v>0</v>
      </c>
      <c r="C75" s="78" t="b">
        <f t="shared" si="1"/>
        <v>0</v>
      </c>
      <c r="D75" s="78" t="b">
        <f t="shared" si="2"/>
        <v>0</v>
      </c>
      <c r="E75" s="78" t="b">
        <f t="shared" si="3"/>
        <v>0</v>
      </c>
      <c r="F75" s="78" t="b">
        <f t="shared" si="4"/>
        <v>0</v>
      </c>
      <c r="G75" s="78" t="b">
        <f t="shared" si="5"/>
        <v>0</v>
      </c>
      <c r="H75" s="30" t="b">
        <f>SFigure15!B28 &lt; 11.5</f>
        <v>0</v>
      </c>
    </row>
    <row r="76" spans="1:8" ht="15.75" customHeight="1">
      <c r="A76" s="1" t="s">
        <v>272</v>
      </c>
      <c r="B76" s="1">
        <f t="shared" ref="B76:G76" si="6">SUMPRODUCT(--(ABS(C23:C47) &lt; ABS(B23:B47)))</f>
        <v>13</v>
      </c>
      <c r="C76" s="1">
        <f t="shared" si="6"/>
        <v>9</v>
      </c>
      <c r="D76" s="1">
        <f t="shared" si="6"/>
        <v>17</v>
      </c>
      <c r="E76" s="1">
        <f t="shared" si="6"/>
        <v>8</v>
      </c>
      <c r="F76" s="1">
        <f t="shared" si="6"/>
        <v>18</v>
      </c>
      <c r="G76" s="1">
        <f t="shared" si="6"/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E02D-582C-49AC-9617-BE65D921D4A7}">
  <sheetPr>
    <outlinePr summaryBelow="0" summaryRight="0"/>
  </sheetPr>
  <dimension ref="A1:S94"/>
  <sheetViews>
    <sheetView workbookViewId="0"/>
  </sheetViews>
  <sheetFormatPr defaultColWidth="12.6640625" defaultRowHeight="15.75" customHeight="1"/>
  <cols>
    <col min="1" max="16384" width="12.6640625" style="2"/>
  </cols>
  <sheetData>
    <row r="1" spans="1:19" ht="15.75" customHeight="1">
      <c r="D1" s="1" t="s">
        <v>273</v>
      </c>
    </row>
    <row r="2" spans="1:19" ht="15.75" customHeight="1">
      <c r="B2" s="1" t="s">
        <v>274</v>
      </c>
      <c r="I2" s="1" t="s">
        <v>275</v>
      </c>
    </row>
    <row r="3" spans="1:19" ht="15.75" customHeight="1">
      <c r="A3" s="1" t="s">
        <v>231</v>
      </c>
      <c r="B3" s="1" t="s">
        <v>39</v>
      </c>
      <c r="C3" s="1" t="s">
        <v>38</v>
      </c>
      <c r="D3" s="1" t="s">
        <v>263</v>
      </c>
      <c r="E3" s="1" t="s">
        <v>264</v>
      </c>
      <c r="F3" s="1" t="s">
        <v>63</v>
      </c>
      <c r="G3" s="1" t="s">
        <v>265</v>
      </c>
      <c r="I3" s="1" t="s">
        <v>231</v>
      </c>
      <c r="J3" s="1" t="s">
        <v>39</v>
      </c>
      <c r="K3" s="1" t="s">
        <v>38</v>
      </c>
      <c r="L3" s="1" t="s">
        <v>263</v>
      </c>
      <c r="M3" s="1" t="s">
        <v>264</v>
      </c>
      <c r="N3" s="1" t="s">
        <v>63</v>
      </c>
      <c r="O3" s="1" t="s">
        <v>265</v>
      </c>
    </row>
    <row r="4" spans="1:19" ht="15.75" customHeight="1">
      <c r="A4" s="1" t="s">
        <v>237</v>
      </c>
      <c r="B4" s="27">
        <v>2.7682620000000002E-2</v>
      </c>
      <c r="C4" s="27">
        <v>2.0959240000000001E-2</v>
      </c>
      <c r="D4" s="27">
        <v>2.5531680000000001E-2</v>
      </c>
      <c r="E4" s="27">
        <v>1.7437060000000001E-2</v>
      </c>
      <c r="F4" s="27">
        <v>2.2062149999999999E-2</v>
      </c>
      <c r="G4" s="27">
        <v>1.5534360000000001E-2</v>
      </c>
      <c r="I4" s="1" t="s">
        <v>237</v>
      </c>
      <c r="J4" s="27">
        <f>ABS(SFigure15!H4-SFigure15!D4)</f>
        <v>1.0596699999041448E-3</v>
      </c>
      <c r="K4" s="27">
        <f>ABS(SFigure15!L4-SFigure15!D4)</f>
        <v>7.4067999992166733E-4</v>
      </c>
      <c r="L4" s="27">
        <f>ABS(SFigure15!D36-SFigure15!D4)</f>
        <v>9.3565999998190819E-4</v>
      </c>
      <c r="M4" s="27">
        <f>ABS(SFigure15!H36-SFigure15!D4)</f>
        <v>5.6486999994831422E-4</v>
      </c>
      <c r="N4" s="27">
        <f>ABS(SFigure15!D68-SFigure15!D4)</f>
        <v>7.47799999999188E-4</v>
      </c>
      <c r="O4" s="27">
        <f>ABS(SFigure15!H68-SFigure15!D4)</f>
        <v>4.7336000000086642E-4</v>
      </c>
      <c r="R4" s="27"/>
      <c r="S4" s="27"/>
    </row>
    <row r="5" spans="1:19" ht="15.75" customHeight="1">
      <c r="A5" s="1" t="s">
        <v>238</v>
      </c>
      <c r="B5" s="27">
        <v>3.425723E-2</v>
      </c>
      <c r="C5" s="27">
        <v>2.6062720000000001E-2</v>
      </c>
      <c r="D5" s="27">
        <v>3.2680859999999999E-2</v>
      </c>
      <c r="E5" s="27">
        <v>2.1936299999999999E-2</v>
      </c>
      <c r="F5" s="27">
        <v>2.8383129999999999E-2</v>
      </c>
      <c r="G5" s="27">
        <v>1.9424199999999999E-2</v>
      </c>
      <c r="I5" s="1" t="s">
        <v>238</v>
      </c>
      <c r="J5" s="27">
        <f>ABS(SFigure15!H5-SFigure15!D5)</f>
        <v>1.4689599999826441E-3</v>
      </c>
      <c r="K5" s="27">
        <f>ABS(SFigure15!L5-SFigure15!D5)</f>
        <v>1.0406699999805369E-3</v>
      </c>
      <c r="L5" s="27">
        <f>ABS(SFigure15!D37-SFigure15!D5)</f>
        <v>1.4032499999814263E-3</v>
      </c>
      <c r="M5" s="27">
        <f>ABS(SFigure15!H37-SFigure15!D5)</f>
        <v>7.9433999999878324E-4</v>
      </c>
      <c r="N5" s="27">
        <f>ABS(SFigure15!D69-SFigure15!D5)</f>
        <v>1.0875600000019858E-3</v>
      </c>
      <c r="O5" s="27">
        <f>ABS(SFigure15!H69-SFigure15!D5)</f>
        <v>6.3665999999784617E-4</v>
      </c>
      <c r="R5" s="27"/>
      <c r="S5" s="27"/>
    </row>
    <row r="6" spans="1:19" ht="15.75" customHeight="1">
      <c r="A6" s="1" t="s">
        <v>239</v>
      </c>
      <c r="B6" s="27">
        <v>3.9183170000000003E-2</v>
      </c>
      <c r="C6" s="27">
        <v>3.0073679999999998E-2</v>
      </c>
      <c r="D6" s="27">
        <v>3.6747370000000001E-2</v>
      </c>
      <c r="E6" s="27">
        <v>2.5861640000000002E-2</v>
      </c>
      <c r="F6" s="27">
        <v>3.5577610000000003E-2</v>
      </c>
      <c r="G6" s="27">
        <v>2.562503E-2</v>
      </c>
      <c r="I6" s="1" t="s">
        <v>239</v>
      </c>
      <c r="J6" s="27">
        <f>ABS(SFigure15!H6-SFigure15!D6)</f>
        <v>1.0350399999765614E-3</v>
      </c>
      <c r="K6" s="27">
        <f>ABS(SFigure15!L6-SFigure15!D6)</f>
        <v>7.0581999997898492E-4</v>
      </c>
      <c r="L6" s="27">
        <f>ABS(SFigure15!D38-SFigure15!D6)</f>
        <v>9.0923999999859006E-4</v>
      </c>
      <c r="M6" s="27">
        <f>ABS(SFigure15!H38-SFigure15!D6)</f>
        <v>5.7628999999792541E-4</v>
      </c>
      <c r="N6" s="27">
        <f>ABS(SFigure15!D70-SFigure15!D6)</f>
        <v>8.2032999998205014E-4</v>
      </c>
      <c r="O6" s="27">
        <f>ABS(SFigure15!H70-SFigure15!D6)</f>
        <v>5.3664999998659368E-4</v>
      </c>
      <c r="R6" s="27"/>
      <c r="S6" s="27"/>
    </row>
    <row r="7" spans="1:19" ht="15.75" customHeight="1">
      <c r="A7" s="1" t="s">
        <v>240</v>
      </c>
      <c r="B7" s="27">
        <v>2.7836110000000001E-2</v>
      </c>
      <c r="C7" s="27">
        <v>2.092198E-2</v>
      </c>
      <c r="D7" s="27">
        <v>2.541239E-2</v>
      </c>
      <c r="E7" s="27">
        <v>1.7959639999999999E-2</v>
      </c>
      <c r="F7" s="27">
        <v>2.3892090000000001E-2</v>
      </c>
      <c r="G7" s="27">
        <v>1.7414550000000001E-2</v>
      </c>
      <c r="I7" s="1" t="s">
        <v>240</v>
      </c>
      <c r="J7" s="27">
        <f>ABS(SFigure15!H7-SFigure15!D7)</f>
        <v>9.4243999990339944E-4</v>
      </c>
      <c r="K7" s="27">
        <f>ABS(SFigure15!L7-SFigure15!D7)</f>
        <v>6.2666999997418316E-4</v>
      </c>
      <c r="L7" s="27">
        <f>ABS(SFigure15!D39-SFigure15!D7)</f>
        <v>7.9501999994135986E-4</v>
      </c>
      <c r="M7" s="27">
        <f>ABS(SFigure15!H39-SFigure15!D7)</f>
        <v>4.7813999992740719E-4</v>
      </c>
      <c r="N7" s="27">
        <f>ABS(SFigure15!D71-SFigure15!D7)</f>
        <v>6.9559999997181876E-4</v>
      </c>
      <c r="O7" s="27">
        <f>ABS(SFigure15!H71-SFigure15!D7)</f>
        <v>4.4018999994932528E-4</v>
      </c>
      <c r="R7" s="27"/>
      <c r="S7" s="27"/>
    </row>
    <row r="8" spans="1:19" ht="15.75" customHeight="1">
      <c r="A8" s="1" t="s">
        <v>241</v>
      </c>
      <c r="B8" s="27">
        <v>3.4065570000000003E-2</v>
      </c>
      <c r="C8" s="27">
        <v>2.5804649999999998E-2</v>
      </c>
      <c r="D8" s="27">
        <v>3.2005150000000003E-2</v>
      </c>
      <c r="E8" s="27">
        <v>2.2197519999999998E-2</v>
      </c>
      <c r="F8" s="27">
        <v>2.9768889999999999E-2</v>
      </c>
      <c r="G8" s="27">
        <v>2.1150169999999999E-2</v>
      </c>
      <c r="I8" s="1" t="s">
        <v>241</v>
      </c>
      <c r="J8" s="27">
        <f>ABS(SFigure15!H8-SFigure15!D8)</f>
        <v>1.212780000003022E-3</v>
      </c>
      <c r="K8" s="27">
        <f>ABS(SFigure15!L8-SFigure15!D8)</f>
        <v>8.3673000000317188E-4</v>
      </c>
      <c r="L8" s="27">
        <f>ABS(SFigure15!D40-SFigure15!D8)</f>
        <v>1.1215300000060324E-3</v>
      </c>
      <c r="M8" s="27">
        <f>ABS(SFigure15!H40-SFigure15!D8)</f>
        <v>6.3013999999839143E-4</v>
      </c>
      <c r="N8" s="27">
        <f>ABS(SFigure15!D72-SFigure15!D8)</f>
        <v>9.1878000000633619E-4</v>
      </c>
      <c r="O8" s="27">
        <f>ABS(SFigure15!H72-SFigure15!D8)</f>
        <v>5.3900000000339787E-4</v>
      </c>
      <c r="R8" s="27"/>
      <c r="S8" s="27"/>
    </row>
    <row r="9" spans="1:19" ht="15.75" customHeight="1">
      <c r="A9" s="1" t="s">
        <v>242</v>
      </c>
      <c r="B9" s="27">
        <v>3.5739670000000001E-2</v>
      </c>
      <c r="C9" s="27">
        <v>2.7004940000000002E-2</v>
      </c>
      <c r="D9" s="27">
        <v>3.2963159999999998E-2</v>
      </c>
      <c r="E9" s="27">
        <v>2.3718610000000001E-2</v>
      </c>
      <c r="F9" s="27">
        <v>3.3043179999999998E-2</v>
      </c>
      <c r="G9" s="27">
        <v>2.4631500000000001E-2</v>
      </c>
      <c r="I9" s="1" t="s">
        <v>242</v>
      </c>
      <c r="J9" s="27">
        <f>ABS(SFigure15!H9-SFigure15!D9)</f>
        <v>6.571399999870664E-4</v>
      </c>
      <c r="K9" s="27">
        <f>ABS(SFigure15!L9-SFigure15!D9)</f>
        <v>4.4442999998750565E-4</v>
      </c>
      <c r="L9" s="27">
        <f>ABS(SFigure15!D41-SFigure15!D9)</f>
        <v>5.5401000000188105E-4</v>
      </c>
      <c r="M9" s="27">
        <f>ABS(SFigure15!H41-SFigure15!D9)</f>
        <v>3.6793999998963045E-4</v>
      </c>
      <c r="N9" s="27">
        <f>ABS(SFigure15!D73-SFigure15!D9)</f>
        <v>5.1812999998901432E-4</v>
      </c>
      <c r="O9" s="27">
        <f>ABS(SFigure15!H73-SFigure15!D9)</f>
        <v>3.6398000000303909E-4</v>
      </c>
      <c r="R9" s="27"/>
      <c r="S9" s="27"/>
    </row>
    <row r="10" spans="1:19" ht="15.75" customHeight="1">
      <c r="A10" s="1" t="s">
        <v>243</v>
      </c>
      <c r="B10" s="27">
        <v>3.5654089999999999E-2</v>
      </c>
      <c r="C10" s="27">
        <v>2.6183069999999999E-2</v>
      </c>
      <c r="D10" s="27">
        <v>3.3161900000000001E-2</v>
      </c>
      <c r="E10" s="27">
        <v>2.3558340000000001E-2</v>
      </c>
      <c r="F10" s="27">
        <v>3.0379199999999999E-2</v>
      </c>
      <c r="G10" s="27">
        <v>2.1995049999999999E-2</v>
      </c>
      <c r="I10" s="1" t="s">
        <v>243</v>
      </c>
      <c r="J10" s="27">
        <f>ABS(SFigure15!H10-SFigure15!D10)</f>
        <v>1.4451800000188086E-3</v>
      </c>
      <c r="K10" s="27">
        <f>ABS(SFigure15!L10-SFigure15!D10)</f>
        <v>7.3133000000780157E-4</v>
      </c>
      <c r="L10" s="27">
        <f>ABS(SFigure15!D42-SFigure15!D10)</f>
        <v>1.3010800000188283E-3</v>
      </c>
      <c r="M10" s="27">
        <f>ABS(SFigure15!H42-SFigure15!D10)</f>
        <v>6.2164000001985187E-4</v>
      </c>
      <c r="N10" s="27">
        <f>ABS(SFigure15!D74-SFigure15!D10)</f>
        <v>8.4750000002031811E-4</v>
      </c>
      <c r="O10" s="27">
        <f>ABS(SFigure15!H74-SFigure15!D10)</f>
        <v>4.1652999999541862E-4</v>
      </c>
      <c r="R10" s="27"/>
      <c r="S10" s="27"/>
    </row>
    <row r="11" spans="1:19" ht="15.75" customHeight="1">
      <c r="A11" s="1" t="s">
        <v>244</v>
      </c>
      <c r="B11" s="27">
        <v>2.0241240000000001E-2</v>
      </c>
      <c r="C11" s="27">
        <v>1.554001E-2</v>
      </c>
      <c r="D11" s="27">
        <v>1.8256290000000001E-2</v>
      </c>
      <c r="E11" s="27">
        <v>1.3043330000000001E-2</v>
      </c>
      <c r="F11" s="27">
        <v>1.7505509999999998E-2</v>
      </c>
      <c r="G11" s="27">
        <v>1.285497E-2</v>
      </c>
      <c r="I11" s="1" t="s">
        <v>244</v>
      </c>
      <c r="J11" s="27">
        <f>ABS(SFigure15!H11-SFigure15!D11)</f>
        <v>1.259940000181814E-3</v>
      </c>
      <c r="K11" s="27">
        <f>ABS(SFigure15!L11-SFigure15!D11)</f>
        <v>7.8272000018841936E-4</v>
      </c>
      <c r="L11" s="27">
        <f>ABS(SFigure15!D43-SFigure15!D11)</f>
        <v>1.0435899998810783E-3</v>
      </c>
      <c r="M11" s="27">
        <f>ABS(SFigure15!H43-SFigure15!D11)</f>
        <v>6.4479999991817749E-4</v>
      </c>
      <c r="N11" s="27">
        <f>ABS(SFigure15!D75-SFigure15!D11)</f>
        <v>8.4891000005882233E-4</v>
      </c>
      <c r="O11" s="27">
        <f>ABS(SFigure15!H75-SFigure15!D11)</f>
        <v>5.3921000016998732E-4</v>
      </c>
      <c r="R11" s="27"/>
      <c r="S11" s="27"/>
    </row>
    <row r="12" spans="1:19" ht="15.75" customHeight="1">
      <c r="A12" s="1" t="s">
        <v>245</v>
      </c>
      <c r="B12" s="27">
        <v>2.6010829999999999E-2</v>
      </c>
      <c r="C12" s="27">
        <v>1.98733E-2</v>
      </c>
      <c r="D12" s="27">
        <v>2.3390049999999999E-2</v>
      </c>
      <c r="E12" s="27">
        <v>1.660553E-2</v>
      </c>
      <c r="F12" s="27">
        <v>2.193778E-2</v>
      </c>
      <c r="G12" s="27">
        <v>1.602437E-2</v>
      </c>
      <c r="I12" s="1" t="s">
        <v>245</v>
      </c>
      <c r="J12" s="27">
        <f>ABS(SFigure15!H12-SFigure15!D12)</f>
        <v>6.7984999998316198E-4</v>
      </c>
      <c r="K12" s="27">
        <f>ABS(SFigure15!L12-SFigure15!D12)</f>
        <v>3.649600000699138E-4</v>
      </c>
      <c r="L12" s="27">
        <f>ABS(SFigure15!D44-SFigure15!D12)</f>
        <v>5.4617000000689586E-4</v>
      </c>
      <c r="M12" s="27">
        <f>ABS(SFigure15!H44-SFigure15!D12)</f>
        <v>2.8128999997534265E-4</v>
      </c>
      <c r="N12" s="27">
        <f>ABS(SFigure15!D76-SFigure15!D12)</f>
        <v>4.4575000003987952E-4</v>
      </c>
      <c r="O12" s="27">
        <f>ABS(SFigure15!H76-SFigure15!D12)</f>
        <v>2.450800000133313E-4</v>
      </c>
      <c r="R12" s="27"/>
      <c r="S12" s="27"/>
    </row>
    <row r="13" spans="1:19" ht="15.75" customHeight="1">
      <c r="A13" s="1" t="s">
        <v>246</v>
      </c>
      <c r="B13" s="27">
        <v>1.9994769999999999E-2</v>
      </c>
      <c r="C13" s="27">
        <v>1.527427E-2</v>
      </c>
      <c r="D13" s="27">
        <v>1.917052E-2</v>
      </c>
      <c r="E13" s="27">
        <v>1.323332E-2</v>
      </c>
      <c r="F13" s="27">
        <v>1.709755E-2</v>
      </c>
      <c r="G13" s="27">
        <v>1.2059179999999999E-2</v>
      </c>
      <c r="I13" s="1" t="s">
        <v>246</v>
      </c>
      <c r="J13" s="27">
        <f>ABS(SFigure15!H13-SFigure15!D13)</f>
        <v>6.7536300002757343E-3</v>
      </c>
      <c r="K13" s="27">
        <f>ABS(SFigure15!L13-SFigure15!D13)</f>
        <v>4.9721100003807805E-3</v>
      </c>
      <c r="L13" s="27">
        <f>ABS(SFigure15!D45-SFigure15!D13)</f>
        <v>6.5470199997434975E-3</v>
      </c>
      <c r="M13" s="27">
        <f>ABS(SFigure15!H45-SFigure15!D13)</f>
        <v>4.249849999723665E-3</v>
      </c>
      <c r="N13" s="27">
        <f>ABS(SFigure15!D77-SFigure15!D13)</f>
        <v>5.501659999936237E-3</v>
      </c>
      <c r="O13" s="27">
        <f>ABS(SFigure15!H77-SFigure15!D13)</f>
        <v>3.6012400005347445E-3</v>
      </c>
      <c r="R13" s="27"/>
      <c r="S13" s="27"/>
    </row>
    <row r="14" spans="1:19" ht="15.75" customHeight="1">
      <c r="A14" s="1" t="s">
        <v>247</v>
      </c>
      <c r="B14" s="27">
        <v>2.4270300000000002E-2</v>
      </c>
      <c r="C14" s="27">
        <v>1.8513959999999999E-2</v>
      </c>
      <c r="D14" s="27">
        <v>2.3466859999999999E-2</v>
      </c>
      <c r="E14" s="27">
        <v>1.6068929999999999E-2</v>
      </c>
      <c r="F14" s="27">
        <v>2.0654849999999999E-2</v>
      </c>
      <c r="G14" s="27">
        <v>1.4398370000000001E-2</v>
      </c>
      <c r="I14" s="1" t="s">
        <v>247</v>
      </c>
      <c r="J14" s="27">
        <f>ABS(SFigure15!H14-SFigure15!D14)</f>
        <v>6.5850299997691764E-3</v>
      </c>
      <c r="K14" s="27">
        <f>ABS(SFigure15!L14-SFigure15!D14)</f>
        <v>4.9406600001020706E-3</v>
      </c>
      <c r="L14" s="27">
        <f>ABS(SFigure15!D46-SFigure15!D14)</f>
        <v>6.4718600001469895E-3</v>
      </c>
      <c r="M14" s="27">
        <f>ABS(SFigure15!H46-SFigure15!D14)</f>
        <v>4.2156099998464924E-3</v>
      </c>
      <c r="N14" s="27">
        <f>ABS(SFigure15!D78-SFigure15!D14)</f>
        <v>5.4693299998689326E-3</v>
      </c>
      <c r="O14" s="27">
        <f>ABS(SFigure15!H78-SFigure15!D14)</f>
        <v>3.5944400001426402E-3</v>
      </c>
      <c r="R14" s="27"/>
      <c r="S14" s="27"/>
    </row>
    <row r="15" spans="1:19" ht="15.75" customHeight="1">
      <c r="A15" s="1" t="s">
        <v>248</v>
      </c>
      <c r="B15" s="27">
        <v>2.8648980000000001E-2</v>
      </c>
      <c r="C15" s="27">
        <v>2.212679E-2</v>
      </c>
      <c r="D15" s="27">
        <v>2.845901E-2</v>
      </c>
      <c r="E15" s="27">
        <v>1.939053E-2</v>
      </c>
      <c r="F15" s="27">
        <v>2.5336009999999999E-2</v>
      </c>
      <c r="G15" s="27">
        <v>1.7435610000000001E-2</v>
      </c>
      <c r="I15" s="1" t="s">
        <v>248</v>
      </c>
      <c r="J15" s="27">
        <f>ABS(SFigure15!H15-SFigure15!D15)</f>
        <v>7.6591600000028848E-3</v>
      </c>
      <c r="K15" s="27">
        <f>ABS(SFigure15!L15-SFigure15!D15)</f>
        <v>5.913990000181002E-3</v>
      </c>
      <c r="L15" s="27">
        <f>ABS(SFigure15!D47-SFigure15!D15)</f>
        <v>7.6137099999868951E-3</v>
      </c>
      <c r="M15" s="27">
        <f>ABS(SFigure15!H47-SFigure15!D15)</f>
        <v>5.0272200001018064E-3</v>
      </c>
      <c r="N15" s="27">
        <f>ABS(SFigure15!D79-SFigure15!D15)</f>
        <v>6.5297600001485989E-3</v>
      </c>
      <c r="O15" s="27">
        <f>ABS(SFigure15!H79-SFigure15!D15)</f>
        <v>4.3492500001320877E-3</v>
      </c>
      <c r="R15" s="27"/>
      <c r="S15" s="27"/>
    </row>
    <row r="16" spans="1:19" ht="15.75" customHeight="1">
      <c r="A16" s="1" t="s">
        <v>249</v>
      </c>
      <c r="B16" s="27">
        <v>3.0478660000000001E-2</v>
      </c>
      <c r="C16" s="27">
        <v>2.389749E-2</v>
      </c>
      <c r="D16" s="27">
        <v>3.024493E-2</v>
      </c>
      <c r="E16" s="27">
        <v>2.129822E-2</v>
      </c>
      <c r="F16" s="27">
        <v>2.8322300000000002E-2</v>
      </c>
      <c r="G16" s="27">
        <v>2.01818E-2</v>
      </c>
      <c r="I16" s="1" t="s">
        <v>249</v>
      </c>
      <c r="J16" s="27">
        <f>ABS(SFigure15!H16-SFigure15!D16)</f>
        <v>6.6341099998226127E-3</v>
      </c>
      <c r="K16" s="27">
        <f>ABS(SFigure15!L16-SFigure15!D16)</f>
        <v>5.0189599999157508E-3</v>
      </c>
      <c r="L16" s="27">
        <f>ABS(SFigure15!D48-SFigure15!D16)</f>
        <v>6.5943199999765056E-3</v>
      </c>
      <c r="M16" s="27">
        <f>ABS(SFigure15!H48-SFigure15!D16)</f>
        <v>4.3445399999200163E-3</v>
      </c>
      <c r="N16" s="27">
        <f>ABS(SFigure15!D80-SFigure15!D16)</f>
        <v>5.7025199998861353E-3</v>
      </c>
      <c r="O16" s="27">
        <f>ABS(SFigure15!H80-SFigure15!D16)</f>
        <v>3.7816100000327424E-3</v>
      </c>
      <c r="R16" s="27"/>
      <c r="S16" s="27"/>
    </row>
    <row r="17" spans="1:19" ht="15.75" customHeight="1">
      <c r="A17" s="1" t="s">
        <v>250</v>
      </c>
      <c r="B17" s="27">
        <v>3.6085239999999998E-2</v>
      </c>
      <c r="C17" s="27">
        <v>2.599951E-2</v>
      </c>
      <c r="D17" s="27">
        <v>3.3132849999999998E-2</v>
      </c>
      <c r="E17" s="27">
        <v>2.382826E-2</v>
      </c>
      <c r="F17" s="27">
        <v>2.9807569999999999E-2</v>
      </c>
      <c r="G17" s="27">
        <v>2.198135E-2</v>
      </c>
      <c r="I17" s="1" t="s">
        <v>250</v>
      </c>
      <c r="J17" s="27">
        <f>ABS(SFigure15!H17-SFigure15!D17)</f>
        <v>1.1418600000183687E-3</v>
      </c>
      <c r="K17" s="27">
        <f>ABS(SFigure15!L17-SFigure15!D17)</f>
        <v>5.6718000001865221E-4</v>
      </c>
      <c r="L17" s="27">
        <f>ABS(SFigure15!D49-SFigure15!D17)</f>
        <v>9.8183000000062748E-4</v>
      </c>
      <c r="M17" s="27">
        <f>ABS(SFigure15!H49-SFigure15!D17)</f>
        <v>4.4057000002339919E-4</v>
      </c>
      <c r="N17" s="27">
        <f>ABS(SFigure15!D81-SFigure15!D17)</f>
        <v>6.3233000000195716E-4</v>
      </c>
      <c r="O17" s="27">
        <f>ABS(SFigure15!H81-SFigure15!D17)</f>
        <v>3.0507000002444329E-4</v>
      </c>
      <c r="R17" s="27"/>
      <c r="S17" s="27"/>
    </row>
    <row r="18" spans="1:19" ht="15.75" customHeight="1">
      <c r="A18" s="1" t="s">
        <v>251</v>
      </c>
      <c r="B18" s="27">
        <v>1.9851379999999998E-2</v>
      </c>
      <c r="C18" s="27">
        <v>1.473321E-2</v>
      </c>
      <c r="D18" s="27">
        <v>1.7720619999999999E-2</v>
      </c>
      <c r="E18" s="27">
        <v>1.267099E-2</v>
      </c>
      <c r="F18" s="27">
        <v>1.7216840000000001E-2</v>
      </c>
      <c r="G18" s="27">
        <v>1.281994E-2</v>
      </c>
      <c r="I18" s="1" t="s">
        <v>251</v>
      </c>
      <c r="J18" s="27">
        <f>ABS(SFigure15!H18-SFigure15!D18)</f>
        <v>1.2895200002276397E-3</v>
      </c>
      <c r="K18" s="27">
        <f>ABS(SFigure15!L18-SFigure15!D18)</f>
        <v>8.1247000025541638E-4</v>
      </c>
      <c r="L18" s="27">
        <f>ABS(SFigure15!D50-SFigure15!D18)</f>
        <v>1.0607300000629039E-3</v>
      </c>
      <c r="M18" s="27">
        <f>ABS(SFigure15!H50-SFigure15!D18)</f>
        <v>6.8005999992237776E-4</v>
      </c>
      <c r="N18" s="27">
        <f>ABS(SFigure15!D82-SFigure15!D18)</f>
        <v>8.8580999999976484E-4</v>
      </c>
      <c r="O18" s="27">
        <f>ABS(SFigure15!H82-SFigure15!D18)</f>
        <v>5.9443999998620711E-4</v>
      </c>
      <c r="R18" s="27"/>
      <c r="S18" s="27"/>
    </row>
    <row r="19" spans="1:19" ht="15.75" customHeight="1">
      <c r="A19" s="1" t="s">
        <v>252</v>
      </c>
      <c r="B19" s="27">
        <v>2.5534299999999999E-2</v>
      </c>
      <c r="C19" s="27">
        <v>1.8711740000000001E-2</v>
      </c>
      <c r="D19" s="27">
        <v>2.264302E-2</v>
      </c>
      <c r="E19" s="27">
        <v>1.6108899999999999E-2</v>
      </c>
      <c r="F19" s="27">
        <v>2.1702519999999999E-2</v>
      </c>
      <c r="G19" s="27">
        <v>1.612158E-2</v>
      </c>
      <c r="I19" s="1" t="s">
        <v>252</v>
      </c>
      <c r="J19" s="27">
        <f>ABS(SFigure15!H19-SFigure15!D19)</f>
        <v>7.5759000003472465E-4</v>
      </c>
      <c r="K19" s="27">
        <f>ABS(SFigure15!L19-SFigure15!D19)</f>
        <v>4.364999999779684E-4</v>
      </c>
      <c r="L19" s="27">
        <f>ABS(SFigure15!D51-SFigure15!D19)</f>
        <v>6.0275999999248597E-4</v>
      </c>
      <c r="M19" s="27">
        <f>ABS(SFigure15!H51-SFigure15!D19)</f>
        <v>3.5470000000259461E-4</v>
      </c>
      <c r="N19" s="27">
        <f>ABS(SFigure15!D83-SFigure15!D19)</f>
        <v>5.1518999998734216E-4</v>
      </c>
      <c r="O19" s="27">
        <f>ABS(SFigure15!H83-SFigure15!D19)</f>
        <v>3.2807000002321729E-4</v>
      </c>
      <c r="R19" s="27"/>
      <c r="S19" s="27"/>
    </row>
    <row r="20" spans="1:19" ht="15.75" customHeight="1">
      <c r="A20" s="1" t="s">
        <v>253</v>
      </c>
      <c r="B20" s="27">
        <v>3.9105760000000003E-2</v>
      </c>
      <c r="C20" s="27">
        <v>3.032052E-2</v>
      </c>
      <c r="D20" s="27">
        <v>3.6503250000000001E-2</v>
      </c>
      <c r="E20" s="27">
        <v>2.778158E-2</v>
      </c>
      <c r="F20" s="27">
        <v>3.4476380000000001E-2</v>
      </c>
      <c r="G20" s="27">
        <v>2.638014E-2</v>
      </c>
      <c r="I20" s="1" t="s">
        <v>253</v>
      </c>
      <c r="J20" s="27">
        <f>ABS(SFigure15!H20-SFigure15!D20)</f>
        <v>7.9904999998348103E-4</v>
      </c>
      <c r="K20" s="27">
        <f>ABS(SFigure15!L20-SFigure15!D20)</f>
        <v>5.4836999998997271E-4</v>
      </c>
      <c r="L20" s="27">
        <f>ABS(SFigure15!D52-SFigure15!D20)</f>
        <v>7.0634999997309933E-4</v>
      </c>
      <c r="M20" s="27">
        <f>ABS(SFigure15!H52-SFigure15!D20)</f>
        <v>4.105799999933879E-4</v>
      </c>
      <c r="N20" s="27">
        <f>ABS(SFigure15!D84-SFigure15!D20)</f>
        <v>5.8751999998207793E-4</v>
      </c>
      <c r="O20" s="27">
        <f>ABS(SFigure15!H84-SFigure15!D20)</f>
        <v>3.5608999999681146E-4</v>
      </c>
      <c r="R20" s="27"/>
      <c r="S20" s="27"/>
    </row>
    <row r="21" spans="1:19" ht="15.75" customHeight="1">
      <c r="A21" s="1" t="s">
        <v>254</v>
      </c>
      <c r="B21" s="27">
        <v>3.1913469999999999E-2</v>
      </c>
      <c r="C21" s="27">
        <v>2.4930020000000001E-2</v>
      </c>
      <c r="D21" s="27">
        <v>3.0022409999999999E-2</v>
      </c>
      <c r="E21" s="27">
        <v>2.1309740000000001E-2</v>
      </c>
      <c r="F21" s="27">
        <v>2.6070820000000001E-2</v>
      </c>
      <c r="G21" s="27">
        <v>1.9052349999999999E-2</v>
      </c>
      <c r="I21" s="1" t="s">
        <v>254</v>
      </c>
      <c r="J21" s="27">
        <f>ABS(SFigure15!H21-SFigure15!D21)</f>
        <v>9.512099999824386E-4</v>
      </c>
      <c r="K21" s="27">
        <f>ABS(SFigure15!L21-SFigure15!D21)</f>
        <v>8.2563999998797044E-4</v>
      </c>
      <c r="L21" s="27">
        <f>ABS(SFigure15!D53-SFigure15!D21)</f>
        <v>9.9956999997630192E-4</v>
      </c>
      <c r="M21" s="27">
        <f>ABS(SFigure15!H53-SFigure15!D21)</f>
        <v>6.8195000000059736E-4</v>
      </c>
      <c r="N21" s="27">
        <f>ABS(SFigure15!D85-SFigure15!D21)</f>
        <v>8.7203999999019288E-4</v>
      </c>
      <c r="O21" s="27">
        <f>ABS(SFigure15!H85-SFigure15!D21)</f>
        <v>6.1563999997815699E-4</v>
      </c>
      <c r="R21" s="27"/>
      <c r="S21" s="27"/>
    </row>
    <row r="22" spans="1:19" ht="15.75" customHeight="1">
      <c r="A22" s="1" t="s">
        <v>255</v>
      </c>
      <c r="B22" s="27">
        <v>2.1498969999999999E-2</v>
      </c>
      <c r="C22" s="27">
        <v>1.6287220000000002E-2</v>
      </c>
      <c r="D22" s="27">
        <v>1.9496929999999999E-2</v>
      </c>
      <c r="E22" s="27">
        <v>1.4466049999999999E-2</v>
      </c>
      <c r="F22" s="27">
        <v>1.7123119999999999E-2</v>
      </c>
      <c r="G22" s="27">
        <v>1.3411660000000001E-2</v>
      </c>
      <c r="I22" s="1" t="s">
        <v>255</v>
      </c>
      <c r="J22" s="27">
        <f>ABS(SFigure15!H22-SFigure15!D22)</f>
        <v>1.9772599998759688E-3</v>
      </c>
      <c r="K22" s="27">
        <f>ABS(SFigure15!L22-SFigure15!D22)</f>
        <v>1.2110400002711685E-3</v>
      </c>
      <c r="L22" s="27">
        <f>ABS(SFigure15!D54-SFigure15!D22)</f>
        <v>1.6945400002441602E-3</v>
      </c>
      <c r="M22" s="27">
        <f>ABS(SFigure15!H54-SFigure15!D22)</f>
        <v>1.0110600001098646E-3</v>
      </c>
      <c r="N22" s="27">
        <f>ABS(SFigure15!D86-SFigure15!D22)</f>
        <v>1.3262800002848962E-3</v>
      </c>
      <c r="O22" s="27">
        <f>ABS(SFigure15!H86-SFigure15!D22)</f>
        <v>8.5457000022870488E-4</v>
      </c>
      <c r="R22" s="27"/>
      <c r="S22" s="27"/>
    </row>
    <row r="23" spans="1:19" ht="15.75" customHeight="1">
      <c r="A23" s="1" t="s">
        <v>256</v>
      </c>
      <c r="B23" s="27">
        <v>2.7253869999999999E-2</v>
      </c>
      <c r="C23" s="27">
        <v>2.0679739999999999E-2</v>
      </c>
      <c r="D23" s="27">
        <v>2.4649009999999999E-2</v>
      </c>
      <c r="E23" s="27">
        <v>1.8440370000000001E-2</v>
      </c>
      <c r="F23" s="27">
        <v>2.1544250000000001E-2</v>
      </c>
      <c r="G23" s="27">
        <v>1.7004869999999998E-2</v>
      </c>
      <c r="I23" s="1" t="s">
        <v>256</v>
      </c>
      <c r="J23" s="27">
        <f>ABS(SFigure15!H23-SFigure15!D23)</f>
        <v>1.492879999887009E-3</v>
      </c>
      <c r="K23" s="27">
        <f>ABS(SFigure15!L23-SFigure15!D23)</f>
        <v>9.0997000006609596E-4</v>
      </c>
      <c r="L23" s="27">
        <f>ABS(SFigure15!D55-SFigure15!D23)</f>
        <v>1.2915600000269478E-3</v>
      </c>
      <c r="M23" s="27">
        <f>ABS(SFigure15!H55-SFigure15!D23)</f>
        <v>7.5143000003663474E-4</v>
      </c>
      <c r="N23" s="27">
        <f>ABS(SFigure15!D87-SFigure15!D23)</f>
        <v>1.0062900000775699E-3</v>
      </c>
      <c r="O23" s="27">
        <f>ABS(SFigure15!H87-SFigure15!D23)</f>
        <v>6.4128000008167874E-4</v>
      </c>
      <c r="R23" s="27"/>
      <c r="S23" s="27"/>
    </row>
    <row r="24" spans="1:19" ht="15.75" customHeight="1">
      <c r="A24" s="1" t="s">
        <v>257</v>
      </c>
      <c r="B24" s="27">
        <v>3.1602150000000002E-2</v>
      </c>
      <c r="C24" s="27">
        <v>2.4027090000000001E-2</v>
      </c>
      <c r="D24" s="27">
        <v>2.881324E-2</v>
      </c>
      <c r="E24" s="27">
        <v>2.1348039999999999E-2</v>
      </c>
      <c r="F24" s="27">
        <v>2.597671E-2</v>
      </c>
      <c r="G24" s="27">
        <v>1.9855330000000001E-2</v>
      </c>
      <c r="I24" s="1" t="s">
        <v>257</v>
      </c>
      <c r="J24" s="27">
        <f>ABS(SFigure15!H24-SFigure15!D24)</f>
        <v>2.0627200000262746E-3</v>
      </c>
      <c r="K24" s="27">
        <f>ABS(SFigure15!L24-SFigure15!D24)</f>
        <v>1.3069999999970605E-3</v>
      </c>
      <c r="L24" s="27">
        <f>ABS(SFigure15!D56-SFigure15!D24)</f>
        <v>1.8878100000847553E-3</v>
      </c>
      <c r="M24" s="27">
        <f>ABS(SFigure15!H56-SFigure15!D24)</f>
        <v>1.0920900000428446E-3</v>
      </c>
      <c r="N24" s="27">
        <f>ABS(SFigure15!D88-SFigure15!D24)</f>
        <v>1.5093399999841495E-3</v>
      </c>
      <c r="O24" s="27">
        <f>ABS(SFigure15!H88-SFigure15!D24)</f>
        <v>9.2346000008092233E-4</v>
      </c>
      <c r="R24" s="27"/>
      <c r="S24" s="27"/>
    </row>
    <row r="25" spans="1:19" ht="15.75" customHeight="1">
      <c r="A25" s="1" t="s">
        <v>258</v>
      </c>
      <c r="B25" s="27">
        <v>2.784319E-2</v>
      </c>
      <c r="C25" s="27">
        <v>2.2670260000000001E-2</v>
      </c>
      <c r="D25" s="27">
        <v>2.4933400000000001E-2</v>
      </c>
      <c r="E25" s="27">
        <v>2.0129279999999999E-2</v>
      </c>
      <c r="F25" s="27">
        <v>2.2628100000000002E-2</v>
      </c>
      <c r="G25" s="27">
        <v>1.9195139999999999E-2</v>
      </c>
      <c r="I25" s="1" t="s">
        <v>258</v>
      </c>
      <c r="J25" s="27">
        <f>ABS(SFigure15!H25-SFigure15!D25)</f>
        <v>3.794900000002599E-4</v>
      </c>
      <c r="K25" s="27">
        <f>ABS(SFigure15!L25-SFigure15!D25)</f>
        <v>2.868200000420984E-4</v>
      </c>
      <c r="L25" s="27">
        <f>ABS(SFigure15!D57-SFigure15!D25)</f>
        <v>3.127400000266789E-4</v>
      </c>
      <c r="M25" s="27">
        <f>ABS(SFigure15!H57-SFigure15!D25)</f>
        <v>2.1776999994926882E-4</v>
      </c>
      <c r="N25" s="27">
        <f>ABS(SFigure15!D89-SFigure15!D25)</f>
        <v>2.7704000001449458E-4</v>
      </c>
      <c r="O25" s="27">
        <f>ABS(SFigure15!H89-SFigure15!D25)</f>
        <v>2.1263999997245264E-4</v>
      </c>
      <c r="R25" s="27"/>
      <c r="S25" s="27"/>
    </row>
    <row r="26" spans="1:19" ht="15.75" customHeight="1">
      <c r="A26" s="1" t="s">
        <v>259</v>
      </c>
      <c r="B26" s="27">
        <v>2.6501500000000001E-2</v>
      </c>
      <c r="C26" s="27">
        <v>1.993748E-2</v>
      </c>
      <c r="D26" s="27">
        <v>2.5294239999999999E-2</v>
      </c>
      <c r="E26" s="27">
        <v>1.7775309999999999E-2</v>
      </c>
      <c r="F26" s="27">
        <v>2.3039380000000002E-2</v>
      </c>
      <c r="G26" s="27">
        <v>1.642598E-2</v>
      </c>
      <c r="I26" s="1" t="s">
        <v>259</v>
      </c>
      <c r="J26" s="27">
        <f>ABS(SFigure15!H26-SFigure15!D26)</f>
        <v>3.7776299998313334E-3</v>
      </c>
      <c r="K26" s="27">
        <f>ABS(SFigure15!L26-SFigure15!D26)</f>
        <v>2.4855299998307601E-3</v>
      </c>
      <c r="L26" s="27">
        <f>ABS(SFigure15!D58-SFigure15!D26)</f>
        <v>3.5480699998515774E-3</v>
      </c>
      <c r="M26" s="27">
        <f>ABS(SFigure15!H58-SFigure15!D26)</f>
        <v>2.1405999998478364E-3</v>
      </c>
      <c r="N26" s="27">
        <f>ABS(SFigure15!D90-SFigure15!D26)</f>
        <v>2.8413099998942926E-3</v>
      </c>
      <c r="O26" s="27">
        <f>ABS(SFigure15!H90-SFigure15!D26)</f>
        <v>1.7269599998144258E-3</v>
      </c>
      <c r="R26" s="27"/>
      <c r="S26" s="27"/>
    </row>
    <row r="27" spans="1:19" ht="15.75" customHeight="1">
      <c r="A27" s="1" t="s">
        <v>260</v>
      </c>
      <c r="B27" s="27">
        <v>1.8221870000000001E-2</v>
      </c>
      <c r="C27" s="27">
        <v>1.406137E-2</v>
      </c>
      <c r="D27" s="27">
        <v>1.6860360000000001E-2</v>
      </c>
      <c r="E27" s="27">
        <v>1.203282E-2</v>
      </c>
      <c r="F27" s="27">
        <v>1.5679350000000002E-2</v>
      </c>
      <c r="G27" s="27">
        <v>1.142837E-2</v>
      </c>
      <c r="I27" s="1" t="s">
        <v>260</v>
      </c>
      <c r="J27" s="27">
        <f>ABS(SFigure15!H27-SFigure15!D27)</f>
        <v>3.535609999744338E-3</v>
      </c>
      <c r="K27" s="27">
        <f>ABS(SFigure15!L27-SFigure15!D27)</f>
        <v>2.3930199995447765E-3</v>
      </c>
      <c r="L27" s="27">
        <f>ABS(SFigure15!D59-SFigure15!D27)</f>
        <v>3.2229600001301151E-3</v>
      </c>
      <c r="M27" s="27">
        <f>ABS(SFigure15!H59-SFigure15!D27)</f>
        <v>2.0563600000969018E-3</v>
      </c>
      <c r="N27" s="27">
        <f>ABS(SFigure15!D91-SFigure15!D27)</f>
        <v>2.6139199999306584E-3</v>
      </c>
      <c r="O27" s="27">
        <f>ABS(SFigure15!H91-SFigure15!D27)</f>
        <v>1.6766999997344101E-3</v>
      </c>
      <c r="R27" s="27"/>
      <c r="S27" s="27"/>
    </row>
    <row r="28" spans="1:19" ht="15.75" customHeight="1">
      <c r="A28" s="1" t="s">
        <v>261</v>
      </c>
      <c r="B28" s="27">
        <v>2.1951399999999999E-2</v>
      </c>
      <c r="C28" s="27">
        <v>1.6912679999999999E-2</v>
      </c>
      <c r="D28" s="27">
        <v>2.0355129999999999E-2</v>
      </c>
      <c r="E28" s="27">
        <v>1.4449679999999999E-2</v>
      </c>
      <c r="F28" s="27">
        <v>1.8513769999999999E-2</v>
      </c>
      <c r="G28" s="27">
        <v>1.339836E-2</v>
      </c>
      <c r="I28" s="1" t="s">
        <v>261</v>
      </c>
      <c r="J28" s="27">
        <f>ABS(SFigure15!H28-SFigure15!D28)</f>
        <v>2.9636700000992278E-3</v>
      </c>
      <c r="K28" s="27">
        <f>ABS(SFigure15!L28-SFigure15!D28)</f>
        <v>2.0025899998472596E-3</v>
      </c>
      <c r="L28" s="27">
        <f>ABS(SFigure15!D60-SFigure15!D28)</f>
        <v>2.7583400001276459E-3</v>
      </c>
      <c r="M28" s="27">
        <f>ABS(SFigure15!H60-SFigure15!D28)</f>
        <v>1.7131499998868094E-3</v>
      </c>
      <c r="N28" s="27">
        <f>ABS(SFigure15!D92-SFigure15!D28)</f>
        <v>2.2390899998754321E-3</v>
      </c>
      <c r="O28" s="27">
        <f>ABS(SFigure15!H92-SFigure15!D28)</f>
        <v>1.3936499999545049E-3</v>
      </c>
      <c r="R28" s="27"/>
      <c r="S28" s="27"/>
    </row>
    <row r="29" spans="1:19" ht="15.75" customHeight="1">
      <c r="B29" s="27"/>
      <c r="C29" s="27"/>
      <c r="D29" s="27"/>
      <c r="E29" s="27"/>
      <c r="F29" s="27"/>
      <c r="G29" s="27"/>
    </row>
    <row r="30" spans="1:19" ht="15.75" customHeight="1">
      <c r="A30" s="1" t="s">
        <v>276</v>
      </c>
      <c r="B30" s="27">
        <f t="shared" ref="B30:G30" si="0">AVERAGE(B4:B28)</f>
        <v>2.8457053599999997E-2</v>
      </c>
      <c r="C30" s="27">
        <f t="shared" si="0"/>
        <v>2.16602776E-2</v>
      </c>
      <c r="D30" s="27">
        <f t="shared" si="0"/>
        <v>2.64765852E-2</v>
      </c>
      <c r="E30" s="27">
        <f t="shared" si="0"/>
        <v>1.8905999599999997E-2</v>
      </c>
      <c r="F30" s="27">
        <f t="shared" si="0"/>
        <v>2.4309562400000005E-2</v>
      </c>
      <c r="G30" s="27">
        <f t="shared" si="0"/>
        <v>1.7832169199999998E-2</v>
      </c>
      <c r="I30" s="1" t="s">
        <v>276</v>
      </c>
      <c r="J30" s="27">
        <f t="shared" ref="J30:O30" si="1">AVERAGE(J4:J28)</f>
        <v>2.3408567999808837E-3</v>
      </c>
      <c r="K30" s="27">
        <f t="shared" si="1"/>
        <v>1.6362344000208395E-3</v>
      </c>
      <c r="L30" s="27">
        <f t="shared" si="1"/>
        <v>2.1961488000067676E-3</v>
      </c>
      <c r="M30" s="27">
        <f t="shared" si="1"/>
        <v>1.3738795999711328E-3</v>
      </c>
      <c r="N30" s="27">
        <f t="shared" si="1"/>
        <v>1.8175915999972857E-3</v>
      </c>
      <c r="O30" s="27">
        <f t="shared" si="1"/>
        <v>1.1658308000335182E-3</v>
      </c>
    </row>
    <row r="31" spans="1:19" ht="15.75" customHeight="1">
      <c r="A31" s="1" t="s">
        <v>277</v>
      </c>
      <c r="B31" s="27">
        <f t="shared" ref="B31:G31" si="2">MAX(B4:B29)</f>
        <v>3.9183170000000003E-2</v>
      </c>
      <c r="C31" s="27">
        <f t="shared" si="2"/>
        <v>3.032052E-2</v>
      </c>
      <c r="D31" s="27">
        <f t="shared" si="2"/>
        <v>3.6747370000000001E-2</v>
      </c>
      <c r="E31" s="27">
        <f t="shared" si="2"/>
        <v>2.778158E-2</v>
      </c>
      <c r="F31" s="27">
        <f t="shared" si="2"/>
        <v>3.5577610000000003E-2</v>
      </c>
      <c r="G31" s="27">
        <f t="shared" si="2"/>
        <v>2.638014E-2</v>
      </c>
    </row>
    <row r="33" spans="1:19" ht="15.75" customHeight="1">
      <c r="D33" s="1" t="s">
        <v>278</v>
      </c>
    </row>
    <row r="34" spans="1:19" ht="15.75" customHeight="1">
      <c r="B34" s="1" t="s">
        <v>274</v>
      </c>
      <c r="I34" s="1" t="s">
        <v>275</v>
      </c>
    </row>
    <row r="35" spans="1:19" ht="15.75" customHeight="1">
      <c r="A35" s="1" t="s">
        <v>231</v>
      </c>
      <c r="B35" s="1" t="s">
        <v>39</v>
      </c>
      <c r="C35" s="1" t="s">
        <v>38</v>
      </c>
      <c r="D35" s="1" t="s">
        <v>263</v>
      </c>
      <c r="E35" s="1" t="s">
        <v>264</v>
      </c>
      <c r="F35" s="1" t="s">
        <v>63</v>
      </c>
      <c r="G35" s="1" t="s">
        <v>265</v>
      </c>
      <c r="I35" s="1" t="s">
        <v>231</v>
      </c>
      <c r="J35" s="1" t="s">
        <v>39</v>
      </c>
      <c r="K35" s="1" t="s">
        <v>38</v>
      </c>
      <c r="L35" s="1" t="s">
        <v>263</v>
      </c>
      <c r="M35" s="1" t="s">
        <v>264</v>
      </c>
      <c r="N35" s="1" t="s">
        <v>63</v>
      </c>
      <c r="O35" s="1" t="s">
        <v>265</v>
      </c>
    </row>
    <row r="36" spans="1:19" ht="15.75" customHeight="1">
      <c r="A36" s="1" t="s">
        <v>237</v>
      </c>
      <c r="B36" s="27">
        <v>4.5685110000000001E-2</v>
      </c>
      <c r="C36" s="27">
        <v>3.5888870000000003E-2</v>
      </c>
      <c r="D36" s="27">
        <v>4.5134680000000003E-2</v>
      </c>
      <c r="E36" s="27">
        <v>3.0244070000000001E-2</v>
      </c>
      <c r="F36" s="27">
        <v>3.7118449999999997E-2</v>
      </c>
      <c r="G36" s="27">
        <v>2.8036410000000001E-2</v>
      </c>
      <c r="I36" s="1" t="s">
        <v>237</v>
      </c>
      <c r="J36" s="27">
        <f>ABS(SFigure15!I4-SFigure15!E4)</f>
        <v>1.4671000000134882E-3</v>
      </c>
      <c r="K36" s="27">
        <f>ABS(SFigure15!M4-SFigure15!E4)</f>
        <v>1.4606600000206527E-3</v>
      </c>
      <c r="L36" s="27">
        <f>ABS(SFigure15!E36-SFigure15!E4)</f>
        <v>1.305190000039147E-3</v>
      </c>
      <c r="M36" s="27">
        <f>ABS(SFigure15!I36-SFigure15!E4)</f>
        <v>1.4843400000472684E-3</v>
      </c>
      <c r="N36" s="27">
        <f>ABS(SFigure15!E68-SFigure15!E4)</f>
        <v>1.2965500000063912E-3</v>
      </c>
      <c r="O36" s="27">
        <f>ABS(SFigure15!I68-SFigure15!E4)</f>
        <v>1.3892200000782395E-3</v>
      </c>
    </row>
    <row r="37" spans="1:19" ht="15.75" customHeight="1">
      <c r="A37" s="1" t="s">
        <v>238</v>
      </c>
      <c r="B37" s="27">
        <v>4.4500249999999998E-2</v>
      </c>
      <c r="C37" s="27">
        <v>3.8349689999999999E-2</v>
      </c>
      <c r="D37" s="27">
        <v>4.2449510000000003E-2</v>
      </c>
      <c r="E37" s="27">
        <v>3.5629109999999999E-2</v>
      </c>
      <c r="F37" s="27">
        <v>3.8694249999999999E-2</v>
      </c>
      <c r="G37" s="27">
        <v>3.3071929999999999E-2</v>
      </c>
      <c r="I37" s="1" t="s">
        <v>238</v>
      </c>
      <c r="J37" s="27">
        <f>ABS(SFigure15!I5-SFigure15!E5)</f>
        <v>1.2264300000026651E-3</v>
      </c>
      <c r="K37" s="27">
        <f>ABS(SFigure15!M5-SFigure15!E5)</f>
        <v>9.8508000002084373E-4</v>
      </c>
      <c r="L37" s="27">
        <f>ABS(SFigure15!E37-SFigure15!E5)</f>
        <v>1.1156700000185538E-3</v>
      </c>
      <c r="M37" s="27">
        <f>ABS(SFigure15!I37-SFigure15!E5)</f>
        <v>8.7516000002096916E-4</v>
      </c>
      <c r="N37" s="27">
        <f>ABS(SFigure15!E69-SFigure15!E5)</f>
        <v>9.9706000000310269E-4</v>
      </c>
      <c r="O37" s="27">
        <f>ABS(SFigure15!I69-SFigure15!E5)</f>
        <v>8.4639000002084686E-4</v>
      </c>
    </row>
    <row r="38" spans="1:19" ht="15.75" customHeight="1">
      <c r="A38" s="1" t="s">
        <v>239</v>
      </c>
      <c r="B38" s="27">
        <v>3.7330519999999999E-2</v>
      </c>
      <c r="C38" s="27">
        <v>3.0789589999999999E-2</v>
      </c>
      <c r="D38" s="27">
        <v>3.4976559999999997E-2</v>
      </c>
      <c r="E38" s="27">
        <v>2.717255E-2</v>
      </c>
      <c r="F38" s="27">
        <v>3.5687690000000001E-2</v>
      </c>
      <c r="G38" s="27">
        <v>2.818095E-2</v>
      </c>
      <c r="I38" s="1" t="s">
        <v>239</v>
      </c>
      <c r="J38" s="27">
        <f>ABS(SFigure15!I6-SFigure15!E6)</f>
        <v>6.3445999998634761E-4</v>
      </c>
      <c r="K38" s="27">
        <f>ABS(SFigure15!M6-SFigure15!E6)</f>
        <v>4.3152999998596897E-4</v>
      </c>
      <c r="L38" s="27">
        <f>ABS(SFigure15!E38-SFigure15!E6)</f>
        <v>5.3570000000036089E-4</v>
      </c>
      <c r="M38" s="27">
        <f>ABS(SFigure15!I38-SFigure15!E6)</f>
        <v>3.8069999999379434E-4</v>
      </c>
      <c r="N38" s="27">
        <f>ABS(SFigure15!E70-SFigure15!E6)</f>
        <v>4.1053999999007829E-4</v>
      </c>
      <c r="O38" s="27">
        <f>ABS(SFigure15!I70-SFigure15!E6)</f>
        <v>3.2487999999375461E-4</v>
      </c>
    </row>
    <row r="39" spans="1:19" ht="15.75" customHeight="1">
      <c r="A39" s="1" t="s">
        <v>240</v>
      </c>
      <c r="B39" s="27">
        <v>4.3856350000000002E-2</v>
      </c>
      <c r="C39" s="27">
        <v>4.9899730000000003E-2</v>
      </c>
      <c r="D39" s="27">
        <v>4.1412659999999997E-2</v>
      </c>
      <c r="E39" s="27">
        <v>4.5120220000000003E-2</v>
      </c>
      <c r="F39" s="27">
        <v>3.8409970000000002E-2</v>
      </c>
      <c r="G39" s="27">
        <v>3.9616709999999999E-2</v>
      </c>
      <c r="I39" s="1" t="s">
        <v>240</v>
      </c>
      <c r="J39" s="27">
        <f>ABS(SFigure15!I7-SFigure15!E7)</f>
        <v>3.7812799999983326E-3</v>
      </c>
      <c r="K39" s="27">
        <f>ABS(SFigure15!M7-SFigure15!E7)</f>
        <v>3.3951299999444018E-3</v>
      </c>
      <c r="L39" s="27">
        <f>ABS(SFigure15!E39-SFigure15!E7)</f>
        <v>3.6868299999923693E-3</v>
      </c>
      <c r="M39" s="27">
        <f>ABS(SFigure15!I39-SFigure15!E7)</f>
        <v>2.8456299999106704E-3</v>
      </c>
      <c r="N39" s="27">
        <f>ABS(SFigure15!E71-SFigure15!E7)</f>
        <v>3.5802300000113974E-3</v>
      </c>
      <c r="O39" s="27">
        <f>ABS(SFigure15!I71-SFigure15!E7)</f>
        <v>2.7319600000055289E-3</v>
      </c>
    </row>
    <row r="40" spans="1:19" ht="15.75" customHeight="1">
      <c r="A40" s="1" t="s">
        <v>241</v>
      </c>
      <c r="B40" s="27">
        <v>5.2087550000000003E-2</v>
      </c>
      <c r="C40" s="27">
        <v>3.024721E-2</v>
      </c>
      <c r="D40" s="27">
        <v>4.6271529999999998E-2</v>
      </c>
      <c r="E40" s="27">
        <v>2.69789E-2</v>
      </c>
      <c r="F40" s="27">
        <v>3.1166280000000001E-2</v>
      </c>
      <c r="G40" s="27">
        <v>2.3953390000000001E-2</v>
      </c>
      <c r="I40" s="1" t="s">
        <v>241</v>
      </c>
      <c r="J40" s="27">
        <f>ABS(SFigure15!I8-SFigure15!E8)</f>
        <v>1.0436999999967611E-3</v>
      </c>
      <c r="K40" s="27">
        <f>ABS(SFigure15!M8-SFigure15!E8)</f>
        <v>5.48890000004576E-4</v>
      </c>
      <c r="L40" s="27">
        <f>ABS(SFigure15!E40-SFigure15!E8)</f>
        <v>2.6682000000732842E-4</v>
      </c>
      <c r="M40" s="27">
        <f>ABS(SFigure15!I40-SFigure15!E8)</f>
        <v>4.5402000000649423E-4</v>
      </c>
      <c r="N40" s="27">
        <f>ABS(SFigure15!E72-SFigure15!E8)</f>
        <v>5.2748000001656692E-4</v>
      </c>
      <c r="O40" s="27">
        <f>ABS(SFigure15!I72-SFigure15!E8)</f>
        <v>4.3074999999248575E-4</v>
      </c>
    </row>
    <row r="41" spans="1:19" ht="15.75" customHeight="1">
      <c r="A41" s="1" t="s">
        <v>242</v>
      </c>
      <c r="B41" s="27">
        <v>3.2686159999999999E-2</v>
      </c>
      <c r="C41" s="27">
        <v>2.5496910000000001E-2</v>
      </c>
      <c r="D41" s="27">
        <v>3.0334050000000001E-2</v>
      </c>
      <c r="E41" s="27">
        <v>2.306186E-2</v>
      </c>
      <c r="F41" s="27">
        <v>2.5997050000000001E-2</v>
      </c>
      <c r="G41" s="27">
        <v>2.0487849999999998E-2</v>
      </c>
      <c r="I41" s="1" t="s">
        <v>242</v>
      </c>
      <c r="J41" s="27">
        <f>ABS(SFigure15!I9-SFigure15!E9)</f>
        <v>5.5120999999758169E-4</v>
      </c>
      <c r="K41" s="27">
        <f>ABS(SFigure15!M9-SFigure15!E9)</f>
        <v>3.864899999825866E-4</v>
      </c>
      <c r="L41" s="27">
        <f>ABS(SFigure15!E41-SFigure15!E9)</f>
        <v>4.6317999999700987E-4</v>
      </c>
      <c r="M41" s="27">
        <f>ABS(SFigure15!I41-SFigure15!E9)</f>
        <v>3.3640999998851839E-4</v>
      </c>
      <c r="N41" s="27">
        <f>ABS(SFigure15!E73-SFigure15!E9)</f>
        <v>3.738300000009076E-4</v>
      </c>
      <c r="O41" s="27">
        <f>ABS(SFigure15!I73-SFigure15!E9)</f>
        <v>2.8838999998015424E-4</v>
      </c>
    </row>
    <row r="42" spans="1:19" ht="15.75" customHeight="1">
      <c r="A42" s="1" t="s">
        <v>243</v>
      </c>
      <c r="B42" s="27">
        <v>3.810508E-2</v>
      </c>
      <c r="C42" s="27">
        <v>2.8707369999999999E-2</v>
      </c>
      <c r="D42" s="27">
        <v>3.4607159999999998E-2</v>
      </c>
      <c r="E42" s="27">
        <v>2.4451210000000001E-2</v>
      </c>
      <c r="F42" s="27">
        <v>3.0999720000000001E-2</v>
      </c>
      <c r="G42" s="27">
        <v>2.2548950000000002E-2</v>
      </c>
      <c r="I42" s="1" t="s">
        <v>243</v>
      </c>
      <c r="J42" s="27">
        <f>ABS(SFigure15!I10-SFigure15!E10)</f>
        <v>8.8524000000234082E-4</v>
      </c>
      <c r="K42" s="27">
        <f>ABS(SFigure15!M10-SFigure15!E10)</f>
        <v>6.760900000131187E-4</v>
      </c>
      <c r="L42" s="27">
        <f>ABS(SFigure15!E42-SFigure15!E10)</f>
        <v>8.1234999998969215E-4</v>
      </c>
      <c r="M42" s="27">
        <f>ABS(SFigure15!I42-SFigure15!E10)</f>
        <v>5.7259999999814681E-4</v>
      </c>
      <c r="N42" s="27">
        <f>ABS(SFigure15!E74-SFigure15!E10)</f>
        <v>7.100299999933668E-4</v>
      </c>
      <c r="O42" s="27">
        <f>ABS(SFigure15!I74-SFigure15!E10)</f>
        <v>5.1504000001045824E-4</v>
      </c>
    </row>
    <row r="43" spans="1:19" ht="15.75" customHeight="1">
      <c r="A43" s="1" t="s">
        <v>244</v>
      </c>
      <c r="B43" s="27">
        <v>2.276893E-2</v>
      </c>
      <c r="C43" s="27">
        <v>1.7601510000000001E-2</v>
      </c>
      <c r="D43" s="27">
        <v>2.0542749999999999E-2</v>
      </c>
      <c r="E43" s="27">
        <v>1.49281E-2</v>
      </c>
      <c r="F43" s="27">
        <v>1.900787E-2</v>
      </c>
      <c r="G43" s="27">
        <v>1.423817E-2</v>
      </c>
      <c r="I43" s="1" t="s">
        <v>244</v>
      </c>
      <c r="J43" s="27">
        <f>ABS(SFigure15!I11-SFigure15!E11)</f>
        <v>1.5518900004281022E-3</v>
      </c>
      <c r="K43" s="27">
        <f>ABS(SFigure15!M11-SFigure15!E11)</f>
        <v>1.1184500003764697E-3</v>
      </c>
      <c r="L43" s="27">
        <f>ABS(SFigure15!E43-SFigure15!E11)</f>
        <v>1.3422600000012608E-3</v>
      </c>
      <c r="M43" s="27">
        <f>ABS(SFigure15!I43-SFigure15!E11)</f>
        <v>9.6973000017896993E-4</v>
      </c>
      <c r="N43" s="27">
        <f>ABS(SFigure15!E75-SFigure15!E11)</f>
        <v>1.1583600003177708E-3</v>
      </c>
      <c r="O43" s="27">
        <f>ABS(SFigure15!I75-SFigure15!E11)</f>
        <v>8.5830000034547993E-4</v>
      </c>
      <c r="R43" s="27"/>
      <c r="S43" s="27"/>
    </row>
    <row r="44" spans="1:19" ht="15.75" customHeight="1">
      <c r="A44" s="1" t="s">
        <v>245</v>
      </c>
      <c r="B44" s="27">
        <v>2.9681849999999999E-2</v>
      </c>
      <c r="C44" s="27">
        <v>2.26535E-2</v>
      </c>
      <c r="D44" s="27">
        <v>2.6532549999999998E-2</v>
      </c>
      <c r="E44" s="27">
        <v>1.9110160000000001E-2</v>
      </c>
      <c r="F44" s="27">
        <v>2.382927E-2</v>
      </c>
      <c r="G44" s="27">
        <v>1.7780770000000001E-2</v>
      </c>
      <c r="I44" s="1" t="s">
        <v>245</v>
      </c>
      <c r="J44" s="27">
        <f>ABS(SFigure15!I12-SFigure15!E12)</f>
        <v>1.0103600000093138E-3</v>
      </c>
      <c r="K44" s="27">
        <f>ABS(SFigure15!M12-SFigure15!E12)</f>
        <v>7.4427000004106958E-4</v>
      </c>
      <c r="L44" s="27">
        <f>ABS(SFigure15!E44-SFigure15!E12)</f>
        <v>8.7896000002274377E-4</v>
      </c>
      <c r="M44" s="27">
        <f>ABS(SFigure15!I44-SFigure15!E12)</f>
        <v>6.4336000002640503E-4</v>
      </c>
      <c r="N44" s="27">
        <f>ABS(SFigure15!E76-SFigure15!E12)</f>
        <v>7.7896000004784582E-4</v>
      </c>
      <c r="O44" s="27">
        <f>ABS(SFigure15!I76-SFigure15!E12)</f>
        <v>5.8858000011241529E-4</v>
      </c>
      <c r="R44" s="27"/>
      <c r="S44" s="27"/>
    </row>
    <row r="45" spans="1:19" ht="15.75" customHeight="1">
      <c r="A45" s="1" t="s">
        <v>246</v>
      </c>
      <c r="B45" s="27">
        <v>3.2816850000000002E-2</v>
      </c>
      <c r="C45" s="27">
        <v>3.0383529999999999E-2</v>
      </c>
      <c r="D45" s="27">
        <v>3.0775839999999999E-2</v>
      </c>
      <c r="E45" s="27">
        <v>1.941186E-2</v>
      </c>
      <c r="F45" s="27">
        <v>2.956129E-2</v>
      </c>
      <c r="G45" s="27">
        <v>1.432158E-2</v>
      </c>
      <c r="I45" s="1" t="s">
        <v>246</v>
      </c>
      <c r="J45" s="27">
        <f>ABS(SFigure15!I13-SFigure15!E13)</f>
        <v>3.35619999532355E-4</v>
      </c>
      <c r="K45" s="27">
        <f>ABS(SFigure15!M13-SFigure15!E13)</f>
        <v>4.2869199996857787E-3</v>
      </c>
      <c r="L45" s="27">
        <f>ABS(SFigure15!E45-SFigure15!E13)</f>
        <v>5.6783999934850726E-4</v>
      </c>
      <c r="M45" s="27">
        <f>ABS(SFigure15!I45-SFigure15!E13)</f>
        <v>1.9119700000373996E-3</v>
      </c>
      <c r="N45" s="27">
        <f>ABS(SFigure15!E77-SFigure15!E13)</f>
        <v>5.5738199998813798E-3</v>
      </c>
      <c r="O45" s="27">
        <f>ABS(SFigure15!I77-SFigure15!E13)</f>
        <v>2.2845700004836544E-3</v>
      </c>
      <c r="R45" s="27"/>
      <c r="S45" s="27"/>
    </row>
    <row r="46" spans="1:19" ht="15.75" customHeight="1">
      <c r="A46" s="1" t="s">
        <v>247</v>
      </c>
      <c r="B46" s="27">
        <v>3.9538650000000002E-2</v>
      </c>
      <c r="C46" s="27">
        <v>2.4978960000000001E-2</v>
      </c>
      <c r="D46" s="27">
        <v>4.6776409999999997E-2</v>
      </c>
      <c r="E46" s="27">
        <v>2.064715E-2</v>
      </c>
      <c r="F46" s="27">
        <v>2.9049749999999999E-2</v>
      </c>
      <c r="G46" s="27">
        <v>1.6711630000000002E-2</v>
      </c>
      <c r="I46" s="1" t="s">
        <v>247</v>
      </c>
      <c r="J46" s="27">
        <f>ABS(SFigure15!I14-SFigure15!E14)</f>
        <v>4.397309999603749E-3</v>
      </c>
      <c r="K46" s="27">
        <f>ABS(SFigure15!M14-SFigure15!E14)</f>
        <v>1.9490200002110214E-3</v>
      </c>
      <c r="L46" s="27">
        <f>ABS(SFigure15!E46-SFigure15!E14)</f>
        <v>4.3801299998449394E-3</v>
      </c>
      <c r="M46" s="27">
        <f>ABS(SFigure15!I46-SFigure15!E14)</f>
        <v>1.9916900000680471E-3</v>
      </c>
      <c r="N46" s="27">
        <f>ABS(SFigure15!E78-SFigure15!E14)</f>
        <v>3.8749999930587364E-5</v>
      </c>
      <c r="O46" s="27">
        <f>ABS(SFigure15!I78-SFigure15!E14)</f>
        <v>1.8292800000381249E-3</v>
      </c>
      <c r="R46" s="27"/>
      <c r="S46" s="27"/>
    </row>
    <row r="47" spans="1:19" ht="15.75" customHeight="1">
      <c r="A47" s="1" t="s">
        <v>248</v>
      </c>
      <c r="B47" s="27">
        <v>3.5189869999999998E-2</v>
      </c>
      <c r="C47" s="27">
        <v>2.53905E-2</v>
      </c>
      <c r="D47" s="27">
        <v>3.289069E-2</v>
      </c>
      <c r="E47" s="27">
        <v>2.1949779999999999E-2</v>
      </c>
      <c r="F47" s="27">
        <v>2.6849649999999999E-2</v>
      </c>
      <c r="G47" s="27">
        <v>1.847977E-2</v>
      </c>
      <c r="I47" s="1" t="s">
        <v>248</v>
      </c>
      <c r="J47" s="27">
        <f>ABS(SFigure15!I15-SFigure15!E15)</f>
        <v>1.3402899999164219E-3</v>
      </c>
      <c r="K47" s="27">
        <f>ABS(SFigure15!M15-SFigure15!E15)</f>
        <v>1.6079699998954311E-3</v>
      </c>
      <c r="L47" s="27">
        <f>ABS(SFigure15!E47-SFigure15!E15)</f>
        <v>1.3865099999748054E-3</v>
      </c>
      <c r="M47" s="27">
        <f>ABS(SFigure15!I47-SFigure15!E15)</f>
        <v>1.4687000000321859E-3</v>
      </c>
      <c r="N47" s="27">
        <f>ABS(SFigure15!E79-SFigure15!E15)</f>
        <v>1.4891599998918537E-3</v>
      </c>
      <c r="O47" s="27">
        <f>ABS(SFigure15!I79-SFigure15!E15)</f>
        <v>1.3662900000781519E-3</v>
      </c>
      <c r="R47" s="27"/>
      <c r="S47" s="27"/>
    </row>
    <row r="48" spans="1:19" ht="15.75" customHeight="1">
      <c r="A48" s="1" t="s">
        <v>249</v>
      </c>
      <c r="B48" s="27">
        <v>5.0564169999999999E-2</v>
      </c>
      <c r="C48" s="27">
        <v>3.9811939999999997E-2</v>
      </c>
      <c r="D48" s="27">
        <v>4.7473019999999998E-2</v>
      </c>
      <c r="E48" s="27">
        <v>3.6658789999999997E-2</v>
      </c>
      <c r="F48" s="27">
        <v>3.8919990000000002E-2</v>
      </c>
      <c r="G48" s="27">
        <v>2.907185E-2</v>
      </c>
      <c r="I48" s="1" t="s">
        <v>249</v>
      </c>
      <c r="J48" s="27">
        <f>ABS(SFigure15!I16-SFigure15!E16)</f>
        <v>5.411059999914869E-3</v>
      </c>
      <c r="K48" s="27">
        <f>ABS(SFigure15!M16-SFigure15!E16)</f>
        <v>4.4242399999347981E-3</v>
      </c>
      <c r="L48" s="27">
        <f>ABS(SFigure15!E48-SFigure15!E16)</f>
        <v>5.2641499999026564E-3</v>
      </c>
      <c r="M48" s="27">
        <f>ABS(SFigure15!I48-SFigure15!E16)</f>
        <v>4.0637699999024335E-3</v>
      </c>
      <c r="N48" s="27">
        <f>ABS(SFigure15!E80-SFigure15!E16)</f>
        <v>4.5539600000665814E-3</v>
      </c>
      <c r="O48" s="27">
        <f>ABS(SFigure15!I80-SFigure15!E16)</f>
        <v>3.6193599999023718E-3</v>
      </c>
      <c r="R48" s="27"/>
      <c r="S48" s="27"/>
    </row>
    <row r="49" spans="1:15" ht="15.75" customHeight="1">
      <c r="A49" s="1" t="s">
        <v>250</v>
      </c>
      <c r="B49" s="27">
        <v>3.9719699999999997E-2</v>
      </c>
      <c r="C49" s="27">
        <v>2.9793960000000001E-2</v>
      </c>
      <c r="D49" s="27">
        <v>3.5791879999999998E-2</v>
      </c>
      <c r="E49" s="27">
        <v>2.6074670000000001E-2</v>
      </c>
      <c r="F49" s="27">
        <v>3.269209E-2</v>
      </c>
      <c r="G49" s="27">
        <v>2.4701549999999999E-2</v>
      </c>
      <c r="I49" s="1" t="s">
        <v>250</v>
      </c>
      <c r="J49" s="27">
        <f>ABS(SFigure15!I17-SFigure15!E17)</f>
        <v>9.2182000000207154E-4</v>
      </c>
      <c r="K49" s="27">
        <f>ABS(SFigure15!M17-SFigure15!E17)</f>
        <v>6.8884000000934975E-4</v>
      </c>
      <c r="L49" s="27">
        <f>ABS(SFigure15!E49-SFigure15!E17)</f>
        <v>8.2556000000977292E-4</v>
      </c>
      <c r="M49" s="27">
        <f>ABS(SFigure15!I49-SFigure15!E17)</f>
        <v>6.1034999998810235E-4</v>
      </c>
      <c r="N49" s="27">
        <f>ABS(SFigure15!E81-SFigure15!E17)</f>
        <v>7.2262999998429223E-4</v>
      </c>
      <c r="O49" s="27">
        <f>ABS(SFigure15!I81-SFigure15!E17)</f>
        <v>5.5722999999829881E-4</v>
      </c>
    </row>
    <row r="50" spans="1:15" ht="15.75" customHeight="1">
      <c r="A50" s="1" t="s">
        <v>251</v>
      </c>
      <c r="B50" s="27">
        <v>2.2788780000000002E-2</v>
      </c>
      <c r="C50" s="27">
        <v>1.75138E-2</v>
      </c>
      <c r="D50" s="27">
        <v>2.0531549999999999E-2</v>
      </c>
      <c r="E50" s="27">
        <v>1.530164E-2</v>
      </c>
      <c r="F50" s="27">
        <v>1.9671589999999999E-2</v>
      </c>
      <c r="G50" s="27">
        <v>1.512939E-2</v>
      </c>
      <c r="I50" s="1" t="s">
        <v>251</v>
      </c>
      <c r="J50" s="27">
        <f>ABS(SFigure15!I18-SFigure15!E18)</f>
        <v>1.5952300000208197E-3</v>
      </c>
      <c r="K50" s="27">
        <f>ABS(SFigure15!M18-SFigure15!E18)</f>
        <v>1.1562800000319839E-3</v>
      </c>
      <c r="L50" s="27">
        <f>ABS(SFigure15!E50-SFigure15!E18)</f>
        <v>1.3765799999418959E-3</v>
      </c>
      <c r="M50" s="27">
        <f>ABS(SFigure15!I50-SFigure15!E18)</f>
        <v>1.0353799998483737E-3</v>
      </c>
      <c r="N50" s="27">
        <f>ABS(SFigure15!E82-SFigure15!E18)</f>
        <v>1.210339999943244E-3</v>
      </c>
      <c r="O50" s="27">
        <f>ABS(SFigure15!I82-SFigure15!E18)</f>
        <v>9.4329000012294273E-4</v>
      </c>
    </row>
    <row r="51" spans="1:15" ht="15.75" customHeight="1">
      <c r="A51" s="1" t="s">
        <v>252</v>
      </c>
      <c r="B51" s="27">
        <v>3.0225410000000001E-2</v>
      </c>
      <c r="C51" s="27">
        <v>2.2964990000000001E-2</v>
      </c>
      <c r="D51" s="27">
        <v>2.6986010000000001E-2</v>
      </c>
      <c r="E51" s="27">
        <v>1.997937E-2</v>
      </c>
      <c r="F51" s="27">
        <v>2.4906310000000001E-2</v>
      </c>
      <c r="G51" s="27">
        <v>1.9103209999999999E-2</v>
      </c>
      <c r="I51" s="1" t="s">
        <v>252</v>
      </c>
      <c r="J51" s="27">
        <f>ABS(SFigure15!I19-SFigure15!E19)</f>
        <v>1.0330900000781185E-3</v>
      </c>
      <c r="K51" s="27">
        <f>ABS(SFigure15!M19-SFigure15!E19)</f>
        <v>7.454799999777606E-4</v>
      </c>
      <c r="L51" s="27">
        <f>ABS(SFigure15!E51-SFigure15!E19)</f>
        <v>8.8269000002583198E-4</v>
      </c>
      <c r="M51" s="27">
        <f>ABS(SFigure15!I51-SFigure15!E19)</f>
        <v>6.6904000004797126E-4</v>
      </c>
      <c r="N51" s="27">
        <f>ABS(SFigure15!E83-SFigure15!E19)</f>
        <v>7.9955000001064036E-4</v>
      </c>
      <c r="O51" s="27">
        <f>ABS(SFigure15!I83-SFigure15!E19)</f>
        <v>6.2995000007504132E-4</v>
      </c>
    </row>
    <row r="52" spans="1:15" ht="15.75" customHeight="1">
      <c r="A52" s="1" t="s">
        <v>253</v>
      </c>
      <c r="B52" s="27">
        <v>4.080582E-2</v>
      </c>
      <c r="C52" s="27">
        <v>3.158151E-2</v>
      </c>
      <c r="D52" s="27">
        <v>3.7969820000000001E-2</v>
      </c>
      <c r="E52" s="27">
        <v>2.879048E-2</v>
      </c>
      <c r="F52" s="27">
        <v>3.6299749999999999E-2</v>
      </c>
      <c r="G52" s="27">
        <v>2.8077479999999998E-2</v>
      </c>
      <c r="I52" s="1" t="s">
        <v>253</v>
      </c>
      <c r="J52" s="27">
        <f>ABS(SFigure15!I20-SFigure15!E20)</f>
        <v>1.4799699999912264E-3</v>
      </c>
      <c r="K52" s="27">
        <f>ABS(SFigure15!M20-SFigure15!E20)</f>
        <v>1.155979999992951E-3</v>
      </c>
      <c r="L52" s="27">
        <f>ABS(SFigure15!E52-SFigure15!E20)</f>
        <v>1.3507600000082221E-3</v>
      </c>
      <c r="M52" s="27">
        <f>ABS(SFigure15!I52-SFigure15!E20)</f>
        <v>1.0056499999961943E-3</v>
      </c>
      <c r="N52" s="27">
        <f>ABS(SFigure15!E84-SFigure15!E20)</f>
        <v>1.2184400000023743E-3</v>
      </c>
      <c r="O52" s="27">
        <f>ABS(SFigure15!I84-SFigure15!E20)</f>
        <v>9.4472000000678236E-4</v>
      </c>
    </row>
    <row r="53" spans="1:15" ht="15.75" customHeight="1">
      <c r="A53" s="1" t="s">
        <v>254</v>
      </c>
      <c r="B53" s="27">
        <v>3.3093869999999997E-2</v>
      </c>
      <c r="C53" s="27">
        <v>2.5909270000000002E-2</v>
      </c>
      <c r="D53" s="27">
        <v>3.0419120000000001E-2</v>
      </c>
      <c r="E53" s="27">
        <v>2.273352E-2</v>
      </c>
      <c r="F53" s="27">
        <v>2.8833299999999999E-2</v>
      </c>
      <c r="G53" s="27">
        <v>2.199781E-2</v>
      </c>
      <c r="I53" s="1" t="s">
        <v>254</v>
      </c>
      <c r="J53" s="27">
        <f>ABS(SFigure15!I21-SFigure15!E21)</f>
        <v>4.1107600000032107E-3</v>
      </c>
      <c r="K53" s="27">
        <f>ABS(SFigure15!M21-SFigure15!E21)</f>
        <v>3.9574099999981627E-3</v>
      </c>
      <c r="L53" s="27">
        <f>ABS(SFigure15!E53-SFigure15!E21)</f>
        <v>4.099100000019007E-3</v>
      </c>
      <c r="M53" s="27">
        <f>ABS(SFigure15!I53-SFigure15!E21)</f>
        <v>3.8617900000019745E-3</v>
      </c>
      <c r="N53" s="27">
        <f>ABS(SFigure15!E85-SFigure15!E21)</f>
        <v>4.0048099999978604E-3</v>
      </c>
      <c r="O53" s="27">
        <f>ABS(SFigure15!I85-SFigure15!E21)</f>
        <v>3.8102299999991374E-3</v>
      </c>
    </row>
    <row r="54" spans="1:15" ht="15.75" customHeight="1">
      <c r="A54" s="1" t="s">
        <v>255</v>
      </c>
      <c r="B54" s="27">
        <v>2.437988E-2</v>
      </c>
      <c r="C54" s="27">
        <v>1.79297E-2</v>
      </c>
      <c r="D54" s="27">
        <v>2.2442899999999998E-2</v>
      </c>
      <c r="E54" s="27">
        <v>1.5923659999999999E-2</v>
      </c>
      <c r="F54" s="27">
        <v>1.9479489999999999E-2</v>
      </c>
      <c r="G54" s="27">
        <v>1.459972E-2</v>
      </c>
      <c r="I54" s="1" t="s">
        <v>255</v>
      </c>
      <c r="J54" s="27">
        <f>ABS(SFigure15!I22-SFigure15!E22)</f>
        <v>1.2788499998350744E-3</v>
      </c>
      <c r="K54" s="27">
        <f>ABS(SFigure15!M22-SFigure15!E22)</f>
        <v>8.5666999984823633E-4</v>
      </c>
      <c r="L54" s="27">
        <f>ABS(SFigure15!E54-SFigure15!E22)</f>
        <v>1.0890300000028219E-3</v>
      </c>
      <c r="M54" s="27">
        <f>ABS(SFigure15!I54-SFigure15!E22)</f>
        <v>7.3741999995036167E-4</v>
      </c>
      <c r="N54" s="27">
        <f>ABS(SFigure15!E86-SFigure15!E22)</f>
        <v>8.5859000000709784E-4</v>
      </c>
      <c r="O54" s="27">
        <f>ABS(SFigure15!I86-SFigure15!E22)</f>
        <v>6.2681999997948878E-4</v>
      </c>
    </row>
    <row r="55" spans="1:15" ht="15.75" customHeight="1">
      <c r="A55" s="1" t="s">
        <v>256</v>
      </c>
      <c r="B55" s="27">
        <v>3.0634950000000001E-2</v>
      </c>
      <c r="C55" s="27">
        <v>2.2268900000000001E-2</v>
      </c>
      <c r="D55" s="27">
        <v>2.8093E-2</v>
      </c>
      <c r="E55" s="27">
        <v>1.982712E-2</v>
      </c>
      <c r="F55" s="27">
        <v>2.4126749999999999E-2</v>
      </c>
      <c r="G55" s="27">
        <v>1.8035909999999999E-2</v>
      </c>
      <c r="I55" s="1" t="s">
        <v>256</v>
      </c>
      <c r="J55" s="27">
        <f>ABS(SFigure15!I23-SFigure15!E23)</f>
        <v>8.5194000007504656E-4</v>
      </c>
      <c r="K55" s="27">
        <f>ABS(SFigure15!M23-SFigure15!E23)</f>
        <v>5.9332000000722473E-4</v>
      </c>
      <c r="L55" s="27">
        <f>ABS(SFigure15!E55-SFigure15!E23)</f>
        <v>7.5545999993664736E-4</v>
      </c>
      <c r="M55" s="27">
        <f>ABS(SFigure15!I55-SFigure15!E23)</f>
        <v>5.1419000010355376E-4</v>
      </c>
      <c r="N55" s="27">
        <f>ABS(SFigure15!E87-SFigure15!E23)</f>
        <v>5.9148000013919955E-4</v>
      </c>
      <c r="O55" s="27">
        <f>ABS(SFigure15!I87-SFigure15!E23)</f>
        <v>4.4487000013759825E-4</v>
      </c>
    </row>
    <row r="56" spans="1:15" ht="15.75" customHeight="1">
      <c r="A56" s="1" t="s">
        <v>257</v>
      </c>
      <c r="B56" s="27">
        <v>3.3475119999999997E-2</v>
      </c>
      <c r="C56" s="27">
        <v>2.415575E-2</v>
      </c>
      <c r="D56" s="27">
        <v>3.0890129999999998E-2</v>
      </c>
      <c r="E56" s="27">
        <v>2.1517999999999999E-2</v>
      </c>
      <c r="F56" s="27">
        <v>2.665493E-2</v>
      </c>
      <c r="G56" s="27">
        <v>1.9692640000000001E-2</v>
      </c>
      <c r="I56" s="1" t="s">
        <v>257</v>
      </c>
      <c r="J56" s="27">
        <f>ABS(SFigure15!I24-SFigure15!E24)</f>
        <v>1.2713300000086747E-3</v>
      </c>
      <c r="K56" s="27">
        <f>ABS(SFigure15!M24-SFigure15!E24)</f>
        <v>8.3886000004440575E-4</v>
      </c>
      <c r="L56" s="27">
        <f>ABS(SFigure15!E56-SFigure15!E24)</f>
        <v>1.164399999993293E-3</v>
      </c>
      <c r="M56" s="27">
        <f>ABS(SFigure15!I56-SFigure15!E24)</f>
        <v>7.0349999998597923E-4</v>
      </c>
      <c r="N56" s="27">
        <f>ABS(SFigure15!E88-SFigure15!E24)</f>
        <v>9.120299999949566E-4</v>
      </c>
      <c r="O56" s="27">
        <f>ABS(SFigure15!I88-SFigure15!E24)</f>
        <v>5.9244999999918946E-4</v>
      </c>
    </row>
    <row r="57" spans="1:15" ht="15.75" customHeight="1">
      <c r="A57" s="1" t="s">
        <v>258</v>
      </c>
      <c r="B57" s="27">
        <v>4.07905E-2</v>
      </c>
      <c r="C57" s="27">
        <v>3.1493599999999997E-2</v>
      </c>
      <c r="D57" s="27">
        <v>3.7882819999999998E-2</v>
      </c>
      <c r="E57" s="27">
        <v>2.8149239999999999E-2</v>
      </c>
      <c r="F57" s="27">
        <v>3.3636060000000002E-2</v>
      </c>
      <c r="G57" s="27">
        <v>2.6621949999999998E-2</v>
      </c>
      <c r="I57" s="1" t="s">
        <v>258</v>
      </c>
      <c r="J57" s="27">
        <f>ABS(SFigure15!I25-SFigure15!E25)</f>
        <v>1.6684000001987442E-4</v>
      </c>
      <c r="K57" s="27">
        <f>ABS(SFigure15!M25-SFigure15!E25)</f>
        <v>1.866300000301635E-4</v>
      </c>
      <c r="L57" s="27">
        <f>ABS(SFigure15!E57-SFigure15!E25)</f>
        <v>1.5282000003935536E-4</v>
      </c>
      <c r="M57" s="27">
        <f>ABS(SFigure15!I57-SFigure15!E25)</f>
        <v>1.8041999999240943E-4</v>
      </c>
      <c r="N57" s="27">
        <f>ABS(SFigure15!E89-SFigure15!E25)</f>
        <v>1.4833000000180618E-4</v>
      </c>
      <c r="O57" s="27">
        <f>ABS(SFigure15!I89-SFigure15!E25)</f>
        <v>1.7525999999179476E-4</v>
      </c>
    </row>
    <row r="58" spans="1:15" ht="15.75" customHeight="1">
      <c r="A58" s="1" t="s">
        <v>259</v>
      </c>
      <c r="B58" s="27">
        <v>2.9201660000000001E-2</v>
      </c>
      <c r="C58" s="27">
        <v>2.159003E-2</v>
      </c>
      <c r="D58" s="27">
        <v>2.7084609999999999E-2</v>
      </c>
      <c r="E58" s="27">
        <v>1.8682560000000001E-2</v>
      </c>
      <c r="F58" s="27">
        <v>2.3635219999999998E-2</v>
      </c>
      <c r="G58" s="27">
        <v>1.6869410000000001E-2</v>
      </c>
      <c r="I58" s="1" t="s">
        <v>259</v>
      </c>
      <c r="J58" s="27">
        <f>ABS(SFigure15!I26-SFigure15!E26)</f>
        <v>3.5672999999860622E-3</v>
      </c>
      <c r="K58" s="27">
        <f>ABS(SFigure15!M26-SFigure15!E26)</f>
        <v>2.5351599999794416E-3</v>
      </c>
      <c r="L58" s="27">
        <f>ABS(SFigure15!E58-SFigure15!E26)</f>
        <v>3.3644200000253477E-3</v>
      </c>
      <c r="M58" s="27">
        <f>ABS(SFigure15!I58-SFigure15!E26)</f>
        <v>2.1532499999921129E-3</v>
      </c>
      <c r="N58" s="27">
        <f>ABS(SFigure15!E90-SFigure15!E26)</f>
        <v>2.7281899999707093E-3</v>
      </c>
      <c r="O58" s="27">
        <f>ABS(SFigure15!I90-SFigure15!E26)</f>
        <v>1.771710000184612E-3</v>
      </c>
    </row>
    <row r="59" spans="1:15" ht="15.75" customHeight="1">
      <c r="A59" s="1" t="s">
        <v>260</v>
      </c>
      <c r="B59" s="27">
        <v>1.9903460000000001E-2</v>
      </c>
      <c r="C59" s="27">
        <v>1.5233760000000001E-2</v>
      </c>
      <c r="D59" s="27">
        <v>1.8300159999999999E-2</v>
      </c>
      <c r="E59" s="27">
        <v>1.3089740000000001E-2</v>
      </c>
      <c r="F59" s="27">
        <v>1.638676E-2</v>
      </c>
      <c r="G59" s="27">
        <v>1.212997E-2</v>
      </c>
      <c r="I59" s="1" t="s">
        <v>260</v>
      </c>
      <c r="J59" s="27">
        <f>ABS(SFigure15!I27-SFigure15!E27)</f>
        <v>4.0192199994635303E-3</v>
      </c>
      <c r="K59" s="27">
        <f>ABS(SFigure15!M27-SFigure15!E27)</f>
        <v>2.8406000001268694E-3</v>
      </c>
      <c r="L59" s="27">
        <f>ABS(SFigure15!E59-SFigure15!E27)</f>
        <v>3.7216299997453461E-3</v>
      </c>
      <c r="M59" s="27">
        <f>ABS(SFigure15!I59-SFigure15!E27)</f>
        <v>2.4681699997017859E-3</v>
      </c>
      <c r="N59" s="27">
        <f>ABS(SFigure15!E91-SFigure15!E27)</f>
        <v>3.0517300001520198E-3</v>
      </c>
      <c r="O59" s="27">
        <f>ABS(SFigure15!I91-SFigure15!E27)</f>
        <v>2.0509300002231612E-3</v>
      </c>
    </row>
    <row r="60" spans="1:15" ht="15.75" customHeight="1">
      <c r="A60" s="1" t="s">
        <v>261</v>
      </c>
      <c r="B60" s="27">
        <v>2.426089E-2</v>
      </c>
      <c r="C60" s="27">
        <v>1.8323840000000001E-2</v>
      </c>
      <c r="D60" s="27">
        <v>2.2180760000000001E-2</v>
      </c>
      <c r="E60" s="27">
        <v>1.5727250000000002E-2</v>
      </c>
      <c r="F60" s="27">
        <v>1.939227E-2</v>
      </c>
      <c r="G60" s="27">
        <v>1.4252219999999999E-2</v>
      </c>
      <c r="I60" s="1" t="s">
        <v>261</v>
      </c>
      <c r="J60" s="27">
        <f>ABS(SFigure15!I28-SFigure15!E28)</f>
        <v>3.5436200000731333E-3</v>
      </c>
      <c r="K60" s="27">
        <f>ABS(SFigure15!M28-SFigure15!E28)</f>
        <v>2.5222799999937706E-3</v>
      </c>
      <c r="L60" s="27">
        <f>ABS(SFigure15!E60-SFigure15!E28)</f>
        <v>3.334789999826171E-3</v>
      </c>
      <c r="M60" s="27">
        <f>ABS(SFigure15!I60-SFigure15!E28)</f>
        <v>2.1870800001124735E-3</v>
      </c>
      <c r="N60" s="27">
        <f>ABS(SFigure15!E92-SFigure15!E28)</f>
        <v>2.7343799997652241E-3</v>
      </c>
      <c r="O60" s="27">
        <f>ABS(SFigure15!I92-SFigure15!E28)</f>
        <v>1.8200599997726385E-3</v>
      </c>
    </row>
    <row r="61" spans="1:15" ht="15.75" customHeight="1">
      <c r="B61" s="27"/>
      <c r="C61" s="27"/>
      <c r="D61" s="27"/>
      <c r="E61" s="27"/>
      <c r="F61" s="27"/>
      <c r="G61" s="27"/>
    </row>
    <row r="62" spans="1:15" ht="15.75" customHeight="1">
      <c r="A62" s="1" t="s">
        <v>276</v>
      </c>
      <c r="B62" s="27">
        <f t="shared" ref="B62:G62" si="3">AVERAGE(B36:B60)</f>
        <v>3.4963655199999999E-2</v>
      </c>
      <c r="C62" s="27">
        <f t="shared" si="3"/>
        <v>2.7158336800000005E-2</v>
      </c>
      <c r="D62" s="27">
        <f t="shared" si="3"/>
        <v>3.2750006799999995E-2</v>
      </c>
      <c r="E62" s="27">
        <f t="shared" si="3"/>
        <v>2.3646440399999996E-2</v>
      </c>
      <c r="F62" s="27">
        <f t="shared" si="3"/>
        <v>2.844023E-2</v>
      </c>
      <c r="G62" s="27">
        <f t="shared" si="3"/>
        <v>2.1508448800000003E-2</v>
      </c>
      <c r="I62" s="1" t="s">
        <v>276</v>
      </c>
      <c r="J62" s="27">
        <f t="shared" ref="J62:O62" si="4">AVERAGE(J36:J60)</f>
        <v>1.8990367999583669E-3</v>
      </c>
      <c r="K62" s="27">
        <f t="shared" si="4"/>
        <v>1.6036900000062815E-3</v>
      </c>
      <c r="L62" s="27">
        <f t="shared" si="4"/>
        <v>1.7649131999485236E-3</v>
      </c>
      <c r="M62" s="27">
        <f t="shared" si="4"/>
        <v>1.3649727999973037E-3</v>
      </c>
      <c r="N62" s="27">
        <f t="shared" si="4"/>
        <v>1.6187692000050901E-3</v>
      </c>
      <c r="O62" s="27">
        <f t="shared" si="4"/>
        <v>1.2576212000612941E-3</v>
      </c>
    </row>
    <row r="63" spans="1:15" ht="15.75" customHeight="1">
      <c r="A63" s="1" t="s">
        <v>277</v>
      </c>
      <c r="B63" s="27">
        <f t="shared" ref="B63:G63" si="5">MAX(B36:B61)</f>
        <v>5.2087550000000003E-2</v>
      </c>
      <c r="C63" s="27">
        <f t="shared" si="5"/>
        <v>4.9899730000000003E-2</v>
      </c>
      <c r="D63" s="27">
        <f t="shared" si="5"/>
        <v>4.7473019999999998E-2</v>
      </c>
      <c r="E63" s="27">
        <f t="shared" si="5"/>
        <v>4.5120220000000003E-2</v>
      </c>
      <c r="F63" s="27">
        <f t="shared" si="5"/>
        <v>3.8919990000000002E-2</v>
      </c>
      <c r="G63" s="27">
        <f t="shared" si="5"/>
        <v>3.9616709999999999E-2</v>
      </c>
    </row>
    <row r="64" spans="1:15" ht="15.75" customHeight="1">
      <c r="I64" s="27"/>
      <c r="J64" s="27"/>
      <c r="K64" s="27"/>
      <c r="L64" s="27"/>
      <c r="M64" s="27"/>
      <c r="N64" s="27"/>
    </row>
    <row r="65" spans="1:15" ht="15.75" customHeight="1">
      <c r="D65" s="1" t="s">
        <v>279</v>
      </c>
    </row>
    <row r="66" spans="1:15" ht="15.75" customHeight="1">
      <c r="B66" s="1" t="s">
        <v>280</v>
      </c>
    </row>
    <row r="67" spans="1:15" ht="15.75" customHeight="1">
      <c r="A67" s="1" t="s">
        <v>231</v>
      </c>
      <c r="B67" s="1" t="s">
        <v>39</v>
      </c>
      <c r="C67" s="1" t="s">
        <v>38</v>
      </c>
      <c r="D67" s="1" t="s">
        <v>263</v>
      </c>
      <c r="E67" s="1" t="s">
        <v>264</v>
      </c>
      <c r="F67" s="1" t="s">
        <v>63</v>
      </c>
      <c r="G67" s="1" t="s">
        <v>265</v>
      </c>
    </row>
    <row r="68" spans="1:15" ht="15.75" customHeight="1">
      <c r="A68" s="1" t="s">
        <v>237</v>
      </c>
      <c r="B68" s="27">
        <f t="shared" ref="B68:G83" si="6">ABS(B36-B4)</f>
        <v>1.8002489999999999E-2</v>
      </c>
      <c r="C68" s="27">
        <f t="shared" si="6"/>
        <v>1.4929630000000003E-2</v>
      </c>
      <c r="D68" s="27">
        <f t="shared" si="6"/>
        <v>1.9603000000000002E-2</v>
      </c>
      <c r="E68" s="27">
        <f t="shared" si="6"/>
        <v>1.2807010000000001E-2</v>
      </c>
      <c r="F68" s="27">
        <f t="shared" si="6"/>
        <v>1.5056299999999998E-2</v>
      </c>
      <c r="G68" s="27">
        <f t="shared" si="6"/>
        <v>1.2502050000000001E-2</v>
      </c>
      <c r="J68" s="74"/>
    </row>
    <row r="69" spans="1:15" ht="15.75" customHeight="1">
      <c r="A69" s="1" t="s">
        <v>238</v>
      </c>
      <c r="B69" s="27">
        <f t="shared" si="6"/>
        <v>1.0243019999999999E-2</v>
      </c>
      <c r="C69" s="27">
        <f t="shared" si="6"/>
        <v>1.2286969999999998E-2</v>
      </c>
      <c r="D69" s="27">
        <f t="shared" si="6"/>
        <v>9.7686500000000037E-3</v>
      </c>
      <c r="E69" s="27">
        <f t="shared" si="6"/>
        <v>1.369281E-2</v>
      </c>
      <c r="F69" s="27">
        <f t="shared" si="6"/>
        <v>1.031112E-2</v>
      </c>
      <c r="G69" s="27">
        <f t="shared" si="6"/>
        <v>1.364773E-2</v>
      </c>
      <c r="J69" s="74"/>
    </row>
    <row r="70" spans="1:15" ht="15.75" customHeight="1">
      <c r="A70" s="1" t="s">
        <v>239</v>
      </c>
      <c r="B70" s="27">
        <f t="shared" si="6"/>
        <v>1.8526500000000043E-3</v>
      </c>
      <c r="C70" s="27">
        <f t="shared" si="6"/>
        <v>7.1591000000000016E-4</v>
      </c>
      <c r="D70" s="27">
        <f t="shared" si="6"/>
        <v>1.7708100000000046E-3</v>
      </c>
      <c r="E70" s="27">
        <f t="shared" si="6"/>
        <v>1.3109099999999985E-3</v>
      </c>
      <c r="F70" s="27">
        <f t="shared" si="6"/>
        <v>1.1007999999999851E-4</v>
      </c>
      <c r="G70" s="27">
        <f t="shared" si="6"/>
        <v>2.5559199999999997E-3</v>
      </c>
      <c r="J70" s="74"/>
    </row>
    <row r="71" spans="1:15" ht="15.75" customHeight="1">
      <c r="A71" s="1" t="s">
        <v>240</v>
      </c>
      <c r="B71" s="27">
        <f t="shared" si="6"/>
        <v>1.6020240000000002E-2</v>
      </c>
      <c r="C71" s="27">
        <f t="shared" si="6"/>
        <v>2.8977750000000004E-2</v>
      </c>
      <c r="D71" s="27">
        <f t="shared" si="6"/>
        <v>1.6000269999999997E-2</v>
      </c>
      <c r="E71" s="27">
        <f t="shared" si="6"/>
        <v>2.7160580000000004E-2</v>
      </c>
      <c r="F71" s="27">
        <f t="shared" si="6"/>
        <v>1.451788E-2</v>
      </c>
      <c r="G71" s="27">
        <f t="shared" si="6"/>
        <v>2.2202159999999999E-2</v>
      </c>
      <c r="J71" s="74"/>
    </row>
    <row r="72" spans="1:15" ht="15.75" customHeight="1">
      <c r="A72" s="1" t="s">
        <v>241</v>
      </c>
      <c r="B72" s="27">
        <f t="shared" si="6"/>
        <v>1.802198E-2</v>
      </c>
      <c r="C72" s="27">
        <f t="shared" si="6"/>
        <v>4.4425600000000016E-3</v>
      </c>
      <c r="D72" s="27">
        <f t="shared" si="6"/>
        <v>1.4266379999999995E-2</v>
      </c>
      <c r="E72" s="27">
        <f t="shared" si="6"/>
        <v>4.7813800000000017E-3</v>
      </c>
      <c r="F72" s="27">
        <f t="shared" si="6"/>
        <v>1.3973900000000018E-3</v>
      </c>
      <c r="G72" s="27">
        <f t="shared" si="6"/>
        <v>2.8032200000000021E-3</v>
      </c>
      <c r="J72" s="74"/>
    </row>
    <row r="73" spans="1:15" ht="15.75" customHeight="1">
      <c r="A73" s="1" t="s">
        <v>242</v>
      </c>
      <c r="B73" s="27">
        <f t="shared" si="6"/>
        <v>3.0535100000000023E-3</v>
      </c>
      <c r="C73" s="27">
        <f t="shared" si="6"/>
        <v>1.5080300000000005E-3</v>
      </c>
      <c r="D73" s="27">
        <f t="shared" si="6"/>
        <v>2.629109999999997E-3</v>
      </c>
      <c r="E73" s="27">
        <f t="shared" si="6"/>
        <v>6.5675000000000108E-4</v>
      </c>
      <c r="F73" s="27">
        <f t="shared" si="6"/>
        <v>7.0461299999999977E-3</v>
      </c>
      <c r="G73" s="27">
        <f t="shared" si="6"/>
        <v>4.1436500000000022E-3</v>
      </c>
      <c r="J73" s="74"/>
    </row>
    <row r="74" spans="1:15" ht="15.75" customHeight="1">
      <c r="A74" s="1" t="s">
        <v>243</v>
      </c>
      <c r="B74" s="27">
        <f t="shared" si="6"/>
        <v>2.4509900000000001E-3</v>
      </c>
      <c r="C74" s="27">
        <f t="shared" si="6"/>
        <v>2.5243000000000002E-3</v>
      </c>
      <c r="D74" s="27">
        <f t="shared" si="6"/>
        <v>1.4452599999999968E-3</v>
      </c>
      <c r="E74" s="27">
        <f t="shared" si="6"/>
        <v>8.9287000000000047E-4</v>
      </c>
      <c r="F74" s="27">
        <f t="shared" si="6"/>
        <v>6.2052000000000287E-4</v>
      </c>
      <c r="G74" s="27">
        <f t="shared" si="6"/>
        <v>5.53900000000003E-4</v>
      </c>
      <c r="J74" s="74"/>
    </row>
    <row r="75" spans="1:15" ht="15.75" customHeight="1">
      <c r="A75" s="1" t="s">
        <v>244</v>
      </c>
      <c r="B75" s="27">
        <f t="shared" si="6"/>
        <v>2.5276899999999991E-3</v>
      </c>
      <c r="C75" s="27">
        <f t="shared" si="6"/>
        <v>2.0615000000000008E-3</v>
      </c>
      <c r="D75" s="27">
        <f t="shared" si="6"/>
        <v>2.2864599999999971E-3</v>
      </c>
      <c r="E75" s="27">
        <f t="shared" si="6"/>
        <v>1.8847699999999992E-3</v>
      </c>
      <c r="F75" s="27">
        <f t="shared" si="6"/>
        <v>1.5023600000000012E-3</v>
      </c>
      <c r="G75" s="27">
        <f t="shared" si="6"/>
        <v>1.3831999999999994E-3</v>
      </c>
    </row>
    <row r="76" spans="1:15" ht="15.75" customHeight="1">
      <c r="A76" s="1" t="s">
        <v>245</v>
      </c>
      <c r="B76" s="27">
        <f t="shared" si="6"/>
        <v>3.6710200000000005E-3</v>
      </c>
      <c r="C76" s="27">
        <f t="shared" si="6"/>
        <v>2.7802E-3</v>
      </c>
      <c r="D76" s="27">
        <f t="shared" si="6"/>
        <v>3.1424999999999995E-3</v>
      </c>
      <c r="E76" s="27">
        <f t="shared" si="6"/>
        <v>2.5046300000000007E-3</v>
      </c>
      <c r="F76" s="27">
        <f t="shared" si="6"/>
        <v>1.8914899999999991E-3</v>
      </c>
      <c r="G76" s="27">
        <f t="shared" si="6"/>
        <v>1.7564000000000017E-3</v>
      </c>
    </row>
    <row r="77" spans="1:15" ht="15.75" customHeight="1">
      <c r="A77" s="1" t="s">
        <v>246</v>
      </c>
      <c r="B77" s="27">
        <f t="shared" si="6"/>
        <v>1.2822080000000003E-2</v>
      </c>
      <c r="C77" s="27">
        <f t="shared" si="6"/>
        <v>1.5109259999999999E-2</v>
      </c>
      <c r="D77" s="27">
        <f t="shared" si="6"/>
        <v>1.1605319999999999E-2</v>
      </c>
      <c r="E77" s="27">
        <f t="shared" si="6"/>
        <v>6.1785399999999997E-3</v>
      </c>
      <c r="F77" s="27">
        <f t="shared" si="6"/>
        <v>1.2463740000000001E-2</v>
      </c>
      <c r="G77" s="27">
        <f t="shared" si="6"/>
        <v>2.2624000000000012E-3</v>
      </c>
    </row>
    <row r="78" spans="1:15" ht="15.75" customHeight="1">
      <c r="A78" s="1" t="s">
        <v>247</v>
      </c>
      <c r="B78" s="27">
        <f t="shared" si="6"/>
        <v>1.526835E-2</v>
      </c>
      <c r="C78" s="27">
        <f t="shared" si="6"/>
        <v>6.465000000000002E-3</v>
      </c>
      <c r="D78" s="27">
        <f t="shared" si="6"/>
        <v>2.3309549999999998E-2</v>
      </c>
      <c r="E78" s="27">
        <f t="shared" si="6"/>
        <v>4.5782200000000009E-3</v>
      </c>
      <c r="F78" s="27">
        <f t="shared" si="6"/>
        <v>8.3949000000000003E-3</v>
      </c>
      <c r="G78" s="27">
        <f t="shared" si="6"/>
        <v>2.313260000000001E-3</v>
      </c>
    </row>
    <row r="79" spans="1:15" ht="15.75" customHeight="1">
      <c r="A79" s="1" t="s">
        <v>248</v>
      </c>
      <c r="B79" s="27">
        <f t="shared" si="6"/>
        <v>6.5408899999999971E-3</v>
      </c>
      <c r="C79" s="27">
        <f t="shared" si="6"/>
        <v>3.2637099999999995E-3</v>
      </c>
      <c r="D79" s="27">
        <f t="shared" si="6"/>
        <v>4.4316800000000003E-3</v>
      </c>
      <c r="E79" s="27">
        <f t="shared" si="6"/>
        <v>2.559249999999999E-3</v>
      </c>
      <c r="F79" s="27">
        <f t="shared" si="6"/>
        <v>1.5136400000000001E-3</v>
      </c>
      <c r="G79" s="27">
        <f t="shared" si="6"/>
        <v>1.0441599999999988E-3</v>
      </c>
      <c r="J79" s="27"/>
      <c r="K79" s="27"/>
      <c r="L79" s="27"/>
      <c r="M79" s="27"/>
      <c r="N79" s="27"/>
      <c r="O79" s="27"/>
    </row>
    <row r="80" spans="1:15" ht="15.75" customHeight="1">
      <c r="A80" s="1" t="s">
        <v>249</v>
      </c>
      <c r="B80" s="27">
        <f t="shared" si="6"/>
        <v>2.0085509999999997E-2</v>
      </c>
      <c r="C80" s="27">
        <f t="shared" si="6"/>
        <v>1.5914449999999997E-2</v>
      </c>
      <c r="D80" s="27">
        <f t="shared" si="6"/>
        <v>1.7228089999999998E-2</v>
      </c>
      <c r="E80" s="27">
        <f t="shared" si="6"/>
        <v>1.5360569999999997E-2</v>
      </c>
      <c r="F80" s="27">
        <f t="shared" si="6"/>
        <v>1.059769E-2</v>
      </c>
      <c r="G80" s="27">
        <f t="shared" si="6"/>
        <v>8.89005E-3</v>
      </c>
      <c r="I80" s="74"/>
      <c r="J80" s="27"/>
    </row>
    <row r="81" spans="1:10" ht="15.75" customHeight="1">
      <c r="A81" s="1" t="s">
        <v>250</v>
      </c>
      <c r="B81" s="27">
        <f t="shared" si="6"/>
        <v>3.6344599999999991E-3</v>
      </c>
      <c r="C81" s="27">
        <f t="shared" si="6"/>
        <v>3.7944500000000013E-3</v>
      </c>
      <c r="D81" s="27">
        <f t="shared" si="6"/>
        <v>2.6590299999999997E-3</v>
      </c>
      <c r="E81" s="27">
        <f t="shared" si="6"/>
        <v>2.2464100000000008E-3</v>
      </c>
      <c r="F81" s="27">
        <f t="shared" si="6"/>
        <v>2.8845200000000015E-3</v>
      </c>
      <c r="G81" s="27">
        <f t="shared" si="6"/>
        <v>2.720199999999999E-3</v>
      </c>
      <c r="I81" s="74"/>
      <c r="J81" s="27"/>
    </row>
    <row r="82" spans="1:10" ht="15.75" customHeight="1">
      <c r="A82" s="1" t="s">
        <v>251</v>
      </c>
      <c r="B82" s="27">
        <f t="shared" si="6"/>
        <v>2.9374000000000032E-3</v>
      </c>
      <c r="C82" s="27">
        <f t="shared" si="6"/>
        <v>2.7805899999999995E-3</v>
      </c>
      <c r="D82" s="27">
        <f t="shared" si="6"/>
        <v>2.8109299999999997E-3</v>
      </c>
      <c r="E82" s="27">
        <f t="shared" si="6"/>
        <v>2.63065E-3</v>
      </c>
      <c r="F82" s="27">
        <f t="shared" si="6"/>
        <v>2.4547499999999986E-3</v>
      </c>
      <c r="G82" s="27">
        <f t="shared" si="6"/>
        <v>2.3094499999999994E-3</v>
      </c>
      <c r="I82" s="74"/>
      <c r="J82" s="27"/>
    </row>
    <row r="83" spans="1:10" ht="15.75" customHeight="1">
      <c r="A83" s="1" t="s">
        <v>252</v>
      </c>
      <c r="B83" s="27">
        <f t="shared" si="6"/>
        <v>4.6911100000000018E-3</v>
      </c>
      <c r="C83" s="27">
        <f t="shared" si="6"/>
        <v>4.2532500000000001E-3</v>
      </c>
      <c r="D83" s="27">
        <f t="shared" si="6"/>
        <v>4.3429900000000014E-3</v>
      </c>
      <c r="E83" s="27">
        <f t="shared" si="6"/>
        <v>3.8704700000000009E-3</v>
      </c>
      <c r="F83" s="27">
        <f t="shared" si="6"/>
        <v>3.2037900000000015E-3</v>
      </c>
      <c r="G83" s="27">
        <f t="shared" si="6"/>
        <v>2.981629999999999E-3</v>
      </c>
      <c r="I83" s="74"/>
      <c r="J83" s="27"/>
    </row>
    <row r="84" spans="1:10" ht="15.75" customHeight="1">
      <c r="A84" s="1" t="s">
        <v>253</v>
      </c>
      <c r="B84" s="27">
        <f t="shared" ref="B84:G92" si="7">ABS(B52-B20)</f>
        <v>1.7000599999999963E-3</v>
      </c>
      <c r="C84" s="27">
        <f t="shared" si="7"/>
        <v>1.26099E-3</v>
      </c>
      <c r="D84" s="27">
        <f t="shared" si="7"/>
        <v>1.4665700000000004E-3</v>
      </c>
      <c r="E84" s="27">
        <f t="shared" si="7"/>
        <v>1.0089000000000001E-3</v>
      </c>
      <c r="F84" s="27">
        <f t="shared" si="7"/>
        <v>1.8233699999999978E-3</v>
      </c>
      <c r="G84" s="27">
        <f t="shared" si="7"/>
        <v>1.6973399999999986E-3</v>
      </c>
      <c r="I84" s="74"/>
      <c r="J84" s="27"/>
    </row>
    <row r="85" spans="1:10" ht="15.75" customHeight="1">
      <c r="A85" s="1" t="s">
        <v>254</v>
      </c>
      <c r="B85" s="27">
        <f t="shared" si="7"/>
        <v>1.1803999999999981E-3</v>
      </c>
      <c r="C85" s="27">
        <f t="shared" si="7"/>
        <v>9.7925000000000095E-4</v>
      </c>
      <c r="D85" s="27">
        <f t="shared" si="7"/>
        <v>3.9671000000000151E-4</v>
      </c>
      <c r="E85" s="27">
        <f t="shared" si="7"/>
        <v>1.4237799999999995E-3</v>
      </c>
      <c r="F85" s="27">
        <f t="shared" si="7"/>
        <v>2.7624799999999977E-3</v>
      </c>
      <c r="G85" s="27">
        <f t="shared" si="7"/>
        <v>2.9454600000000004E-3</v>
      </c>
      <c r="I85" s="74"/>
      <c r="J85" s="27"/>
    </row>
    <row r="86" spans="1:10" ht="15.75" customHeight="1">
      <c r="A86" s="1" t="s">
        <v>255</v>
      </c>
      <c r="B86" s="27">
        <f t="shared" si="7"/>
        <v>2.8809100000000004E-3</v>
      </c>
      <c r="C86" s="27">
        <f t="shared" si="7"/>
        <v>1.6424799999999982E-3</v>
      </c>
      <c r="D86" s="27">
        <f t="shared" si="7"/>
        <v>2.9459699999999991E-3</v>
      </c>
      <c r="E86" s="27">
        <f t="shared" si="7"/>
        <v>1.4576099999999998E-3</v>
      </c>
      <c r="F86" s="27">
        <f t="shared" si="7"/>
        <v>2.35637E-3</v>
      </c>
      <c r="G86" s="27">
        <f t="shared" si="7"/>
        <v>1.1880599999999995E-3</v>
      </c>
    </row>
    <row r="87" spans="1:10" ht="15.75" customHeight="1">
      <c r="A87" s="1" t="s">
        <v>256</v>
      </c>
      <c r="B87" s="27">
        <f t="shared" si="7"/>
        <v>3.3810800000000016E-3</v>
      </c>
      <c r="C87" s="27">
        <f t="shared" si="7"/>
        <v>1.5891600000000027E-3</v>
      </c>
      <c r="D87" s="27">
        <f t="shared" si="7"/>
        <v>3.4439900000000009E-3</v>
      </c>
      <c r="E87" s="27">
        <f t="shared" si="7"/>
        <v>1.3867499999999991E-3</v>
      </c>
      <c r="F87" s="27">
        <f t="shared" si="7"/>
        <v>2.582499999999998E-3</v>
      </c>
      <c r="G87" s="27">
        <f t="shared" si="7"/>
        <v>1.0310400000000004E-3</v>
      </c>
    </row>
    <row r="88" spans="1:10" ht="15.75" customHeight="1">
      <c r="A88" s="1" t="s">
        <v>257</v>
      </c>
      <c r="B88" s="27">
        <f t="shared" si="7"/>
        <v>1.8729699999999946E-3</v>
      </c>
      <c r="C88" s="27">
        <f t="shared" si="7"/>
        <v>1.2865999999999919E-4</v>
      </c>
      <c r="D88" s="27">
        <f t="shared" si="7"/>
        <v>2.0768899999999979E-3</v>
      </c>
      <c r="E88" s="27">
        <f t="shared" si="7"/>
        <v>1.6996000000000025E-4</v>
      </c>
      <c r="F88" s="27">
        <f t="shared" si="7"/>
        <v>6.7822000000000021E-4</v>
      </c>
      <c r="G88" s="27">
        <f t="shared" si="7"/>
        <v>1.6269000000000006E-4</v>
      </c>
    </row>
    <row r="89" spans="1:10" ht="15.75" customHeight="1">
      <c r="A89" s="1" t="s">
        <v>258</v>
      </c>
      <c r="B89" s="27">
        <f t="shared" si="7"/>
        <v>1.294731E-2</v>
      </c>
      <c r="C89" s="27">
        <f t="shared" si="7"/>
        <v>8.8233399999999955E-3</v>
      </c>
      <c r="D89" s="27">
        <f t="shared" si="7"/>
        <v>1.2949419999999996E-2</v>
      </c>
      <c r="E89" s="27">
        <f t="shared" si="7"/>
        <v>8.0199599999999996E-3</v>
      </c>
      <c r="F89" s="27">
        <f t="shared" si="7"/>
        <v>1.1007960000000001E-2</v>
      </c>
      <c r="G89" s="27">
        <f t="shared" si="7"/>
        <v>7.426809999999999E-3</v>
      </c>
    </row>
    <row r="90" spans="1:10" ht="15.75" customHeight="1">
      <c r="A90" s="1" t="s">
        <v>259</v>
      </c>
      <c r="B90" s="27">
        <f t="shared" si="7"/>
        <v>2.7001600000000001E-3</v>
      </c>
      <c r="C90" s="27">
        <f t="shared" si="7"/>
        <v>1.6525499999999992E-3</v>
      </c>
      <c r="D90" s="27">
        <f t="shared" si="7"/>
        <v>1.7903699999999995E-3</v>
      </c>
      <c r="E90" s="27">
        <f t="shared" si="7"/>
        <v>9.0725000000000181E-4</v>
      </c>
      <c r="F90" s="27">
        <f t="shared" si="7"/>
        <v>5.9583999999999679E-4</v>
      </c>
      <c r="G90" s="27">
        <f t="shared" si="7"/>
        <v>4.434300000000016E-4</v>
      </c>
    </row>
    <row r="91" spans="1:10" ht="15.75" customHeight="1">
      <c r="A91" s="1" t="s">
        <v>260</v>
      </c>
      <c r="B91" s="27">
        <f t="shared" si="7"/>
        <v>1.6815900000000002E-3</v>
      </c>
      <c r="C91" s="27">
        <f t="shared" si="7"/>
        <v>1.1723900000000006E-3</v>
      </c>
      <c r="D91" s="27">
        <f t="shared" si="7"/>
        <v>1.439799999999998E-3</v>
      </c>
      <c r="E91" s="27">
        <f t="shared" si="7"/>
        <v>1.0569200000000011E-3</v>
      </c>
      <c r="F91" s="27">
        <f t="shared" si="7"/>
        <v>7.074099999999986E-4</v>
      </c>
      <c r="G91" s="27">
        <f t="shared" si="7"/>
        <v>7.0160000000000014E-4</v>
      </c>
    </row>
    <row r="92" spans="1:10" ht="15.75" customHeight="1">
      <c r="A92" s="1" t="s">
        <v>261</v>
      </c>
      <c r="B92" s="27">
        <f t="shared" si="7"/>
        <v>2.3094900000000008E-3</v>
      </c>
      <c r="C92" s="27">
        <f t="shared" si="7"/>
        <v>1.4111600000000016E-3</v>
      </c>
      <c r="D92" s="27">
        <f t="shared" si="7"/>
        <v>1.8256300000000017E-3</v>
      </c>
      <c r="E92" s="27">
        <f t="shared" si="7"/>
        <v>1.2775700000000022E-3</v>
      </c>
      <c r="F92" s="27">
        <f t="shared" si="7"/>
        <v>8.7850000000000081E-4</v>
      </c>
      <c r="G92" s="27">
        <f t="shared" si="7"/>
        <v>8.5385999999999969E-4</v>
      </c>
    </row>
    <row r="93" spans="1:10" ht="15.75" customHeight="1">
      <c r="B93" s="27"/>
      <c r="C93" s="27"/>
      <c r="D93" s="27"/>
      <c r="E93" s="27"/>
      <c r="F93" s="27"/>
      <c r="G93" s="27"/>
    </row>
    <row r="94" spans="1:10" ht="15.75" customHeight="1">
      <c r="A94" s="1" t="s">
        <v>276</v>
      </c>
      <c r="B94" s="27">
        <f t="shared" ref="B94:G94" si="8">AVERAGE(B68:B92)</f>
        <v>6.8990943999999998E-3</v>
      </c>
      <c r="C94" s="27">
        <f t="shared" si="8"/>
        <v>5.6187015999999987E-3</v>
      </c>
      <c r="D94" s="27">
        <f t="shared" si="8"/>
        <v>6.6254151999999992E-3</v>
      </c>
      <c r="E94" s="27">
        <f t="shared" si="8"/>
        <v>4.7929808000000016E-3</v>
      </c>
      <c r="F94" s="27">
        <f t="shared" si="8"/>
        <v>4.6943579999999992E-3</v>
      </c>
      <c r="G94" s="27">
        <f t="shared" si="8"/>
        <v>4.0207867999999996E-3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2A5D-3AA1-4043-B082-C0AE84BA11B2}">
  <sheetPr>
    <outlinePr summaryBelow="0" summaryRight="0"/>
  </sheetPr>
  <dimension ref="A3:Q29"/>
  <sheetViews>
    <sheetView workbookViewId="0"/>
  </sheetViews>
  <sheetFormatPr defaultColWidth="12.6640625" defaultRowHeight="15.75" customHeight="1"/>
  <cols>
    <col min="1" max="16384" width="12.6640625" style="2"/>
  </cols>
  <sheetData>
    <row r="3" spans="1:17" ht="15.75" customHeight="1">
      <c r="L3" s="1" t="s">
        <v>273</v>
      </c>
      <c r="M3" s="1" t="s">
        <v>278</v>
      </c>
      <c r="N3" s="1" t="s">
        <v>281</v>
      </c>
    </row>
    <row r="4" spans="1:17" ht="15.75" customHeight="1">
      <c r="A4" s="1" t="s">
        <v>273</v>
      </c>
      <c r="B4" s="1" t="s">
        <v>282</v>
      </c>
      <c r="L4" s="1" t="s">
        <v>283</v>
      </c>
      <c r="M4" s="1" t="s">
        <v>284</v>
      </c>
      <c r="N4" s="9" t="s">
        <v>285</v>
      </c>
    </row>
    <row r="5" spans="1:17" ht="15.75" customHeight="1">
      <c r="A5" s="1" t="s">
        <v>39</v>
      </c>
      <c r="B5" s="1">
        <v>2.8500000000000001E-2</v>
      </c>
      <c r="C5" s="74"/>
      <c r="K5" s="1" t="s">
        <v>39</v>
      </c>
      <c r="L5" s="1">
        <v>2.8500000000000001E-2</v>
      </c>
      <c r="M5" s="1">
        <v>3.5000000000000003E-2</v>
      </c>
      <c r="N5" s="28">
        <v>6.8990943999999998E-3</v>
      </c>
    </row>
    <row r="6" spans="1:17" ht="15.75" customHeight="1">
      <c r="A6" s="1" t="s">
        <v>38</v>
      </c>
      <c r="B6" s="1">
        <v>2.1700000000000001E-2</v>
      </c>
      <c r="C6" s="74"/>
      <c r="K6" s="1" t="s">
        <v>38</v>
      </c>
      <c r="L6" s="1">
        <v>2.1700000000000001E-2</v>
      </c>
      <c r="M6" s="1">
        <v>2.7199999999999998E-2</v>
      </c>
      <c r="N6" s="28">
        <v>5.6187015999999987E-3</v>
      </c>
    </row>
    <row r="7" spans="1:17" ht="15.75" customHeight="1">
      <c r="A7" s="1" t="s">
        <v>263</v>
      </c>
      <c r="B7" s="1">
        <v>2.6499999999999999E-2</v>
      </c>
      <c r="C7" s="74"/>
      <c r="K7" s="1" t="s">
        <v>263</v>
      </c>
      <c r="L7" s="1">
        <v>2.6499999999999999E-2</v>
      </c>
      <c r="M7" s="1">
        <v>3.2800000000000003E-2</v>
      </c>
      <c r="N7" s="28">
        <v>6.6254151999999992E-3</v>
      </c>
    </row>
    <row r="8" spans="1:17" ht="15.75" customHeight="1">
      <c r="A8" s="1" t="s">
        <v>264</v>
      </c>
      <c r="B8" s="1">
        <v>1.89E-2</v>
      </c>
      <c r="C8" s="74"/>
      <c r="K8" s="1" t="s">
        <v>264</v>
      </c>
      <c r="L8" s="1">
        <v>1.89E-2</v>
      </c>
      <c r="M8" s="1">
        <v>2.3599999999999999E-2</v>
      </c>
      <c r="N8" s="28">
        <v>4.7929808000000016E-3</v>
      </c>
      <c r="O8" s="1" t="s">
        <v>286</v>
      </c>
    </row>
    <row r="9" spans="1:17" ht="15.75" customHeight="1">
      <c r="A9" s="1" t="s">
        <v>63</v>
      </c>
      <c r="B9" s="1">
        <v>2.4299999999999999E-2</v>
      </c>
      <c r="C9" s="74"/>
      <c r="K9" s="1" t="s">
        <v>63</v>
      </c>
      <c r="L9" s="1">
        <v>2.4299999999999999E-2</v>
      </c>
      <c r="M9" s="1">
        <v>2.8400000000000002E-2</v>
      </c>
      <c r="N9" s="28">
        <v>4.6943579999999992E-3</v>
      </c>
    </row>
    <row r="10" spans="1:17" ht="15.75" customHeight="1">
      <c r="A10" s="1" t="s">
        <v>265</v>
      </c>
      <c r="B10" s="1">
        <v>1.78E-2</v>
      </c>
      <c r="C10" s="74"/>
      <c r="K10" s="1" t="s">
        <v>265</v>
      </c>
      <c r="L10" s="1">
        <v>1.78E-2</v>
      </c>
      <c r="M10" s="1">
        <v>2.1499999999999998E-2</v>
      </c>
      <c r="N10" s="28">
        <v>4.0207867999999996E-3</v>
      </c>
      <c r="O10" s="1" t="s">
        <v>287</v>
      </c>
    </row>
    <row r="11" spans="1:17" ht="15.75" customHeight="1">
      <c r="C11" s="74"/>
    </row>
    <row r="13" spans="1:17" ht="15.75" customHeight="1">
      <c r="A13" s="1" t="s">
        <v>278</v>
      </c>
      <c r="B13" s="1" t="s">
        <v>282</v>
      </c>
    </row>
    <row r="14" spans="1:17" ht="15.75" customHeight="1">
      <c r="A14" s="1" t="s">
        <v>39</v>
      </c>
      <c r="B14" s="1">
        <v>3.5000000000000003E-2</v>
      </c>
    </row>
    <row r="15" spans="1:17" ht="15.75" customHeight="1">
      <c r="A15" s="1" t="s">
        <v>38</v>
      </c>
      <c r="B15" s="1">
        <v>2.7199999999999998E-2</v>
      </c>
      <c r="C15" s="74"/>
      <c r="L15" s="27"/>
      <c r="M15" s="27"/>
      <c r="N15" s="27"/>
      <c r="O15" s="27"/>
      <c r="P15" s="27"/>
      <c r="Q15" s="27"/>
    </row>
    <row r="16" spans="1:17" ht="15.75" customHeight="1">
      <c r="A16" s="1" t="s">
        <v>263</v>
      </c>
      <c r="B16" s="1">
        <v>3.2800000000000003E-2</v>
      </c>
      <c r="C16" s="74"/>
    </row>
    <row r="17" spans="1:3" ht="15.75" customHeight="1">
      <c r="A17" s="1" t="s">
        <v>264</v>
      </c>
      <c r="B17" s="1">
        <v>2.3599999999999999E-2</v>
      </c>
      <c r="C17" s="74"/>
    </row>
    <row r="18" spans="1:3" ht="15.75" customHeight="1">
      <c r="A18" s="1" t="s">
        <v>63</v>
      </c>
      <c r="B18" s="1">
        <v>2.8400000000000002E-2</v>
      </c>
      <c r="C18" s="74"/>
    </row>
    <row r="19" spans="1:3" ht="15.75" customHeight="1">
      <c r="A19" s="1" t="s">
        <v>265</v>
      </c>
      <c r="B19" s="1">
        <v>2.1499999999999998E-2</v>
      </c>
      <c r="C19" s="74"/>
    </row>
    <row r="20" spans="1:3" ht="15.75" customHeight="1">
      <c r="C20" s="74"/>
    </row>
    <row r="23" spans="1:3" ht="15.75" customHeight="1">
      <c r="B23" s="74"/>
      <c r="C23" s="74"/>
    </row>
    <row r="24" spans="1:3" ht="15.75" customHeight="1">
      <c r="B24" s="74"/>
      <c r="C24" s="74"/>
    </row>
    <row r="25" spans="1:3" ht="15.75" customHeight="1">
      <c r="B25" s="74"/>
      <c r="C25" s="74"/>
    </row>
    <row r="26" spans="1:3" ht="15.75" customHeight="1">
      <c r="B26" s="74"/>
      <c r="C26" s="74"/>
    </row>
    <row r="27" spans="1:3" ht="15.75" customHeight="1">
      <c r="B27" s="74"/>
      <c r="C27" s="74"/>
    </row>
    <row r="28" spans="1:3" ht="15.75" customHeight="1">
      <c r="B28" s="74"/>
      <c r="C28" s="74"/>
    </row>
    <row r="29" spans="1:3" ht="15.75" customHeight="1">
      <c r="B29" s="74"/>
      <c r="C29" s="7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415F-E193-401F-80DF-0BE0E5DB839A}">
  <sheetPr>
    <outlinePr summaryBelow="0" summaryRight="0"/>
  </sheetPr>
  <dimension ref="A1:G92"/>
  <sheetViews>
    <sheetView workbookViewId="0"/>
  </sheetViews>
  <sheetFormatPr defaultColWidth="12.6640625" defaultRowHeight="15.75" customHeight="1"/>
  <cols>
    <col min="1" max="16384" width="12.6640625" style="2"/>
  </cols>
  <sheetData>
    <row r="1" spans="1:7" ht="15.75" customHeight="1">
      <c r="D1" s="1" t="s">
        <v>273</v>
      </c>
    </row>
    <row r="2" spans="1:7" ht="15.75" customHeight="1">
      <c r="B2" s="1" t="s">
        <v>288</v>
      </c>
    </row>
    <row r="3" spans="1:7" ht="15.75" customHeight="1">
      <c r="A3" s="1" t="s">
        <v>231</v>
      </c>
      <c r="B3" s="1" t="s">
        <v>39</v>
      </c>
      <c r="C3" s="1" t="s">
        <v>38</v>
      </c>
      <c r="D3" s="1" t="s">
        <v>263</v>
      </c>
      <c r="E3" s="1" t="s">
        <v>264</v>
      </c>
      <c r="F3" s="1" t="s">
        <v>63</v>
      </c>
      <c r="G3" s="1" t="s">
        <v>265</v>
      </c>
    </row>
    <row r="4" spans="1:7" ht="15.75" customHeight="1">
      <c r="A4" s="1" t="s">
        <v>237</v>
      </c>
      <c r="B4" s="27">
        <v>0.56819772999999996</v>
      </c>
      <c r="C4" s="27">
        <v>0.42861283</v>
      </c>
      <c r="D4" s="27">
        <v>0.52864195000000003</v>
      </c>
      <c r="E4" s="27">
        <v>0.35828180999999998</v>
      </c>
      <c r="F4" s="27">
        <v>0.46970964999999998</v>
      </c>
      <c r="G4" s="27">
        <v>0.32713151000000001</v>
      </c>
    </row>
    <row r="5" spans="1:7" ht="15.75" customHeight="1">
      <c r="A5" s="1" t="s">
        <v>238</v>
      </c>
      <c r="B5" s="27">
        <v>0.60555819</v>
      </c>
      <c r="C5" s="27">
        <v>0.45648665999999999</v>
      </c>
      <c r="D5" s="27">
        <v>0.58700348999999996</v>
      </c>
      <c r="E5" s="27">
        <v>0.3961694</v>
      </c>
      <c r="F5" s="27">
        <v>0.53206666999999996</v>
      </c>
      <c r="G5" s="27">
        <v>0.36269084000000001</v>
      </c>
    </row>
    <row r="6" spans="1:7" ht="15.75" customHeight="1">
      <c r="A6" s="1" t="s">
        <v>239</v>
      </c>
      <c r="B6" s="27">
        <v>0.55341017999999997</v>
      </c>
      <c r="C6" s="27">
        <v>0.41502713000000002</v>
      </c>
      <c r="D6" s="27">
        <v>0.50607882000000004</v>
      </c>
      <c r="E6" s="27">
        <v>0.36476698000000002</v>
      </c>
      <c r="F6" s="27">
        <v>0.49220641999999998</v>
      </c>
      <c r="G6" s="27">
        <v>0.36353121999999999</v>
      </c>
    </row>
    <row r="7" spans="1:7" ht="15.75" customHeight="1">
      <c r="A7" s="1" t="s">
        <v>240</v>
      </c>
      <c r="B7" s="27">
        <v>0.57233164999999997</v>
      </c>
      <c r="C7" s="27">
        <v>0.43685921999999999</v>
      </c>
      <c r="D7" s="27">
        <v>0.53246411999999999</v>
      </c>
      <c r="E7" s="27">
        <v>0.37988429000000001</v>
      </c>
      <c r="F7" s="27">
        <v>0.52541106999999998</v>
      </c>
      <c r="G7" s="27">
        <v>0.38547745999999999</v>
      </c>
    </row>
    <row r="8" spans="1:7" ht="15.75" customHeight="1">
      <c r="A8" s="1" t="s">
        <v>241</v>
      </c>
      <c r="B8" s="27">
        <v>0.60719056000000005</v>
      </c>
      <c r="C8" s="27">
        <v>0.46767002000000002</v>
      </c>
      <c r="D8" s="27">
        <v>0.58651814000000002</v>
      </c>
      <c r="E8" s="27">
        <v>0.42007372999999998</v>
      </c>
      <c r="F8" s="27">
        <v>0.58309405999999997</v>
      </c>
      <c r="G8" s="27">
        <v>0.42239064999999998</v>
      </c>
    </row>
    <row r="9" spans="1:7" ht="15.75" customHeight="1">
      <c r="A9" s="1" t="s">
        <v>242</v>
      </c>
      <c r="B9" s="27">
        <v>0.47006214000000002</v>
      </c>
      <c r="C9" s="27">
        <v>0.35000717999999997</v>
      </c>
      <c r="D9" s="27">
        <v>0.42679191</v>
      </c>
      <c r="E9" s="27">
        <v>0.31848938999999998</v>
      </c>
      <c r="F9" s="27">
        <v>0.43521420999999999</v>
      </c>
      <c r="G9" s="27">
        <v>0.33631503000000001</v>
      </c>
    </row>
    <row r="10" spans="1:7" ht="15.75" customHeight="1">
      <c r="A10" s="1" t="s">
        <v>243</v>
      </c>
      <c r="B10" s="27">
        <v>0.52350001999999995</v>
      </c>
      <c r="C10" s="27">
        <v>0.38158164</v>
      </c>
      <c r="D10" s="27">
        <v>0.49675650999999998</v>
      </c>
      <c r="E10" s="27">
        <v>0.35525586999999997</v>
      </c>
      <c r="F10" s="27">
        <v>0.44316895000000001</v>
      </c>
      <c r="G10" s="27">
        <v>0.32432909999999998</v>
      </c>
    </row>
    <row r="11" spans="1:7" ht="15.75" customHeight="1">
      <c r="A11" s="1" t="s">
        <v>244</v>
      </c>
      <c r="B11" s="27">
        <v>0.45347601999999998</v>
      </c>
      <c r="C11" s="27">
        <v>0.36378892000000002</v>
      </c>
      <c r="D11" s="27">
        <v>0.41104824000000001</v>
      </c>
      <c r="E11" s="27">
        <v>0.29857698999999999</v>
      </c>
      <c r="F11" s="27">
        <v>0.40621853000000002</v>
      </c>
      <c r="G11" s="27">
        <v>0.30109491999999999</v>
      </c>
    </row>
    <row r="12" spans="1:7" ht="15.75" customHeight="1">
      <c r="A12" s="1" t="s">
        <v>245</v>
      </c>
      <c r="B12" s="27">
        <v>0.44435190000000002</v>
      </c>
      <c r="C12" s="27">
        <v>0.35680114000000002</v>
      </c>
      <c r="D12" s="27">
        <v>0.40416287000000001</v>
      </c>
      <c r="E12" s="27">
        <v>0.29218345000000001</v>
      </c>
      <c r="F12" s="27">
        <v>0.38888880999999997</v>
      </c>
      <c r="G12" s="27">
        <v>0.28735425999999997</v>
      </c>
    </row>
    <row r="13" spans="1:7" ht="15.75" customHeight="1">
      <c r="A13" s="1" t="s">
        <v>246</v>
      </c>
      <c r="B13" s="27">
        <v>0.63488964000000003</v>
      </c>
      <c r="C13" s="27">
        <v>0.49482329000000003</v>
      </c>
      <c r="D13" s="27">
        <v>0.62871529000000004</v>
      </c>
      <c r="E13" s="27">
        <v>0.41944504999999999</v>
      </c>
      <c r="F13" s="27">
        <v>0.56873253999999995</v>
      </c>
      <c r="G13" s="27">
        <v>0.38494116</v>
      </c>
    </row>
    <row r="14" spans="1:7" ht="15.75" customHeight="1">
      <c r="A14" s="1" t="s">
        <v>247</v>
      </c>
      <c r="B14" s="27">
        <v>0.62217140000000004</v>
      </c>
      <c r="C14" s="27">
        <v>0.48421073999999997</v>
      </c>
      <c r="D14" s="27">
        <v>0.61983498999999997</v>
      </c>
      <c r="E14" s="27">
        <v>0.41356860000000001</v>
      </c>
      <c r="F14" s="27">
        <v>0.56160175000000001</v>
      </c>
      <c r="G14" s="27">
        <v>0.37863190000000002</v>
      </c>
    </row>
    <row r="15" spans="1:7" ht="15.75" customHeight="1">
      <c r="A15" s="1" t="s">
        <v>248</v>
      </c>
      <c r="B15" s="27">
        <v>0.69155100000000003</v>
      </c>
      <c r="C15" s="27">
        <v>0.54754301999999999</v>
      </c>
      <c r="D15" s="27">
        <v>0.71251788000000005</v>
      </c>
      <c r="E15" s="27">
        <v>0.48167881000000001</v>
      </c>
      <c r="F15" s="27">
        <v>0.67116149000000003</v>
      </c>
      <c r="G15" s="27">
        <v>0.45123096000000001</v>
      </c>
    </row>
    <row r="16" spans="1:7" ht="15.75" customHeight="1">
      <c r="A16" s="1" t="s">
        <v>249</v>
      </c>
      <c r="B16" s="27">
        <v>0.62276182999999996</v>
      </c>
      <c r="C16" s="27">
        <v>0.49125865000000002</v>
      </c>
      <c r="D16" s="27">
        <v>0.61361544999999995</v>
      </c>
      <c r="E16" s="27">
        <v>0.43461271000000001</v>
      </c>
      <c r="F16" s="27">
        <v>0.58362599000000004</v>
      </c>
      <c r="G16" s="27">
        <v>0.41559614</v>
      </c>
    </row>
    <row r="17" spans="1:7" ht="15.75" customHeight="1">
      <c r="A17" s="1" t="s">
        <v>250</v>
      </c>
      <c r="B17" s="27">
        <v>0.52388354999999998</v>
      </c>
      <c r="C17" s="27">
        <v>0.37916133000000002</v>
      </c>
      <c r="D17" s="27">
        <v>0.49574459999999998</v>
      </c>
      <c r="E17" s="27">
        <v>0.35789841999999999</v>
      </c>
      <c r="F17" s="27">
        <v>0.42712222999999999</v>
      </c>
      <c r="G17" s="27">
        <v>0.31636481999999999</v>
      </c>
    </row>
    <row r="18" spans="1:7" ht="15.75" customHeight="1">
      <c r="A18" s="1" t="s">
        <v>251</v>
      </c>
      <c r="B18" s="27">
        <v>0.41174082000000001</v>
      </c>
      <c r="C18" s="27">
        <v>0.31090087</v>
      </c>
      <c r="D18" s="27">
        <v>0.37055591999999998</v>
      </c>
      <c r="E18" s="27">
        <v>0.26765751999999998</v>
      </c>
      <c r="F18" s="27">
        <v>0.36982826000000002</v>
      </c>
      <c r="G18" s="27">
        <v>0.27886314000000001</v>
      </c>
    </row>
    <row r="19" spans="1:7" ht="15.75" customHeight="1">
      <c r="A19" s="1" t="s">
        <v>252</v>
      </c>
      <c r="B19" s="27">
        <v>0.39910533999999998</v>
      </c>
      <c r="C19" s="27">
        <v>0.29891169000000001</v>
      </c>
      <c r="D19" s="27">
        <v>0.35904541000000001</v>
      </c>
      <c r="E19" s="27">
        <v>0.25790265000000001</v>
      </c>
      <c r="F19" s="27">
        <v>0.35419484000000001</v>
      </c>
      <c r="G19" s="27">
        <v>0.26616413</v>
      </c>
    </row>
    <row r="20" spans="1:7" ht="15.75" customHeight="1">
      <c r="A20" s="1" t="s">
        <v>253</v>
      </c>
      <c r="B20" s="27">
        <v>0.55560708999999997</v>
      </c>
      <c r="C20" s="27">
        <v>0.43927403999999998</v>
      </c>
      <c r="D20" s="27">
        <v>0.52446371000000003</v>
      </c>
      <c r="E20" s="27">
        <v>0.40617606000000001</v>
      </c>
      <c r="F20" s="27">
        <v>0.48907635999999999</v>
      </c>
      <c r="G20" s="27">
        <v>0.37940426999999999</v>
      </c>
    </row>
    <row r="21" spans="1:7" ht="15.75" customHeight="1">
      <c r="A21" s="1" t="s">
        <v>254</v>
      </c>
      <c r="B21" s="27">
        <v>0.35574277999999998</v>
      </c>
      <c r="C21" s="27">
        <v>0.27597744000000002</v>
      </c>
      <c r="D21" s="27">
        <v>0.33374082999999999</v>
      </c>
      <c r="E21" s="27">
        <v>0.23834899000000001</v>
      </c>
      <c r="F21" s="27">
        <v>0.28911189999999998</v>
      </c>
      <c r="G21" s="27">
        <v>0.21230531</v>
      </c>
    </row>
    <row r="22" spans="1:7" ht="15.75" customHeight="1">
      <c r="A22" s="1" t="s">
        <v>255</v>
      </c>
      <c r="B22" s="27">
        <v>0.62462488000000005</v>
      </c>
      <c r="C22" s="27">
        <v>0.51837387000000001</v>
      </c>
      <c r="D22" s="27">
        <v>0.59449788999999997</v>
      </c>
      <c r="E22" s="27">
        <v>0.47408117999999999</v>
      </c>
      <c r="F22" s="27">
        <v>0.55052332999999998</v>
      </c>
      <c r="G22" s="27">
        <v>0.46525633999999999</v>
      </c>
    </row>
    <row r="23" spans="1:7" ht="15.75" customHeight="1">
      <c r="A23" s="1" t="s">
        <v>256</v>
      </c>
      <c r="B23" s="27">
        <v>0.61587811000000003</v>
      </c>
      <c r="C23" s="27">
        <v>0.51315186000000002</v>
      </c>
      <c r="D23" s="27">
        <v>0.58482745000000003</v>
      </c>
      <c r="E23" s="27">
        <v>0.46903220000000001</v>
      </c>
      <c r="F23" s="27">
        <v>0.54758905999999996</v>
      </c>
      <c r="G23" s="27">
        <v>0.46223152000000001</v>
      </c>
    </row>
    <row r="24" spans="1:7" ht="15.75" customHeight="1">
      <c r="A24" s="1" t="s">
        <v>257</v>
      </c>
      <c r="B24" s="27">
        <v>0.61150755000000001</v>
      </c>
      <c r="C24" s="27">
        <v>0.49943784000000002</v>
      </c>
      <c r="D24" s="27">
        <v>0.58156828999999999</v>
      </c>
      <c r="E24" s="27">
        <v>0.44952108000000002</v>
      </c>
      <c r="F24" s="27">
        <v>0.54475704000000003</v>
      </c>
      <c r="G24" s="27">
        <v>0.43531979999999998</v>
      </c>
    </row>
    <row r="25" spans="1:7" ht="15.75" customHeight="1">
      <c r="A25" s="1" t="s">
        <v>258</v>
      </c>
      <c r="B25" s="27">
        <v>0.55429983000000005</v>
      </c>
      <c r="C25" s="27">
        <v>0.4831741</v>
      </c>
      <c r="D25" s="27">
        <v>0.52749950999999995</v>
      </c>
      <c r="E25" s="27">
        <v>0.43858153999999999</v>
      </c>
      <c r="F25" s="27">
        <v>0.48928824999999998</v>
      </c>
      <c r="G25" s="27">
        <v>0.42426884999999998</v>
      </c>
    </row>
    <row r="26" spans="1:7" ht="15.75" customHeight="1">
      <c r="A26" s="1" t="s">
        <v>259</v>
      </c>
      <c r="B26" s="27">
        <v>0.49259736999999998</v>
      </c>
      <c r="C26" s="27">
        <v>0.37989951</v>
      </c>
      <c r="D26" s="27">
        <v>0.48059532999999999</v>
      </c>
      <c r="E26" s="27">
        <v>0.33626327</v>
      </c>
      <c r="F26" s="27">
        <v>0.44636819</v>
      </c>
      <c r="G26" s="27">
        <v>0.31583992999999999</v>
      </c>
    </row>
    <row r="27" spans="1:7" ht="15.75" customHeight="1">
      <c r="A27" s="1" t="s">
        <v>260</v>
      </c>
      <c r="B27" s="27">
        <v>0.47508813999999999</v>
      </c>
      <c r="C27" s="27">
        <v>0.38756017999999998</v>
      </c>
      <c r="D27" s="27">
        <v>0.44856544999999998</v>
      </c>
      <c r="E27" s="27">
        <v>0.32043050000000001</v>
      </c>
      <c r="F27" s="27">
        <v>0.42970180000000002</v>
      </c>
      <c r="G27" s="27">
        <v>0.31157642000000002</v>
      </c>
    </row>
    <row r="28" spans="1:7" ht="15.75" customHeight="1">
      <c r="A28" s="1" t="s">
        <v>261</v>
      </c>
      <c r="B28" s="27">
        <v>0.46919422999999999</v>
      </c>
      <c r="C28" s="27">
        <v>0.38402150000000002</v>
      </c>
      <c r="D28" s="27">
        <v>0.44557677000000001</v>
      </c>
      <c r="E28" s="27">
        <v>0.31689177000000002</v>
      </c>
      <c r="F28" s="27">
        <v>0.41372008999999998</v>
      </c>
      <c r="G28" s="27">
        <v>0.29847449999999998</v>
      </c>
    </row>
    <row r="29" spans="1:7" ht="15.75" customHeight="1">
      <c r="B29" s="27"/>
      <c r="C29" s="27"/>
      <c r="D29" s="27"/>
      <c r="E29" s="27"/>
      <c r="F29" s="27"/>
      <c r="G29" s="27"/>
    </row>
    <row r="30" spans="1:7" ht="15.75" customHeight="1">
      <c r="A30" s="1" t="s">
        <v>276</v>
      </c>
      <c r="B30" s="27">
        <f t="shared" ref="B30:G30" si="0">AVERAGE(B4:B28)</f>
        <v>0.53834887800000009</v>
      </c>
      <c r="C30" s="27">
        <f t="shared" si="0"/>
        <v>0.42178058679999991</v>
      </c>
      <c r="D30" s="27">
        <f t="shared" si="0"/>
        <v>0.51203323280000002</v>
      </c>
      <c r="E30" s="27">
        <f t="shared" si="0"/>
        <v>0.37063089040000002</v>
      </c>
      <c r="F30" s="27">
        <f t="shared" si="0"/>
        <v>0.48049525960000006</v>
      </c>
      <c r="G30" s="27">
        <f t="shared" si="0"/>
        <v>0.35627136719999997</v>
      </c>
    </row>
    <row r="33" spans="1:7" ht="15.75" customHeight="1">
      <c r="D33" s="1" t="s">
        <v>278</v>
      </c>
    </row>
    <row r="34" spans="1:7" ht="15.75" customHeight="1">
      <c r="B34" s="1" t="s">
        <v>288</v>
      </c>
    </row>
    <row r="35" spans="1:7" ht="15.75" customHeight="1">
      <c r="A35" s="1" t="s">
        <v>231</v>
      </c>
      <c r="B35" s="1" t="s">
        <v>39</v>
      </c>
      <c r="C35" s="1" t="s">
        <v>38</v>
      </c>
      <c r="D35" s="1" t="s">
        <v>263</v>
      </c>
      <c r="E35" s="1" t="s">
        <v>264</v>
      </c>
      <c r="F35" s="1" t="s">
        <v>63</v>
      </c>
      <c r="G35" s="1" t="s">
        <v>265</v>
      </c>
    </row>
    <row r="36" spans="1:7" ht="15.75" customHeight="1">
      <c r="A36" s="1" t="s">
        <v>237</v>
      </c>
      <c r="B36" s="27">
        <v>1.4167165500000001</v>
      </c>
      <c r="C36" s="27">
        <v>0.94597246999999995</v>
      </c>
      <c r="D36" s="27">
        <v>1.27097452</v>
      </c>
      <c r="E36" s="27">
        <v>0.77060348000000001</v>
      </c>
      <c r="F36" s="27">
        <v>0.99654777999999999</v>
      </c>
      <c r="G36" s="27">
        <v>0.72010196000000004</v>
      </c>
    </row>
    <row r="37" spans="1:7" ht="15.75" customHeight="1">
      <c r="A37" s="1" t="s">
        <v>238</v>
      </c>
      <c r="B37" s="27">
        <v>0.85642885999999996</v>
      </c>
      <c r="C37" s="27">
        <v>0.78751912999999996</v>
      </c>
      <c r="D37" s="27">
        <v>0.83524089999999995</v>
      </c>
      <c r="E37" s="27">
        <v>0.75731190999999998</v>
      </c>
      <c r="F37" s="27">
        <v>0.77812303000000005</v>
      </c>
      <c r="G37" s="27">
        <v>0.70430868999999996</v>
      </c>
    </row>
    <row r="38" spans="1:7" ht="15.75" customHeight="1">
      <c r="A38" s="1" t="s">
        <v>239</v>
      </c>
      <c r="B38" s="27">
        <v>0.55833410000000006</v>
      </c>
      <c r="C38" s="27">
        <v>0.48545739999999998</v>
      </c>
      <c r="D38" s="27">
        <v>0.52745458000000001</v>
      </c>
      <c r="E38" s="27">
        <v>0.44492995000000002</v>
      </c>
      <c r="F38" s="27">
        <v>0.57055500000000003</v>
      </c>
      <c r="G38" s="27">
        <v>0.47729633999999999</v>
      </c>
    </row>
    <row r="39" spans="1:7" ht="15.75" customHeight="1">
      <c r="A39" s="1" t="s">
        <v>240</v>
      </c>
      <c r="B39" s="27">
        <v>1.0137321500000001</v>
      </c>
      <c r="C39" s="27">
        <v>1.6296565599999999</v>
      </c>
      <c r="D39" s="27">
        <v>0.97936833999999995</v>
      </c>
      <c r="E39" s="27">
        <v>1.4863990899999999</v>
      </c>
      <c r="F39" s="27">
        <v>0.91431582</v>
      </c>
      <c r="G39" s="27">
        <v>1.29891029</v>
      </c>
    </row>
    <row r="40" spans="1:7" ht="15.75" customHeight="1">
      <c r="A40" s="1" t="s">
        <v>241</v>
      </c>
      <c r="B40" s="27">
        <v>1.1288852899999999</v>
      </c>
      <c r="C40" s="27">
        <v>0.54692320000000005</v>
      </c>
      <c r="D40" s="27">
        <v>0.96171498</v>
      </c>
      <c r="E40" s="27">
        <v>0.51133846000000005</v>
      </c>
      <c r="F40" s="27">
        <v>0.55842650000000005</v>
      </c>
      <c r="G40" s="27">
        <v>0.45435168999999997</v>
      </c>
    </row>
    <row r="41" spans="1:7" ht="15.75" customHeight="1">
      <c r="A41" s="1" t="s">
        <v>242</v>
      </c>
      <c r="B41" s="27">
        <v>0.39697558999999999</v>
      </c>
      <c r="C41" s="27">
        <v>0.31177336999999999</v>
      </c>
      <c r="D41" s="27">
        <v>0.36514595999999999</v>
      </c>
      <c r="E41" s="27">
        <v>0.29707850000000002</v>
      </c>
      <c r="F41" s="27">
        <v>0.30126808999999999</v>
      </c>
      <c r="G41" s="27">
        <v>0.25553770999999997</v>
      </c>
    </row>
    <row r="42" spans="1:7" ht="15.75" customHeight="1">
      <c r="A42" s="1" t="s">
        <v>243</v>
      </c>
      <c r="B42" s="27">
        <v>0.68755096999999998</v>
      </c>
      <c r="C42" s="27">
        <v>0.53373702000000001</v>
      </c>
      <c r="D42" s="27">
        <v>0.62574163000000005</v>
      </c>
      <c r="E42" s="27">
        <v>0.45820400999999999</v>
      </c>
      <c r="F42" s="27">
        <v>0.56368008999999997</v>
      </c>
      <c r="G42" s="27">
        <v>0.42312453</v>
      </c>
    </row>
    <row r="43" spans="1:7" ht="15.75" customHeight="1">
      <c r="A43" s="1" t="s">
        <v>244</v>
      </c>
      <c r="B43" s="27">
        <v>0.63679810999999997</v>
      </c>
      <c r="C43" s="27">
        <v>0.51488171999999999</v>
      </c>
      <c r="D43" s="27">
        <v>0.57924971999999997</v>
      </c>
      <c r="E43" s="27">
        <v>0.43374230000000003</v>
      </c>
      <c r="F43" s="27">
        <v>0.53103003000000004</v>
      </c>
      <c r="G43" s="27">
        <v>0.40937602000000001</v>
      </c>
    </row>
    <row r="44" spans="1:7" ht="15.75" customHeight="1">
      <c r="A44" s="1" t="s">
        <v>245</v>
      </c>
      <c r="B44" s="27">
        <v>0.62172351000000003</v>
      </c>
      <c r="C44" s="27">
        <v>0.49338240999999999</v>
      </c>
      <c r="D44" s="27">
        <v>0.56031688000000002</v>
      </c>
      <c r="E44" s="27">
        <v>0.41468355000000001</v>
      </c>
      <c r="F44" s="27">
        <v>0.50371860000000002</v>
      </c>
      <c r="G44" s="27">
        <v>0.3870383</v>
      </c>
    </row>
    <row r="45" spans="1:7" ht="15.75" customHeight="1">
      <c r="A45" s="1" t="s">
        <v>246</v>
      </c>
      <c r="B45" s="27">
        <v>1.3183316</v>
      </c>
      <c r="C45" s="27">
        <v>1.5557353599999999</v>
      </c>
      <c r="D45" s="27">
        <v>1.25952606</v>
      </c>
      <c r="E45" s="27">
        <v>0.84131778000000002</v>
      </c>
      <c r="F45" s="27">
        <v>1.47565097</v>
      </c>
      <c r="G45" s="27">
        <v>0.55470173</v>
      </c>
    </row>
    <row r="46" spans="1:7" ht="15.75" customHeight="1">
      <c r="A46" s="1" t="s">
        <v>247</v>
      </c>
      <c r="B46" s="27">
        <v>1.2141932</v>
      </c>
      <c r="C46" s="27">
        <v>0.78510771999999995</v>
      </c>
      <c r="D46" s="27">
        <v>1.76533914</v>
      </c>
      <c r="E46" s="27">
        <v>0.63993686999999999</v>
      </c>
      <c r="F46" s="27">
        <v>0.99813651000000003</v>
      </c>
      <c r="G46" s="27">
        <v>0.50231347000000004</v>
      </c>
    </row>
    <row r="47" spans="1:7" ht="15.75" customHeight="1">
      <c r="A47" s="1" t="s">
        <v>248</v>
      </c>
      <c r="B47" s="27">
        <v>0.89453189</v>
      </c>
      <c r="C47" s="27">
        <v>0.63945964</v>
      </c>
      <c r="D47" s="27">
        <v>0.84117262000000004</v>
      </c>
      <c r="E47" s="27">
        <v>0.55620177999999998</v>
      </c>
      <c r="F47" s="27">
        <v>0.68057025000000004</v>
      </c>
      <c r="G47" s="27">
        <v>0.45725784000000003</v>
      </c>
    </row>
    <row r="48" spans="1:7" ht="15.75" customHeight="1">
      <c r="A48" s="1" t="s">
        <v>249</v>
      </c>
      <c r="B48" s="27">
        <v>1.1654003799999999</v>
      </c>
      <c r="C48" s="27">
        <v>0.94596058000000005</v>
      </c>
      <c r="D48" s="27">
        <v>1.09931954</v>
      </c>
      <c r="E48" s="27">
        <v>0.88472534000000003</v>
      </c>
      <c r="F48" s="27">
        <v>0.90560313999999997</v>
      </c>
      <c r="G48" s="27">
        <v>0.69543144999999995</v>
      </c>
    </row>
    <row r="49" spans="1:7" ht="15.75" customHeight="1">
      <c r="A49" s="1" t="s">
        <v>250</v>
      </c>
      <c r="B49" s="27">
        <v>0.69042241999999998</v>
      </c>
      <c r="C49" s="27">
        <v>0.54104611999999996</v>
      </c>
      <c r="D49" s="27">
        <v>0.62876504</v>
      </c>
      <c r="E49" s="27">
        <v>0.48648066000000001</v>
      </c>
      <c r="F49" s="27">
        <v>0.58182582000000005</v>
      </c>
      <c r="G49" s="27">
        <v>0.46623682</v>
      </c>
    </row>
    <row r="50" spans="1:7" ht="15.75" customHeight="1">
      <c r="A50" s="1" t="s">
        <v>251</v>
      </c>
      <c r="B50" s="27">
        <v>0.60055864999999997</v>
      </c>
      <c r="C50" s="27">
        <v>0.49055427000000001</v>
      </c>
      <c r="D50" s="27">
        <v>0.55330654999999995</v>
      </c>
      <c r="E50" s="27">
        <v>0.43700689999999998</v>
      </c>
      <c r="F50" s="27">
        <v>0.53669767999999995</v>
      </c>
      <c r="G50" s="27">
        <v>0.43393695999999998</v>
      </c>
    </row>
    <row r="51" spans="1:7" ht="15.75" customHeight="1">
      <c r="A51" s="1" t="s">
        <v>252</v>
      </c>
      <c r="B51" s="27">
        <v>0.60416144999999999</v>
      </c>
      <c r="C51" s="27">
        <v>0.48559869</v>
      </c>
      <c r="D51" s="27">
        <v>0.55192448999999999</v>
      </c>
      <c r="E51" s="27">
        <v>0.43005085999999998</v>
      </c>
      <c r="F51" s="27">
        <v>0.51317407999999998</v>
      </c>
      <c r="G51" s="27">
        <v>0.41222431999999998</v>
      </c>
    </row>
    <row r="52" spans="1:7" ht="15.75" customHeight="1">
      <c r="A52" s="1" t="s">
        <v>253</v>
      </c>
      <c r="B52" s="27">
        <v>0.57572811000000002</v>
      </c>
      <c r="C52" s="27">
        <v>0.44446530000000001</v>
      </c>
      <c r="D52" s="27">
        <v>0.53783813000000003</v>
      </c>
      <c r="E52" s="27">
        <v>0.41701792999999998</v>
      </c>
      <c r="F52" s="27">
        <v>0.52297727999999999</v>
      </c>
      <c r="G52" s="27">
        <v>0.41391498999999998</v>
      </c>
    </row>
    <row r="53" spans="1:7" ht="15.75" customHeight="1">
      <c r="A53" s="1" t="s">
        <v>254</v>
      </c>
      <c r="B53" s="27">
        <v>0.40609244999999999</v>
      </c>
      <c r="C53" s="27">
        <v>0.31873944999999998</v>
      </c>
      <c r="D53" s="27">
        <v>0.36897139000000001</v>
      </c>
      <c r="E53" s="27">
        <v>0.28930732999999997</v>
      </c>
      <c r="F53" s="27">
        <v>0.36050095999999998</v>
      </c>
      <c r="G53" s="27">
        <v>0.29008631000000001</v>
      </c>
    </row>
    <row r="54" spans="1:7" ht="15.75" customHeight="1">
      <c r="A54" s="1" t="s">
        <v>255</v>
      </c>
      <c r="B54" s="27">
        <v>0.78898089999999999</v>
      </c>
      <c r="C54" s="27">
        <v>0.61891852000000003</v>
      </c>
      <c r="D54" s="27">
        <v>0.76165927</v>
      </c>
      <c r="E54" s="27">
        <v>0.55940372000000005</v>
      </c>
      <c r="F54" s="27">
        <v>0.70620927</v>
      </c>
      <c r="G54" s="27">
        <v>0.54771002999999996</v>
      </c>
    </row>
    <row r="55" spans="1:7" ht="15.75" customHeight="1">
      <c r="A55" s="1" t="s">
        <v>256</v>
      </c>
      <c r="B55" s="27">
        <v>0.74067417999999996</v>
      </c>
      <c r="C55" s="27">
        <v>0.57226401000000005</v>
      </c>
      <c r="D55" s="27">
        <v>0.70946856999999997</v>
      </c>
      <c r="E55" s="27">
        <v>0.51602155000000005</v>
      </c>
      <c r="F55" s="27">
        <v>0.65794079999999999</v>
      </c>
      <c r="G55" s="27">
        <v>0.50675842000000004</v>
      </c>
    </row>
    <row r="56" spans="1:7" ht="15.75" customHeight="1">
      <c r="A56" s="1" t="s">
        <v>257</v>
      </c>
      <c r="B56" s="27">
        <v>0.63777423</v>
      </c>
      <c r="C56" s="27">
        <v>0.48035815999999998</v>
      </c>
      <c r="D56" s="27">
        <v>0.60859445000000001</v>
      </c>
      <c r="E56" s="27">
        <v>0.42925832000000003</v>
      </c>
      <c r="F56" s="27">
        <v>0.55138936000000005</v>
      </c>
      <c r="G56" s="27">
        <v>0.41623030999999999</v>
      </c>
    </row>
    <row r="57" spans="1:7" ht="15.75" customHeight="1">
      <c r="A57" s="1" t="s">
        <v>258</v>
      </c>
      <c r="B57" s="27">
        <v>0.81919231000000003</v>
      </c>
      <c r="C57" s="27">
        <v>0.66754374000000005</v>
      </c>
      <c r="D57" s="27">
        <v>0.78641996000000003</v>
      </c>
      <c r="E57" s="27">
        <v>0.59799115000000003</v>
      </c>
      <c r="F57" s="27">
        <v>0.72063931000000003</v>
      </c>
      <c r="G57" s="27">
        <v>0.58279778000000004</v>
      </c>
    </row>
    <row r="58" spans="1:7" ht="15.75" customHeight="1">
      <c r="A58" s="1" t="s">
        <v>259</v>
      </c>
      <c r="B58" s="27">
        <v>0.65755987999999999</v>
      </c>
      <c r="C58" s="27">
        <v>0.49456328999999999</v>
      </c>
      <c r="D58" s="27">
        <v>0.61236376000000003</v>
      </c>
      <c r="E58" s="27">
        <v>0.42253724999999998</v>
      </c>
      <c r="F58" s="27">
        <v>0.53493082000000003</v>
      </c>
      <c r="G58" s="27">
        <v>0.38440033000000001</v>
      </c>
    </row>
    <row r="59" spans="1:7" ht="15.75" customHeight="1">
      <c r="A59" s="1" t="s">
        <v>260</v>
      </c>
      <c r="B59" s="27">
        <v>0.60814741999999999</v>
      </c>
      <c r="C59" s="27">
        <v>0.48738404000000002</v>
      </c>
      <c r="D59" s="27">
        <v>0.56570807999999995</v>
      </c>
      <c r="E59" s="27">
        <v>0.40875562999999998</v>
      </c>
      <c r="F59" s="27">
        <v>0.50056321000000004</v>
      </c>
      <c r="G59" s="27">
        <v>0.37675144999999999</v>
      </c>
    </row>
    <row r="60" spans="1:7" ht="15.75" customHeight="1">
      <c r="A60" s="1" t="s">
        <v>261</v>
      </c>
      <c r="B60" s="27">
        <v>0.59484934</v>
      </c>
      <c r="C60" s="27">
        <v>0.46821903999999998</v>
      </c>
      <c r="D60" s="27">
        <v>0.55049364999999995</v>
      </c>
      <c r="E60" s="27">
        <v>0.39326541999999998</v>
      </c>
      <c r="F60" s="27">
        <v>0.48299166999999998</v>
      </c>
      <c r="G60" s="27">
        <v>0.36033857000000002</v>
      </c>
    </row>
    <row r="61" spans="1:7" ht="15.75" customHeight="1">
      <c r="B61" s="27"/>
      <c r="C61" s="27"/>
      <c r="D61" s="27"/>
      <c r="E61" s="27"/>
      <c r="F61" s="27"/>
      <c r="G61" s="27"/>
    </row>
    <row r="62" spans="1:7" ht="15.75" customHeight="1">
      <c r="A62" s="1" t="s">
        <v>276</v>
      </c>
      <c r="B62" s="27">
        <f t="shared" ref="B62:G62" si="1">AVERAGE(B36:B60)</f>
        <v>0.78534974160000004</v>
      </c>
      <c r="C62" s="27">
        <f t="shared" si="1"/>
        <v>0.64980884839999986</v>
      </c>
      <c r="D62" s="27">
        <f t="shared" si="1"/>
        <v>0.75624312840000019</v>
      </c>
      <c r="E62" s="27">
        <f t="shared" si="1"/>
        <v>0.55534278960000005</v>
      </c>
      <c r="F62" s="27">
        <f t="shared" si="1"/>
        <v>0.65789864279999999</v>
      </c>
      <c r="G62" s="27">
        <f t="shared" si="1"/>
        <v>0.50124545240000007</v>
      </c>
    </row>
    <row r="64" spans="1:7" ht="15.75" customHeight="1">
      <c r="B64" s="1" t="s">
        <v>289</v>
      </c>
    </row>
    <row r="65" spans="1:7" ht="15.75" customHeight="1">
      <c r="A65" s="1" t="s">
        <v>231</v>
      </c>
      <c r="B65" s="1" t="s">
        <v>39</v>
      </c>
      <c r="C65" s="1" t="s">
        <v>38</v>
      </c>
      <c r="D65" s="1" t="s">
        <v>263</v>
      </c>
      <c r="E65" s="1" t="s">
        <v>264</v>
      </c>
      <c r="F65" s="1" t="s">
        <v>63</v>
      </c>
      <c r="G65" s="1" t="s">
        <v>265</v>
      </c>
    </row>
    <row r="66" spans="1:7" ht="15.75" customHeight="1">
      <c r="A66" s="1" t="s">
        <v>237</v>
      </c>
      <c r="B66" s="27">
        <f t="shared" ref="B66:G81" si="2">ABS(B36-B4)</f>
        <v>0.84851882000000012</v>
      </c>
      <c r="C66" s="27">
        <f t="shared" si="2"/>
        <v>0.51735964000000001</v>
      </c>
      <c r="D66" s="27">
        <f t="shared" si="2"/>
        <v>0.74233256999999997</v>
      </c>
      <c r="E66" s="27">
        <f t="shared" si="2"/>
        <v>0.41232167000000003</v>
      </c>
      <c r="F66" s="27">
        <f t="shared" si="2"/>
        <v>0.52683813000000002</v>
      </c>
      <c r="G66" s="27">
        <f t="shared" si="2"/>
        <v>0.39297045000000003</v>
      </c>
    </row>
    <row r="67" spans="1:7" ht="15.75" customHeight="1">
      <c r="A67" s="1" t="s">
        <v>238</v>
      </c>
      <c r="B67" s="27">
        <f t="shared" si="2"/>
        <v>0.25087066999999996</v>
      </c>
      <c r="C67" s="27">
        <f t="shared" si="2"/>
        <v>0.33103246999999997</v>
      </c>
      <c r="D67" s="27">
        <f t="shared" si="2"/>
        <v>0.24823740999999999</v>
      </c>
      <c r="E67" s="27">
        <f t="shared" si="2"/>
        <v>0.36114250999999997</v>
      </c>
      <c r="F67" s="27">
        <f t="shared" si="2"/>
        <v>0.24605636000000009</v>
      </c>
      <c r="G67" s="27">
        <f t="shared" si="2"/>
        <v>0.34161784999999995</v>
      </c>
    </row>
    <row r="68" spans="1:7" ht="15.75" customHeight="1">
      <c r="A68" s="1" t="s">
        <v>239</v>
      </c>
      <c r="B68" s="27">
        <f t="shared" si="2"/>
        <v>4.9239200000000816E-3</v>
      </c>
      <c r="C68" s="27">
        <f t="shared" si="2"/>
        <v>7.0430269999999962E-2</v>
      </c>
      <c r="D68" s="27">
        <f t="shared" si="2"/>
        <v>2.1375759999999966E-2</v>
      </c>
      <c r="E68" s="27">
        <f t="shared" si="2"/>
        <v>8.016297E-2</v>
      </c>
      <c r="F68" s="27">
        <f t="shared" si="2"/>
        <v>7.8348580000000057E-2</v>
      </c>
      <c r="G68" s="27">
        <f t="shared" si="2"/>
        <v>0.11376512</v>
      </c>
    </row>
    <row r="69" spans="1:7" ht="15.75" customHeight="1">
      <c r="A69" s="1" t="s">
        <v>240</v>
      </c>
      <c r="B69" s="27">
        <f t="shared" si="2"/>
        <v>0.44140050000000008</v>
      </c>
      <c r="C69" s="27">
        <f t="shared" si="2"/>
        <v>1.1927973399999998</v>
      </c>
      <c r="D69" s="27">
        <f t="shared" si="2"/>
        <v>0.44690421999999996</v>
      </c>
      <c r="E69" s="27">
        <f t="shared" si="2"/>
        <v>1.1065147999999998</v>
      </c>
      <c r="F69" s="27">
        <f t="shared" si="2"/>
        <v>0.38890475000000002</v>
      </c>
      <c r="G69" s="27">
        <f t="shared" si="2"/>
        <v>0.91343283000000008</v>
      </c>
    </row>
    <row r="70" spans="1:7" ht="15.75" customHeight="1">
      <c r="A70" s="1" t="s">
        <v>241</v>
      </c>
      <c r="B70" s="27">
        <f t="shared" si="2"/>
        <v>0.52169472999999988</v>
      </c>
      <c r="C70" s="27">
        <f t="shared" si="2"/>
        <v>7.9253180000000034E-2</v>
      </c>
      <c r="D70" s="27">
        <f t="shared" si="2"/>
        <v>0.37519683999999998</v>
      </c>
      <c r="E70" s="27">
        <f t="shared" si="2"/>
        <v>9.1264730000000072E-2</v>
      </c>
      <c r="F70" s="27">
        <f t="shared" si="2"/>
        <v>2.4667559999999922E-2</v>
      </c>
      <c r="G70" s="27">
        <f t="shared" si="2"/>
        <v>3.1961039999999996E-2</v>
      </c>
    </row>
    <row r="71" spans="1:7" ht="15.75" customHeight="1">
      <c r="A71" s="1" t="s">
        <v>242</v>
      </c>
      <c r="B71" s="27">
        <f t="shared" si="2"/>
        <v>7.3086550000000028E-2</v>
      </c>
      <c r="C71" s="27">
        <f t="shared" si="2"/>
        <v>3.8233809999999979E-2</v>
      </c>
      <c r="D71" s="27">
        <f t="shared" si="2"/>
        <v>6.1645950000000005E-2</v>
      </c>
      <c r="E71" s="27">
        <f t="shared" si="2"/>
        <v>2.141088999999996E-2</v>
      </c>
      <c r="F71" s="27">
        <f t="shared" si="2"/>
        <v>0.13394612</v>
      </c>
      <c r="G71" s="27">
        <f t="shared" si="2"/>
        <v>8.0777320000000041E-2</v>
      </c>
    </row>
    <row r="72" spans="1:7" ht="15.75" customHeight="1">
      <c r="A72" s="1" t="s">
        <v>243</v>
      </c>
      <c r="B72" s="27">
        <f t="shared" si="2"/>
        <v>0.16405095000000003</v>
      </c>
      <c r="C72" s="27">
        <f t="shared" si="2"/>
        <v>0.15215538000000001</v>
      </c>
      <c r="D72" s="27">
        <f t="shared" si="2"/>
        <v>0.12898512000000006</v>
      </c>
      <c r="E72" s="27">
        <f t="shared" si="2"/>
        <v>0.10294814000000002</v>
      </c>
      <c r="F72" s="27">
        <f t="shared" si="2"/>
        <v>0.12051113999999996</v>
      </c>
      <c r="G72" s="27">
        <f t="shared" si="2"/>
        <v>9.8795430000000017E-2</v>
      </c>
    </row>
    <row r="73" spans="1:7" ht="15.75" customHeight="1">
      <c r="A73" s="1" t="s">
        <v>244</v>
      </c>
      <c r="B73" s="27">
        <f t="shared" si="2"/>
        <v>0.18332208999999999</v>
      </c>
      <c r="C73" s="27">
        <f t="shared" si="2"/>
        <v>0.15109279999999997</v>
      </c>
      <c r="D73" s="27">
        <f t="shared" si="2"/>
        <v>0.16820147999999996</v>
      </c>
      <c r="E73" s="27">
        <f t="shared" si="2"/>
        <v>0.13516531000000004</v>
      </c>
      <c r="F73" s="27">
        <f t="shared" si="2"/>
        <v>0.12481150000000002</v>
      </c>
      <c r="G73" s="27">
        <f t="shared" si="2"/>
        <v>0.10828110000000002</v>
      </c>
    </row>
    <row r="74" spans="1:7" ht="15.75" customHeight="1">
      <c r="A74" s="1" t="s">
        <v>245</v>
      </c>
      <c r="B74" s="27">
        <f t="shared" si="2"/>
        <v>0.17737161000000001</v>
      </c>
      <c r="C74" s="27">
        <f t="shared" si="2"/>
        <v>0.13658126999999998</v>
      </c>
      <c r="D74" s="27">
        <f t="shared" si="2"/>
        <v>0.15615401000000001</v>
      </c>
      <c r="E74" s="27">
        <f t="shared" si="2"/>
        <v>0.1225001</v>
      </c>
      <c r="F74" s="27">
        <f t="shared" si="2"/>
        <v>0.11482979000000004</v>
      </c>
      <c r="G74" s="27">
        <f t="shared" si="2"/>
        <v>9.9684040000000029E-2</v>
      </c>
    </row>
    <row r="75" spans="1:7" ht="15.75" customHeight="1">
      <c r="A75" s="1" t="s">
        <v>246</v>
      </c>
      <c r="B75" s="27">
        <f t="shared" si="2"/>
        <v>0.68344196000000002</v>
      </c>
      <c r="C75" s="27">
        <f t="shared" si="2"/>
        <v>1.0609120699999999</v>
      </c>
      <c r="D75" s="27">
        <f t="shared" si="2"/>
        <v>0.63081076999999997</v>
      </c>
      <c r="E75" s="27">
        <f t="shared" si="2"/>
        <v>0.42187273000000003</v>
      </c>
      <c r="F75" s="27">
        <f t="shared" si="2"/>
        <v>0.90691843000000005</v>
      </c>
      <c r="G75" s="27">
        <f t="shared" si="2"/>
        <v>0.16976057</v>
      </c>
    </row>
    <row r="76" spans="1:7" ht="15.75" customHeight="1">
      <c r="A76" s="1" t="s">
        <v>247</v>
      </c>
      <c r="B76" s="27">
        <f t="shared" si="2"/>
        <v>0.59202179999999993</v>
      </c>
      <c r="C76" s="27">
        <f t="shared" si="2"/>
        <v>0.30089697999999998</v>
      </c>
      <c r="D76" s="27">
        <f t="shared" si="2"/>
        <v>1.1455041500000001</v>
      </c>
      <c r="E76" s="27">
        <f t="shared" si="2"/>
        <v>0.22636826999999998</v>
      </c>
      <c r="F76" s="27">
        <f t="shared" si="2"/>
        <v>0.43653476000000002</v>
      </c>
      <c r="G76" s="27">
        <f t="shared" si="2"/>
        <v>0.12368157000000002</v>
      </c>
    </row>
    <row r="77" spans="1:7" ht="15.75" customHeight="1">
      <c r="A77" s="1" t="s">
        <v>248</v>
      </c>
      <c r="B77" s="27">
        <f t="shared" si="2"/>
        <v>0.20298088999999997</v>
      </c>
      <c r="C77" s="27">
        <f t="shared" si="2"/>
        <v>9.1916620000000004E-2</v>
      </c>
      <c r="D77" s="27">
        <f t="shared" si="2"/>
        <v>0.12865473999999999</v>
      </c>
      <c r="E77" s="27">
        <f t="shared" si="2"/>
        <v>7.4522969999999966E-2</v>
      </c>
      <c r="F77" s="27">
        <f t="shared" si="2"/>
        <v>9.408760000000016E-3</v>
      </c>
      <c r="G77" s="27">
        <f t="shared" si="2"/>
        <v>6.0268800000000122E-3</v>
      </c>
    </row>
    <row r="78" spans="1:7" ht="15.75" customHeight="1">
      <c r="A78" s="1" t="s">
        <v>249</v>
      </c>
      <c r="B78" s="27">
        <f t="shared" si="2"/>
        <v>0.54263854999999994</v>
      </c>
      <c r="C78" s="27">
        <f t="shared" si="2"/>
        <v>0.45470193000000003</v>
      </c>
      <c r="D78" s="27">
        <f t="shared" si="2"/>
        <v>0.48570409000000003</v>
      </c>
      <c r="E78" s="27">
        <f t="shared" si="2"/>
        <v>0.45011263000000001</v>
      </c>
      <c r="F78" s="27">
        <f t="shared" si="2"/>
        <v>0.32197714999999993</v>
      </c>
      <c r="G78" s="27">
        <f t="shared" si="2"/>
        <v>0.27983530999999995</v>
      </c>
    </row>
    <row r="79" spans="1:7" ht="15.75" customHeight="1">
      <c r="A79" s="1" t="s">
        <v>250</v>
      </c>
      <c r="B79" s="27">
        <f t="shared" si="2"/>
        <v>0.16653887000000001</v>
      </c>
      <c r="C79" s="27">
        <f t="shared" si="2"/>
        <v>0.16188478999999995</v>
      </c>
      <c r="D79" s="27">
        <f t="shared" si="2"/>
        <v>0.13302044000000002</v>
      </c>
      <c r="E79" s="27">
        <f t="shared" si="2"/>
        <v>0.12858224000000001</v>
      </c>
      <c r="F79" s="27">
        <f t="shared" si="2"/>
        <v>0.15470359000000006</v>
      </c>
      <c r="G79" s="27">
        <f t="shared" si="2"/>
        <v>0.14987200000000001</v>
      </c>
    </row>
    <row r="80" spans="1:7" ht="15.75" customHeight="1">
      <c r="A80" s="1" t="s">
        <v>251</v>
      </c>
      <c r="B80" s="27">
        <f t="shared" si="2"/>
        <v>0.18881782999999996</v>
      </c>
      <c r="C80" s="27">
        <f t="shared" si="2"/>
        <v>0.17965340000000002</v>
      </c>
      <c r="D80" s="27">
        <f t="shared" si="2"/>
        <v>0.18275062999999997</v>
      </c>
      <c r="E80" s="27">
        <f t="shared" si="2"/>
        <v>0.16934937999999999</v>
      </c>
      <c r="F80" s="27">
        <f t="shared" si="2"/>
        <v>0.16686941999999994</v>
      </c>
      <c r="G80" s="27">
        <f t="shared" si="2"/>
        <v>0.15507381999999997</v>
      </c>
    </row>
    <row r="81" spans="1:7" ht="15.75" customHeight="1">
      <c r="A81" s="1" t="s">
        <v>252</v>
      </c>
      <c r="B81" s="27">
        <f t="shared" si="2"/>
        <v>0.20505611000000001</v>
      </c>
      <c r="C81" s="27">
        <f t="shared" si="2"/>
        <v>0.18668699999999999</v>
      </c>
      <c r="D81" s="27">
        <f t="shared" si="2"/>
        <v>0.19287907999999998</v>
      </c>
      <c r="E81" s="27">
        <f t="shared" si="2"/>
        <v>0.17214820999999997</v>
      </c>
      <c r="F81" s="27">
        <f t="shared" si="2"/>
        <v>0.15897923999999997</v>
      </c>
      <c r="G81" s="27">
        <f t="shared" si="2"/>
        <v>0.14606018999999998</v>
      </c>
    </row>
    <row r="82" spans="1:7" ht="15.75" customHeight="1">
      <c r="A82" s="1" t="s">
        <v>253</v>
      </c>
      <c r="B82" s="27">
        <f t="shared" ref="B82:G90" si="3">ABS(B52-B20)</f>
        <v>2.0121020000000045E-2</v>
      </c>
      <c r="C82" s="27">
        <f t="shared" si="3"/>
        <v>5.1912600000000308E-3</v>
      </c>
      <c r="D82" s="27">
        <f t="shared" si="3"/>
        <v>1.3374419999999998E-2</v>
      </c>
      <c r="E82" s="27">
        <f t="shared" si="3"/>
        <v>1.0841869999999976E-2</v>
      </c>
      <c r="F82" s="27">
        <f t="shared" si="3"/>
        <v>3.3900920000000001E-2</v>
      </c>
      <c r="G82" s="27">
        <f t="shared" si="3"/>
        <v>3.4510719999999995E-2</v>
      </c>
    </row>
    <row r="83" spans="1:7" ht="15.75" customHeight="1">
      <c r="A83" s="1" t="s">
        <v>254</v>
      </c>
      <c r="B83" s="27">
        <f t="shared" si="3"/>
        <v>5.0349670000000013E-2</v>
      </c>
      <c r="C83" s="27">
        <f t="shared" si="3"/>
        <v>4.2762009999999961E-2</v>
      </c>
      <c r="D83" s="27">
        <f t="shared" si="3"/>
        <v>3.5230560000000022E-2</v>
      </c>
      <c r="E83" s="27">
        <f t="shared" si="3"/>
        <v>5.0958339999999963E-2</v>
      </c>
      <c r="F83" s="27">
        <f t="shared" si="3"/>
        <v>7.1389060000000004E-2</v>
      </c>
      <c r="G83" s="27">
        <f t="shared" si="3"/>
        <v>7.7781000000000017E-2</v>
      </c>
    </row>
    <row r="84" spans="1:7" ht="15.75" customHeight="1">
      <c r="A84" s="1" t="s">
        <v>255</v>
      </c>
      <c r="B84" s="27">
        <f t="shared" si="3"/>
        <v>0.16435601999999994</v>
      </c>
      <c r="C84" s="27">
        <f t="shared" si="3"/>
        <v>0.10054465000000001</v>
      </c>
      <c r="D84" s="27">
        <f t="shared" si="3"/>
        <v>0.16716138000000003</v>
      </c>
      <c r="E84" s="27">
        <f t="shared" si="3"/>
        <v>8.5322540000000058E-2</v>
      </c>
      <c r="F84" s="27">
        <f t="shared" si="3"/>
        <v>0.15568594000000002</v>
      </c>
      <c r="G84" s="27">
        <f t="shared" si="3"/>
        <v>8.2453689999999968E-2</v>
      </c>
    </row>
    <row r="85" spans="1:7" ht="15.75" customHeight="1">
      <c r="A85" s="1" t="s">
        <v>256</v>
      </c>
      <c r="B85" s="27">
        <f t="shared" si="3"/>
        <v>0.12479606999999993</v>
      </c>
      <c r="C85" s="27">
        <f t="shared" si="3"/>
        <v>5.911215000000003E-2</v>
      </c>
      <c r="D85" s="27">
        <f t="shared" si="3"/>
        <v>0.12464111999999994</v>
      </c>
      <c r="E85" s="27">
        <f t="shared" si="3"/>
        <v>4.6989350000000041E-2</v>
      </c>
      <c r="F85" s="27">
        <f t="shared" si="3"/>
        <v>0.11035174000000003</v>
      </c>
      <c r="G85" s="27">
        <f t="shared" si="3"/>
        <v>4.4526900000000036E-2</v>
      </c>
    </row>
    <row r="86" spans="1:7" ht="15.75" customHeight="1">
      <c r="A86" s="1" t="s">
        <v>257</v>
      </c>
      <c r="B86" s="27">
        <f t="shared" si="3"/>
        <v>2.6266679999999987E-2</v>
      </c>
      <c r="C86" s="27">
        <f t="shared" si="3"/>
        <v>1.9079680000000043E-2</v>
      </c>
      <c r="D86" s="27">
        <f t="shared" si="3"/>
        <v>2.7026160000000021E-2</v>
      </c>
      <c r="E86" s="27">
        <f t="shared" si="3"/>
        <v>2.0262759999999991E-2</v>
      </c>
      <c r="F86" s="27">
        <f t="shared" si="3"/>
        <v>6.6323200000000249E-3</v>
      </c>
      <c r="G86" s="27">
        <f t="shared" si="3"/>
        <v>1.9089489999999987E-2</v>
      </c>
    </row>
    <row r="87" spans="1:7" ht="15.75" customHeight="1">
      <c r="A87" s="1" t="s">
        <v>258</v>
      </c>
      <c r="B87" s="27">
        <f t="shared" si="3"/>
        <v>0.26489247999999999</v>
      </c>
      <c r="C87" s="27">
        <f t="shared" si="3"/>
        <v>0.18436964000000006</v>
      </c>
      <c r="D87" s="27">
        <f t="shared" si="3"/>
        <v>0.25892045000000008</v>
      </c>
      <c r="E87" s="27">
        <f t="shared" si="3"/>
        <v>0.15940961000000003</v>
      </c>
      <c r="F87" s="27">
        <f t="shared" si="3"/>
        <v>0.23135106000000005</v>
      </c>
      <c r="G87" s="27">
        <f t="shared" si="3"/>
        <v>0.15852893000000007</v>
      </c>
    </row>
    <row r="88" spans="1:7" ht="15.75" customHeight="1">
      <c r="A88" s="1" t="s">
        <v>259</v>
      </c>
      <c r="B88" s="27">
        <f t="shared" si="3"/>
        <v>0.16496251000000001</v>
      </c>
      <c r="C88" s="27">
        <f t="shared" si="3"/>
        <v>0.11466377999999999</v>
      </c>
      <c r="D88" s="27">
        <f t="shared" si="3"/>
        <v>0.13176843000000005</v>
      </c>
      <c r="E88" s="27">
        <f t="shared" si="3"/>
        <v>8.6273979999999972E-2</v>
      </c>
      <c r="F88" s="27">
        <f t="shared" si="3"/>
        <v>8.8562630000000031E-2</v>
      </c>
      <c r="G88" s="27">
        <f t="shared" si="3"/>
        <v>6.8560400000000021E-2</v>
      </c>
    </row>
    <row r="89" spans="1:7" ht="15.75" customHeight="1">
      <c r="A89" s="1" t="s">
        <v>260</v>
      </c>
      <c r="B89" s="27">
        <f t="shared" si="3"/>
        <v>0.13305928</v>
      </c>
      <c r="C89" s="27">
        <f t="shared" si="3"/>
        <v>9.9823860000000042E-2</v>
      </c>
      <c r="D89" s="27">
        <f t="shared" si="3"/>
        <v>0.11714262999999997</v>
      </c>
      <c r="E89" s="27">
        <f t="shared" si="3"/>
        <v>8.8325129999999974E-2</v>
      </c>
      <c r="F89" s="27">
        <f t="shared" si="3"/>
        <v>7.0861410000000014E-2</v>
      </c>
      <c r="G89" s="27">
        <f t="shared" si="3"/>
        <v>6.5175029999999967E-2</v>
      </c>
    </row>
    <row r="90" spans="1:7" ht="15.75" customHeight="1">
      <c r="A90" s="1" t="s">
        <v>261</v>
      </c>
      <c r="B90" s="27">
        <f t="shared" si="3"/>
        <v>0.12565511000000001</v>
      </c>
      <c r="C90" s="27">
        <f t="shared" si="3"/>
        <v>8.419753999999996E-2</v>
      </c>
      <c r="D90" s="27">
        <f t="shared" si="3"/>
        <v>0.10491687999999993</v>
      </c>
      <c r="E90" s="27">
        <f t="shared" si="3"/>
        <v>7.637364999999996E-2</v>
      </c>
      <c r="F90" s="27">
        <f t="shared" si="3"/>
        <v>6.9271579999999999E-2</v>
      </c>
      <c r="G90" s="27">
        <f t="shared" si="3"/>
        <v>6.1864070000000049E-2</v>
      </c>
    </row>
    <row r="91" spans="1:7" ht="15.75" customHeight="1">
      <c r="B91" s="27"/>
      <c r="C91" s="27"/>
      <c r="D91" s="27"/>
      <c r="E91" s="27"/>
      <c r="F91" s="27"/>
      <c r="G91" s="27"/>
    </row>
    <row r="92" spans="1:7" ht="15.75" customHeight="1">
      <c r="A92" s="1" t="s">
        <v>276</v>
      </c>
      <c r="B92" s="27">
        <f t="shared" ref="B92:G92" si="4">AVERAGE(B66:B90)</f>
        <v>0.25284778759999998</v>
      </c>
      <c r="C92" s="27">
        <f t="shared" si="4"/>
        <v>0.23261334079999993</v>
      </c>
      <c r="D92" s="27">
        <f t="shared" si="4"/>
        <v>0.24914157159999994</v>
      </c>
      <c r="E92" s="27">
        <f t="shared" si="4"/>
        <v>0.18804579119999995</v>
      </c>
      <c r="F92" s="27">
        <f t="shared" si="4"/>
        <v>0.19009247759999995</v>
      </c>
      <c r="G92" s="27">
        <f t="shared" si="4"/>
        <v>0.15296343000000004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77AA-B68C-49F3-9BAE-9B6F6B90CA27}">
  <sheetPr>
    <outlinePr summaryBelow="0" summaryRight="0"/>
  </sheetPr>
  <dimension ref="A2:I18"/>
  <sheetViews>
    <sheetView workbookViewId="0"/>
  </sheetViews>
  <sheetFormatPr defaultColWidth="12.6640625" defaultRowHeight="15.75" customHeight="1"/>
  <cols>
    <col min="1" max="16384" width="12.6640625" style="2"/>
  </cols>
  <sheetData>
    <row r="2" spans="1:9" ht="15.75" customHeight="1">
      <c r="D2" s="27"/>
      <c r="E2" s="27"/>
      <c r="F2" s="27"/>
      <c r="G2" s="27"/>
      <c r="H2" s="27"/>
      <c r="I2" s="27"/>
    </row>
    <row r="3" spans="1:9" ht="15.75" customHeight="1">
      <c r="A3" s="1" t="s">
        <v>273</v>
      </c>
      <c r="B3" s="1" t="s">
        <v>290</v>
      </c>
      <c r="D3" s="1" t="s">
        <v>291</v>
      </c>
    </row>
    <row r="4" spans="1:9" ht="15.75" customHeight="1">
      <c r="A4" s="1" t="s">
        <v>39</v>
      </c>
      <c r="B4" s="27">
        <v>0.53834887800000009</v>
      </c>
      <c r="D4" s="27">
        <f t="shared" ref="D4:D9" si="0">B13-B4</f>
        <v>0.24700086359999995</v>
      </c>
    </row>
    <row r="5" spans="1:9" ht="15.75" customHeight="1">
      <c r="A5" s="1" t="s">
        <v>38</v>
      </c>
      <c r="B5" s="27">
        <v>0.42178058679999991</v>
      </c>
      <c r="D5" s="27">
        <f t="shared" si="0"/>
        <v>0.22802826159999995</v>
      </c>
    </row>
    <row r="6" spans="1:9" ht="15.75" customHeight="1">
      <c r="A6" s="1" t="s">
        <v>263</v>
      </c>
      <c r="B6" s="27">
        <v>0.51203323280000002</v>
      </c>
      <c r="D6" s="27">
        <f t="shared" si="0"/>
        <v>0.24420989560000017</v>
      </c>
    </row>
    <row r="7" spans="1:9" ht="15.75" customHeight="1">
      <c r="A7" s="1" t="s">
        <v>264</v>
      </c>
      <c r="B7" s="27">
        <v>0.37063089040000002</v>
      </c>
      <c r="D7" s="27">
        <f t="shared" si="0"/>
        <v>0.18471189920000003</v>
      </c>
    </row>
    <row r="8" spans="1:9" ht="15.75" customHeight="1">
      <c r="A8" s="1" t="s">
        <v>63</v>
      </c>
      <c r="B8" s="27">
        <v>0.48049525960000006</v>
      </c>
      <c r="D8" s="27">
        <f t="shared" si="0"/>
        <v>0.17740338319999993</v>
      </c>
    </row>
    <row r="9" spans="1:9" ht="15.75" customHeight="1">
      <c r="A9" s="1" t="s">
        <v>265</v>
      </c>
      <c r="B9" s="27">
        <v>0.35627136719999997</v>
      </c>
      <c r="D9" s="27">
        <f t="shared" si="0"/>
        <v>0.1449740852000001</v>
      </c>
    </row>
    <row r="12" spans="1:9" ht="15.75" customHeight="1">
      <c r="A12" s="1" t="s">
        <v>278</v>
      </c>
      <c r="B12" s="1" t="s">
        <v>290</v>
      </c>
    </row>
    <row r="13" spans="1:9" ht="15.75" customHeight="1">
      <c r="A13" s="1" t="s">
        <v>39</v>
      </c>
      <c r="B13" s="27">
        <v>0.78534974160000004</v>
      </c>
    </row>
    <row r="14" spans="1:9" ht="15.75" customHeight="1">
      <c r="A14" s="1" t="s">
        <v>38</v>
      </c>
      <c r="B14" s="27">
        <v>0.64980884839999986</v>
      </c>
    </row>
    <row r="15" spans="1:9" ht="15.75" customHeight="1">
      <c r="A15" s="1" t="s">
        <v>263</v>
      </c>
      <c r="B15" s="27">
        <v>0.75624312840000019</v>
      </c>
    </row>
    <row r="16" spans="1:9" ht="15.75" customHeight="1">
      <c r="A16" s="1" t="s">
        <v>264</v>
      </c>
      <c r="B16" s="27">
        <v>0.55534278960000005</v>
      </c>
    </row>
    <row r="17" spans="1:2" ht="15.75" customHeight="1">
      <c r="A17" s="1" t="s">
        <v>63</v>
      </c>
      <c r="B17" s="27">
        <v>0.65789864279999999</v>
      </c>
    </row>
    <row r="18" spans="1:2" ht="15.75" customHeight="1">
      <c r="A18" s="1" t="s">
        <v>265</v>
      </c>
      <c r="B18" s="27">
        <v>0.50124545240000007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E385-7F76-4108-99FA-B1851911C1F3}">
  <sheetPr>
    <outlinePr summaryBelow="0" summaryRight="0"/>
  </sheetPr>
  <dimension ref="A2:AA118"/>
  <sheetViews>
    <sheetView workbookViewId="0"/>
  </sheetViews>
  <sheetFormatPr defaultColWidth="12.6640625" defaultRowHeight="15.75" customHeight="1"/>
  <cols>
    <col min="1" max="16384" width="12.6640625" style="2"/>
  </cols>
  <sheetData>
    <row r="2" spans="1:27" ht="15.75" customHeight="1">
      <c r="A2" s="1" t="s">
        <v>36</v>
      </c>
      <c r="C2" s="1" t="s">
        <v>273</v>
      </c>
      <c r="H2" s="1" t="s">
        <v>39</v>
      </c>
      <c r="J2" s="1" t="s">
        <v>273</v>
      </c>
      <c r="O2" s="1" t="s">
        <v>38</v>
      </c>
      <c r="Q2" s="1" t="s">
        <v>273</v>
      </c>
      <c r="V2" s="1" t="s">
        <v>263</v>
      </c>
      <c r="X2" s="1" t="s">
        <v>273</v>
      </c>
    </row>
    <row r="3" spans="1:27" ht="15.75" customHeight="1">
      <c r="A3" s="1" t="s">
        <v>231</v>
      </c>
      <c r="B3" s="1" t="s">
        <v>292</v>
      </c>
      <c r="C3" s="1" t="s">
        <v>293</v>
      </c>
      <c r="D3" s="1" t="s">
        <v>294</v>
      </c>
      <c r="E3" s="1" t="s">
        <v>295</v>
      </c>
      <c r="F3" s="1" t="s">
        <v>296</v>
      </c>
      <c r="H3" s="1" t="s">
        <v>231</v>
      </c>
      <c r="I3" s="1" t="s">
        <v>292</v>
      </c>
      <c r="J3" s="1" t="s">
        <v>293</v>
      </c>
      <c r="K3" s="1" t="s">
        <v>294</v>
      </c>
      <c r="L3" s="1" t="s">
        <v>295</v>
      </c>
      <c r="M3" s="1" t="s">
        <v>296</v>
      </c>
      <c r="O3" s="1" t="s">
        <v>231</v>
      </c>
      <c r="P3" s="1" t="s">
        <v>292</v>
      </c>
      <c r="Q3" s="1" t="s">
        <v>293</v>
      </c>
      <c r="R3" s="1" t="s">
        <v>294</v>
      </c>
      <c r="S3" s="1" t="s">
        <v>295</v>
      </c>
      <c r="T3" s="1" t="s">
        <v>296</v>
      </c>
      <c r="V3" s="1" t="s">
        <v>231</v>
      </c>
      <c r="W3" s="1" t="s">
        <v>292</v>
      </c>
      <c r="X3" s="1" t="s">
        <v>293</v>
      </c>
      <c r="Y3" s="1" t="s">
        <v>294</v>
      </c>
      <c r="Z3" s="1" t="s">
        <v>295</v>
      </c>
      <c r="AA3" s="1" t="s">
        <v>296</v>
      </c>
    </row>
    <row r="4" spans="1:27" ht="15.75" customHeight="1">
      <c r="A4" s="1" t="s">
        <v>237</v>
      </c>
      <c r="B4" s="1">
        <v>18</v>
      </c>
      <c r="C4" s="1">
        <v>18</v>
      </c>
      <c r="D4" s="1">
        <f t="shared" ref="D4:D28" si="0">SUM(B4:C4)</f>
        <v>36</v>
      </c>
      <c r="E4" s="1">
        <v>1.54E-2</v>
      </c>
      <c r="F4" s="14">
        <f t="shared" ref="F4:F28" si="1">SQRT(E4/D4)</f>
        <v>2.0682789409984761E-2</v>
      </c>
      <c r="H4" s="1" t="s">
        <v>237</v>
      </c>
      <c r="I4" s="1">
        <v>18</v>
      </c>
      <c r="J4" s="1">
        <v>18</v>
      </c>
      <c r="K4" s="1">
        <f t="shared" ref="K4:K28" si="2">SUM(I4:J4)</f>
        <v>36</v>
      </c>
      <c r="L4" s="1">
        <v>3.2800000000000003E-2</v>
      </c>
      <c r="M4" s="14">
        <f t="shared" ref="M4:M28" si="3">SQRT(L4/K4)</f>
        <v>3.0184617127124724E-2</v>
      </c>
      <c r="O4" s="1" t="s">
        <v>237</v>
      </c>
      <c r="P4" s="1">
        <v>18</v>
      </c>
      <c r="Q4" s="1">
        <v>18</v>
      </c>
      <c r="R4" s="1">
        <f t="shared" ref="R4:R28" si="4">SUM(P4:Q4)</f>
        <v>36</v>
      </c>
      <c r="S4" s="1">
        <v>1.1299999999999999E-2</v>
      </c>
      <c r="T4" s="14">
        <f t="shared" ref="T4:T28" si="5">SQRT(S4/R4)</f>
        <v>1.7716909687891084E-2</v>
      </c>
      <c r="V4" s="1" t="s">
        <v>237</v>
      </c>
      <c r="W4" s="1">
        <v>18</v>
      </c>
      <c r="X4" s="1">
        <v>18</v>
      </c>
      <c r="Y4" s="1">
        <f t="shared" ref="Y4:Y28" si="6">SUM(W4:X4)</f>
        <v>36</v>
      </c>
      <c r="Z4" s="1">
        <v>2.5000000000000001E-2</v>
      </c>
      <c r="AA4" s="14">
        <f t="shared" ref="AA4:AA28" si="7">SQRT(Z4/Y4)</f>
        <v>2.6352313834736494E-2</v>
      </c>
    </row>
    <row r="5" spans="1:27" ht="15.75" customHeight="1">
      <c r="A5" s="1" t="s">
        <v>238</v>
      </c>
      <c r="B5" s="1">
        <v>14</v>
      </c>
      <c r="C5" s="1">
        <v>14</v>
      </c>
      <c r="D5" s="1">
        <f t="shared" si="0"/>
        <v>28</v>
      </c>
      <c r="E5" s="1">
        <v>2.3699999999999999E-2</v>
      </c>
      <c r="F5" s="14">
        <f t="shared" si="1"/>
        <v>2.9093445506309001E-2</v>
      </c>
      <c r="H5" s="1" t="s">
        <v>238</v>
      </c>
      <c r="I5" s="1">
        <v>14</v>
      </c>
      <c r="J5" s="1">
        <v>14</v>
      </c>
      <c r="K5" s="1">
        <f t="shared" si="2"/>
        <v>28</v>
      </c>
      <c r="L5" s="1">
        <v>3.5200000000000002E-2</v>
      </c>
      <c r="M5" s="14">
        <f t="shared" si="3"/>
        <v>3.5456210417116732E-2</v>
      </c>
      <c r="O5" s="1" t="s">
        <v>238</v>
      </c>
      <c r="P5" s="1">
        <v>14</v>
      </c>
      <c r="Q5" s="1">
        <v>14</v>
      </c>
      <c r="R5" s="1">
        <f t="shared" si="4"/>
        <v>28</v>
      </c>
      <c r="S5" s="1">
        <v>1.09E-2</v>
      </c>
      <c r="T5" s="14">
        <f t="shared" si="5"/>
        <v>1.9730324738475906E-2</v>
      </c>
      <c r="V5" s="1" t="s">
        <v>238</v>
      </c>
      <c r="W5" s="1">
        <v>14</v>
      </c>
      <c r="X5" s="1">
        <v>14</v>
      </c>
      <c r="Y5" s="1">
        <f t="shared" si="6"/>
        <v>28</v>
      </c>
      <c r="Z5" s="1">
        <v>3.0700000000000002E-2</v>
      </c>
      <c r="AA5" s="14">
        <f t="shared" si="7"/>
        <v>3.3112362818569316E-2</v>
      </c>
    </row>
    <row r="6" spans="1:27" ht="15.75" customHeight="1">
      <c r="A6" s="1" t="s">
        <v>239</v>
      </c>
      <c r="B6" s="1">
        <v>10</v>
      </c>
      <c r="C6" s="1">
        <v>10</v>
      </c>
      <c r="D6" s="1">
        <f t="shared" si="0"/>
        <v>20</v>
      </c>
      <c r="E6" s="1">
        <v>2.9000000000000001E-2</v>
      </c>
      <c r="F6" s="14">
        <f t="shared" si="1"/>
        <v>3.8078865529319543E-2</v>
      </c>
      <c r="H6" s="1" t="s">
        <v>239</v>
      </c>
      <c r="I6" s="1">
        <v>10</v>
      </c>
      <c r="J6" s="1">
        <v>10</v>
      </c>
      <c r="K6" s="1">
        <f t="shared" si="2"/>
        <v>20</v>
      </c>
      <c r="L6" s="1">
        <v>1.78E-2</v>
      </c>
      <c r="M6" s="14">
        <f t="shared" si="3"/>
        <v>2.9832867780352594E-2</v>
      </c>
      <c r="O6" s="1" t="s">
        <v>239</v>
      </c>
      <c r="P6" s="1">
        <v>10</v>
      </c>
      <c r="Q6" s="1">
        <v>10</v>
      </c>
      <c r="R6" s="1">
        <f t="shared" si="4"/>
        <v>20</v>
      </c>
      <c r="S6" s="1">
        <v>3.7000000000000002E-3</v>
      </c>
      <c r="T6" s="14">
        <f t="shared" si="5"/>
        <v>1.3601470508735444E-2</v>
      </c>
      <c r="V6" s="1" t="s">
        <v>239</v>
      </c>
      <c r="W6" s="1">
        <v>10</v>
      </c>
      <c r="X6" s="1">
        <v>10</v>
      </c>
      <c r="Y6" s="1">
        <f t="shared" si="6"/>
        <v>20</v>
      </c>
      <c r="Z6" s="1">
        <v>1.1299999999999999E-2</v>
      </c>
      <c r="AA6" s="14">
        <f t="shared" si="7"/>
        <v>2.3769728648009424E-2</v>
      </c>
    </row>
    <row r="7" spans="1:27" ht="15.75" customHeight="1">
      <c r="A7" s="1" t="s">
        <v>240</v>
      </c>
      <c r="B7" s="1">
        <v>18</v>
      </c>
      <c r="C7" s="1">
        <v>18</v>
      </c>
      <c r="D7" s="1">
        <f t="shared" si="0"/>
        <v>36</v>
      </c>
      <c r="E7" s="1">
        <v>3.1600000000000003E-2</v>
      </c>
      <c r="F7" s="14">
        <f t="shared" si="1"/>
        <v>2.9627314724385297E-2</v>
      </c>
      <c r="H7" s="1" t="s">
        <v>240</v>
      </c>
      <c r="I7" s="1">
        <v>18</v>
      </c>
      <c r="J7" s="1">
        <v>18</v>
      </c>
      <c r="K7" s="1">
        <f t="shared" si="2"/>
        <v>36</v>
      </c>
      <c r="L7" s="1">
        <v>1.9599999999999999E-2</v>
      </c>
      <c r="M7" s="14">
        <f t="shared" si="3"/>
        <v>2.3333333333333331E-2</v>
      </c>
      <c r="O7" s="1" t="s">
        <v>240</v>
      </c>
      <c r="P7" s="1">
        <v>18</v>
      </c>
      <c r="Q7" s="1">
        <v>18</v>
      </c>
      <c r="R7" s="1">
        <f t="shared" si="4"/>
        <v>36</v>
      </c>
      <c r="S7" s="1">
        <v>5.4000000000000003E-3</v>
      </c>
      <c r="T7" s="14">
        <f t="shared" si="5"/>
        <v>1.2247448713915891E-2</v>
      </c>
      <c r="V7" s="1" t="s">
        <v>240</v>
      </c>
      <c r="W7" s="1">
        <v>18</v>
      </c>
      <c r="X7" s="1">
        <v>18</v>
      </c>
      <c r="Y7" s="1">
        <f t="shared" si="6"/>
        <v>36</v>
      </c>
      <c r="Z7" s="1">
        <v>1.37E-2</v>
      </c>
      <c r="AA7" s="14">
        <f t="shared" si="7"/>
        <v>1.9507833184532711E-2</v>
      </c>
    </row>
    <row r="8" spans="1:27" ht="15.75" customHeight="1">
      <c r="A8" s="1" t="s">
        <v>241</v>
      </c>
      <c r="B8" s="1">
        <v>14</v>
      </c>
      <c r="C8" s="1">
        <v>14</v>
      </c>
      <c r="D8" s="1">
        <f t="shared" si="0"/>
        <v>28</v>
      </c>
      <c r="E8" s="1">
        <v>4.4600000000000001E-2</v>
      </c>
      <c r="F8" s="14">
        <f t="shared" si="1"/>
        <v>3.9910614413425693E-2</v>
      </c>
      <c r="H8" s="1" t="s">
        <v>241</v>
      </c>
      <c r="I8" s="1">
        <v>14</v>
      </c>
      <c r="J8" s="1">
        <v>14</v>
      </c>
      <c r="K8" s="1">
        <f t="shared" si="2"/>
        <v>28</v>
      </c>
      <c r="L8" s="1">
        <v>2.1399999999999999E-2</v>
      </c>
      <c r="M8" s="14">
        <f t="shared" si="3"/>
        <v>2.7645717829090897E-2</v>
      </c>
      <c r="O8" s="1" t="s">
        <v>241</v>
      </c>
      <c r="P8" s="1">
        <v>14</v>
      </c>
      <c r="Q8" s="1">
        <v>14</v>
      </c>
      <c r="R8" s="1">
        <f t="shared" si="4"/>
        <v>28</v>
      </c>
      <c r="S8" s="1">
        <v>5.4000000000000003E-3</v>
      </c>
      <c r="T8" s="14">
        <f t="shared" si="5"/>
        <v>1.3887301496588272E-2</v>
      </c>
      <c r="V8" s="1" t="s">
        <v>241</v>
      </c>
      <c r="W8" s="1">
        <v>14</v>
      </c>
      <c r="X8" s="1">
        <v>14</v>
      </c>
      <c r="Y8" s="1">
        <f t="shared" si="6"/>
        <v>28</v>
      </c>
      <c r="Z8" s="1">
        <v>1.7600000000000001E-2</v>
      </c>
      <c r="AA8" s="14">
        <f t="shared" si="7"/>
        <v>2.507132682112035E-2</v>
      </c>
    </row>
    <row r="9" spans="1:27" ht="15.75" customHeight="1">
      <c r="A9" s="1" t="s">
        <v>242</v>
      </c>
      <c r="B9" s="1">
        <v>10</v>
      </c>
      <c r="C9" s="1">
        <v>10</v>
      </c>
      <c r="D9" s="1">
        <f t="shared" si="0"/>
        <v>20</v>
      </c>
      <c r="E9" s="1">
        <v>3.2199999999999999E-2</v>
      </c>
      <c r="F9" s="14">
        <f t="shared" si="1"/>
        <v>4.012480529547776E-2</v>
      </c>
      <c r="H9" s="1" t="s">
        <v>242</v>
      </c>
      <c r="I9" s="1">
        <v>10</v>
      </c>
      <c r="J9" s="1">
        <v>10</v>
      </c>
      <c r="K9" s="1">
        <f t="shared" si="2"/>
        <v>20</v>
      </c>
      <c r="L9" s="1">
        <v>6.7999999999999996E-3</v>
      </c>
      <c r="M9" s="14">
        <f t="shared" si="3"/>
        <v>1.8439088914585774E-2</v>
      </c>
      <c r="O9" s="1" t="s">
        <v>242</v>
      </c>
      <c r="P9" s="1">
        <v>10</v>
      </c>
      <c r="Q9" s="1">
        <v>10</v>
      </c>
      <c r="R9" s="1">
        <f t="shared" si="4"/>
        <v>20</v>
      </c>
      <c r="S9" s="1">
        <v>1.6000000000000001E-3</v>
      </c>
      <c r="T9" s="14">
        <f t="shared" si="5"/>
        <v>8.9442719099991595E-3</v>
      </c>
      <c r="V9" s="1" t="s">
        <v>242</v>
      </c>
      <c r="W9" s="1">
        <v>10</v>
      </c>
      <c r="X9" s="1">
        <v>10</v>
      </c>
      <c r="Y9" s="1">
        <f t="shared" si="6"/>
        <v>20</v>
      </c>
      <c r="Z9" s="1">
        <v>3.8E-3</v>
      </c>
      <c r="AA9" s="14">
        <f t="shared" si="7"/>
        <v>1.3784048752090222E-2</v>
      </c>
    </row>
    <row r="10" spans="1:27" ht="15.75" customHeight="1">
      <c r="A10" s="1" t="s">
        <v>243</v>
      </c>
      <c r="B10" s="1">
        <v>14</v>
      </c>
      <c r="C10" s="1">
        <v>14</v>
      </c>
      <c r="D10" s="1">
        <f t="shared" si="0"/>
        <v>28</v>
      </c>
      <c r="E10" s="1">
        <v>3.7400000000000003E-2</v>
      </c>
      <c r="F10" s="14">
        <f t="shared" si="1"/>
        <v>3.6547425158474374E-2</v>
      </c>
      <c r="H10" s="1" t="s">
        <v>243</v>
      </c>
      <c r="I10" s="1">
        <v>14</v>
      </c>
      <c r="J10" s="1">
        <v>14</v>
      </c>
      <c r="K10" s="1">
        <f t="shared" si="2"/>
        <v>28</v>
      </c>
      <c r="L10" s="1">
        <v>1.1900000000000001E-2</v>
      </c>
      <c r="M10" s="14">
        <f t="shared" si="3"/>
        <v>2.0615528128088305E-2</v>
      </c>
      <c r="O10" s="1" t="s">
        <v>243</v>
      </c>
      <c r="P10" s="1">
        <v>14</v>
      </c>
      <c r="Q10" s="1">
        <v>14</v>
      </c>
      <c r="R10" s="1">
        <f t="shared" si="4"/>
        <v>28</v>
      </c>
      <c r="S10" s="1">
        <v>3.5000000000000001E-3</v>
      </c>
      <c r="T10" s="14">
        <f t="shared" si="5"/>
        <v>1.1180339887498949E-2</v>
      </c>
      <c r="V10" s="1" t="s">
        <v>243</v>
      </c>
      <c r="W10" s="1">
        <v>14</v>
      </c>
      <c r="X10" s="1">
        <v>14</v>
      </c>
      <c r="Y10" s="1">
        <f t="shared" si="6"/>
        <v>28</v>
      </c>
      <c r="Z10" s="1">
        <v>7.9000000000000008E-3</v>
      </c>
      <c r="AA10" s="14">
        <f t="shared" si="7"/>
        <v>1.6797108594721211E-2</v>
      </c>
    </row>
    <row r="11" spans="1:27" ht="15.75" customHeight="1">
      <c r="A11" s="1" t="s">
        <v>244</v>
      </c>
      <c r="B11" s="1">
        <v>27</v>
      </c>
      <c r="C11" s="1">
        <v>27</v>
      </c>
      <c r="D11" s="1">
        <f t="shared" si="0"/>
        <v>54</v>
      </c>
      <c r="E11" s="1">
        <v>2.1899999999999999E-2</v>
      </c>
      <c r="F11" s="14">
        <f t="shared" si="1"/>
        <v>2.0138409955990953E-2</v>
      </c>
      <c r="H11" s="1" t="s">
        <v>244</v>
      </c>
      <c r="I11" s="1">
        <v>27</v>
      </c>
      <c r="J11" s="1">
        <v>27</v>
      </c>
      <c r="K11" s="1">
        <f t="shared" si="2"/>
        <v>54</v>
      </c>
      <c r="L11" s="1">
        <v>1.3899999999999999E-2</v>
      </c>
      <c r="M11" s="14">
        <f t="shared" si="3"/>
        <v>1.6043921197992944E-2</v>
      </c>
      <c r="O11" s="1" t="s">
        <v>244</v>
      </c>
      <c r="P11" s="1">
        <v>27</v>
      </c>
      <c r="Q11" s="1">
        <v>27</v>
      </c>
      <c r="R11" s="1">
        <f t="shared" si="4"/>
        <v>54</v>
      </c>
      <c r="S11" s="1">
        <v>4.4999999999999997E-3</v>
      </c>
      <c r="T11" s="14">
        <f t="shared" si="5"/>
        <v>9.1287092917527683E-3</v>
      </c>
      <c r="V11" s="1" t="s">
        <v>244</v>
      </c>
      <c r="W11" s="1">
        <v>27</v>
      </c>
      <c r="X11" s="1">
        <v>27</v>
      </c>
      <c r="Y11" s="1">
        <f t="shared" si="6"/>
        <v>54</v>
      </c>
      <c r="Z11" s="1">
        <v>8.9999999999999993E-3</v>
      </c>
      <c r="AA11" s="14">
        <f t="shared" si="7"/>
        <v>1.2909944487358056E-2</v>
      </c>
    </row>
    <row r="12" spans="1:27" ht="15.75" customHeight="1">
      <c r="A12" s="1" t="s">
        <v>245</v>
      </c>
      <c r="B12" s="1">
        <v>18</v>
      </c>
      <c r="C12" s="1">
        <v>18</v>
      </c>
      <c r="D12" s="1">
        <f t="shared" si="0"/>
        <v>36</v>
      </c>
      <c r="E12" s="1">
        <v>2.3199999999999998E-2</v>
      </c>
      <c r="F12" s="14">
        <f t="shared" si="1"/>
        <v>2.5385910352879695E-2</v>
      </c>
      <c r="H12" s="1" t="s">
        <v>245</v>
      </c>
      <c r="I12" s="1">
        <v>18</v>
      </c>
      <c r="J12" s="1">
        <v>18</v>
      </c>
      <c r="K12" s="1">
        <f t="shared" si="2"/>
        <v>36</v>
      </c>
      <c r="L12" s="1">
        <v>1.3100000000000001E-2</v>
      </c>
      <c r="M12" s="14">
        <f t="shared" si="3"/>
        <v>1.9075871903765997E-2</v>
      </c>
      <c r="O12" s="1" t="s">
        <v>245</v>
      </c>
      <c r="P12" s="1">
        <v>18</v>
      </c>
      <c r="Q12" s="1">
        <v>18</v>
      </c>
      <c r="R12" s="1">
        <f t="shared" si="4"/>
        <v>36</v>
      </c>
      <c r="S12" s="1">
        <v>3.8999999999999998E-3</v>
      </c>
      <c r="T12" s="14">
        <f t="shared" si="5"/>
        <v>1.0408329997330663E-2</v>
      </c>
      <c r="V12" s="1" t="s">
        <v>245</v>
      </c>
      <c r="W12" s="1">
        <v>18</v>
      </c>
      <c r="X12" s="1">
        <v>18</v>
      </c>
      <c r="Y12" s="1">
        <f t="shared" si="6"/>
        <v>36</v>
      </c>
      <c r="Z12" s="1">
        <v>8.2000000000000007E-3</v>
      </c>
      <c r="AA12" s="14">
        <f t="shared" si="7"/>
        <v>1.5092308563562362E-2</v>
      </c>
    </row>
    <row r="13" spans="1:27" ht="15.75" customHeight="1">
      <c r="A13" s="1" t="s">
        <v>246</v>
      </c>
      <c r="B13" s="1">
        <v>32</v>
      </c>
      <c r="C13" s="1">
        <v>32</v>
      </c>
      <c r="D13" s="1">
        <f t="shared" si="0"/>
        <v>64</v>
      </c>
      <c r="E13" s="1">
        <v>3.3399999999999999E-2</v>
      </c>
      <c r="F13" s="14">
        <f t="shared" si="1"/>
        <v>2.2844583603121332E-2</v>
      </c>
      <c r="H13" s="1" t="s">
        <v>246</v>
      </c>
      <c r="I13" s="1">
        <v>32</v>
      </c>
      <c r="J13" s="1">
        <v>32</v>
      </c>
      <c r="K13" s="1">
        <f t="shared" si="2"/>
        <v>64</v>
      </c>
      <c r="L13" s="1">
        <v>3.2500000000000001E-2</v>
      </c>
      <c r="M13" s="14">
        <f t="shared" si="3"/>
        <v>2.2534695471649935E-2</v>
      </c>
      <c r="O13" s="1" t="s">
        <v>246</v>
      </c>
      <c r="P13" s="1">
        <v>32</v>
      </c>
      <c r="Q13" s="1">
        <v>32</v>
      </c>
      <c r="R13" s="1">
        <f t="shared" si="4"/>
        <v>64</v>
      </c>
      <c r="S13" s="1">
        <v>1.1900000000000001E-2</v>
      </c>
      <c r="T13" s="14">
        <f t="shared" si="5"/>
        <v>1.3635890143294643E-2</v>
      </c>
      <c r="V13" s="1" t="s">
        <v>246</v>
      </c>
      <c r="W13" s="1">
        <v>32</v>
      </c>
      <c r="X13" s="1">
        <v>32</v>
      </c>
      <c r="Y13" s="1">
        <f t="shared" si="6"/>
        <v>64</v>
      </c>
      <c r="Z13" s="1">
        <v>3.0599999999999999E-2</v>
      </c>
      <c r="AA13" s="14">
        <f t="shared" si="7"/>
        <v>2.1866069605669877E-2</v>
      </c>
    </row>
    <row r="14" spans="1:27" ht="15.75" customHeight="1">
      <c r="A14" s="1" t="s">
        <v>247</v>
      </c>
      <c r="B14" s="1">
        <v>23</v>
      </c>
      <c r="C14" s="1">
        <v>23</v>
      </c>
      <c r="D14" s="1">
        <f t="shared" si="0"/>
        <v>46</v>
      </c>
      <c r="E14" s="1">
        <v>3.6700000000000003E-2</v>
      </c>
      <c r="F14" s="14">
        <f t="shared" si="1"/>
        <v>2.8245815388416775E-2</v>
      </c>
      <c r="H14" s="1" t="s">
        <v>247</v>
      </c>
      <c r="I14" s="1">
        <v>23</v>
      </c>
      <c r="J14" s="1">
        <v>23</v>
      </c>
      <c r="K14" s="1">
        <f t="shared" si="2"/>
        <v>46</v>
      </c>
      <c r="L14" s="1">
        <v>0.03</v>
      </c>
      <c r="M14" s="14">
        <f t="shared" si="3"/>
        <v>2.5537695922762456E-2</v>
      </c>
      <c r="O14" s="1" t="s">
        <v>247</v>
      </c>
      <c r="P14" s="1">
        <v>23</v>
      </c>
      <c r="Q14" s="1">
        <v>23</v>
      </c>
      <c r="R14" s="1">
        <f t="shared" si="4"/>
        <v>46</v>
      </c>
      <c r="S14" s="1">
        <v>1.0200000000000001E-2</v>
      </c>
      <c r="T14" s="14">
        <f t="shared" si="5"/>
        <v>1.4890907643081486E-2</v>
      </c>
      <c r="V14" s="1" t="s">
        <v>247</v>
      </c>
      <c r="W14" s="1">
        <v>23</v>
      </c>
      <c r="X14" s="1">
        <v>23</v>
      </c>
      <c r="Y14" s="1">
        <f t="shared" si="6"/>
        <v>46</v>
      </c>
      <c r="Z14" s="1">
        <v>2.8199999999999999E-2</v>
      </c>
      <c r="AA14" s="14">
        <f t="shared" si="7"/>
        <v>2.4759714825919734E-2</v>
      </c>
    </row>
    <row r="15" spans="1:27" ht="15.75" customHeight="1">
      <c r="A15" s="1" t="s">
        <v>248</v>
      </c>
      <c r="B15" s="1">
        <v>19</v>
      </c>
      <c r="C15" s="1">
        <v>19</v>
      </c>
      <c r="D15" s="1">
        <f t="shared" si="0"/>
        <v>38</v>
      </c>
      <c r="E15" s="1">
        <v>6.5600000000000006E-2</v>
      </c>
      <c r="F15" s="14">
        <f t="shared" si="1"/>
        <v>4.1548956538927477E-2</v>
      </c>
      <c r="H15" s="1" t="s">
        <v>248</v>
      </c>
      <c r="I15" s="1">
        <v>19</v>
      </c>
      <c r="J15" s="1">
        <v>19</v>
      </c>
      <c r="K15" s="1">
        <f t="shared" si="2"/>
        <v>38</v>
      </c>
      <c r="L15" s="1">
        <v>3.0599999999999999E-2</v>
      </c>
      <c r="M15" s="14">
        <f t="shared" si="3"/>
        <v>2.8377159087807517E-2</v>
      </c>
      <c r="O15" s="1" t="s">
        <v>248</v>
      </c>
      <c r="P15" s="1">
        <v>19</v>
      </c>
      <c r="Q15" s="1">
        <v>19</v>
      </c>
      <c r="R15" s="1">
        <f t="shared" si="4"/>
        <v>38</v>
      </c>
      <c r="S15" s="1">
        <v>8.6999999999999994E-3</v>
      </c>
      <c r="T15" s="14">
        <f t="shared" si="5"/>
        <v>1.5131006854173738E-2</v>
      </c>
      <c r="V15" s="1" t="s">
        <v>248</v>
      </c>
      <c r="W15" s="1">
        <v>19</v>
      </c>
      <c r="X15" s="1">
        <v>19</v>
      </c>
      <c r="Y15" s="1">
        <f t="shared" si="6"/>
        <v>38</v>
      </c>
      <c r="Z15" s="1">
        <v>3.3099999999999997E-2</v>
      </c>
      <c r="AA15" s="14">
        <f t="shared" si="7"/>
        <v>2.9513600789787535E-2</v>
      </c>
    </row>
    <row r="16" spans="1:27" ht="15.75" customHeight="1">
      <c r="A16" s="1" t="s">
        <v>249</v>
      </c>
      <c r="B16" s="1">
        <v>15</v>
      </c>
      <c r="C16" s="1">
        <v>15</v>
      </c>
      <c r="D16" s="1">
        <f t="shared" si="0"/>
        <v>30</v>
      </c>
      <c r="E16" s="1">
        <v>4.8899999999999999E-2</v>
      </c>
      <c r="F16" s="14">
        <f t="shared" si="1"/>
        <v>4.03732584763727E-2</v>
      </c>
      <c r="H16" s="1" t="s">
        <v>249</v>
      </c>
      <c r="I16" s="1">
        <v>15</v>
      </c>
      <c r="J16" s="1">
        <v>15</v>
      </c>
      <c r="K16" s="1">
        <f t="shared" si="2"/>
        <v>30</v>
      </c>
      <c r="L16" s="1">
        <v>1.9E-2</v>
      </c>
      <c r="M16" s="14">
        <f t="shared" si="3"/>
        <v>2.5166114784235832E-2</v>
      </c>
      <c r="O16" s="1" t="s">
        <v>249</v>
      </c>
      <c r="P16" s="1">
        <v>15</v>
      </c>
      <c r="Q16" s="1">
        <v>15</v>
      </c>
      <c r="R16" s="1">
        <f t="shared" si="4"/>
        <v>30</v>
      </c>
      <c r="S16" s="1">
        <v>4.4999999999999997E-3</v>
      </c>
      <c r="T16" s="14">
        <f t="shared" si="5"/>
        <v>1.2247448713915889E-2</v>
      </c>
      <c r="V16" s="1" t="s">
        <v>249</v>
      </c>
      <c r="W16" s="1">
        <v>15</v>
      </c>
      <c r="X16" s="1">
        <v>15</v>
      </c>
      <c r="Y16" s="1">
        <f t="shared" si="6"/>
        <v>30</v>
      </c>
      <c r="Z16" s="1">
        <v>1.6500000000000001E-2</v>
      </c>
      <c r="AA16" s="14">
        <f t="shared" si="7"/>
        <v>2.3452078799117149E-2</v>
      </c>
    </row>
    <row r="17" spans="1:27" ht="15.75" customHeight="1">
      <c r="A17" s="1" t="s">
        <v>250</v>
      </c>
      <c r="B17" s="1">
        <v>14</v>
      </c>
      <c r="C17" s="1">
        <v>14</v>
      </c>
      <c r="D17" s="1">
        <f t="shared" si="0"/>
        <v>28</v>
      </c>
      <c r="E17" s="1">
        <v>3.1199999999999999E-2</v>
      </c>
      <c r="F17" s="14">
        <f t="shared" si="1"/>
        <v>3.3380918415851203E-2</v>
      </c>
      <c r="H17" s="1" t="s">
        <v>250</v>
      </c>
      <c r="I17" s="1">
        <v>14</v>
      </c>
      <c r="J17" s="1">
        <v>14</v>
      </c>
      <c r="K17" s="1">
        <f t="shared" si="2"/>
        <v>28</v>
      </c>
      <c r="L17" s="1">
        <v>1.04E-2</v>
      </c>
      <c r="M17" s="14">
        <f t="shared" si="3"/>
        <v>1.9272482233188632E-2</v>
      </c>
      <c r="O17" s="1" t="s">
        <v>250</v>
      </c>
      <c r="P17" s="1">
        <v>14</v>
      </c>
      <c r="Q17" s="1">
        <v>14</v>
      </c>
      <c r="R17" s="1">
        <f t="shared" si="4"/>
        <v>28</v>
      </c>
      <c r="S17" s="1">
        <v>1.9E-3</v>
      </c>
      <c r="T17" s="14">
        <f t="shared" si="5"/>
        <v>8.2375447104791402E-3</v>
      </c>
      <c r="V17" s="1" t="s">
        <v>250</v>
      </c>
      <c r="W17" s="1">
        <v>14</v>
      </c>
      <c r="X17" s="1">
        <v>14</v>
      </c>
      <c r="Y17" s="1">
        <f t="shared" si="6"/>
        <v>28</v>
      </c>
      <c r="Z17" s="1">
        <v>7.1000000000000004E-3</v>
      </c>
      <c r="AA17" s="14">
        <f t="shared" si="7"/>
        <v>1.592392629257711E-2</v>
      </c>
    </row>
    <row r="18" spans="1:27" ht="15.75" customHeight="1">
      <c r="A18" s="1" t="s">
        <v>251</v>
      </c>
      <c r="B18" s="1">
        <v>27</v>
      </c>
      <c r="C18" s="1">
        <v>27</v>
      </c>
      <c r="D18" s="1">
        <f t="shared" si="0"/>
        <v>54</v>
      </c>
      <c r="E18" s="1">
        <v>1.54E-2</v>
      </c>
      <c r="F18" s="14">
        <f t="shared" si="1"/>
        <v>1.6887426837300736E-2</v>
      </c>
      <c r="H18" s="1" t="s">
        <v>251</v>
      </c>
      <c r="I18" s="1">
        <v>27</v>
      </c>
      <c r="J18" s="1">
        <v>27</v>
      </c>
      <c r="K18" s="1">
        <f t="shared" si="2"/>
        <v>54</v>
      </c>
      <c r="L18" s="1">
        <v>1.23E-2</v>
      </c>
      <c r="M18" s="14">
        <f t="shared" si="3"/>
        <v>1.509230856356236E-2</v>
      </c>
      <c r="O18" s="1" t="s">
        <v>251</v>
      </c>
      <c r="P18" s="1">
        <v>27</v>
      </c>
      <c r="Q18" s="1">
        <v>27</v>
      </c>
      <c r="R18" s="1">
        <f t="shared" si="4"/>
        <v>54</v>
      </c>
      <c r="S18" s="1">
        <v>3.8E-3</v>
      </c>
      <c r="T18" s="14">
        <f t="shared" si="5"/>
        <v>8.3887049280786108E-3</v>
      </c>
      <c r="V18" s="1" t="s">
        <v>251</v>
      </c>
      <c r="W18" s="1">
        <v>27</v>
      </c>
      <c r="X18" s="1">
        <v>27</v>
      </c>
      <c r="Y18" s="1">
        <f t="shared" si="6"/>
        <v>54</v>
      </c>
      <c r="Z18" s="1">
        <v>8.5000000000000006E-3</v>
      </c>
      <c r="AA18" s="14">
        <f t="shared" si="7"/>
        <v>1.2546210878484685E-2</v>
      </c>
    </row>
    <row r="19" spans="1:27" ht="15.75" customHeight="1">
      <c r="A19" s="1" t="s">
        <v>252</v>
      </c>
      <c r="B19" s="1">
        <v>18</v>
      </c>
      <c r="C19" s="1">
        <v>18</v>
      </c>
      <c r="D19" s="1">
        <f t="shared" si="0"/>
        <v>36</v>
      </c>
      <c r="E19" s="1">
        <v>1.55E-2</v>
      </c>
      <c r="F19" s="14">
        <f t="shared" si="1"/>
        <v>2.0749832663314555E-2</v>
      </c>
      <c r="H19" s="1" t="s">
        <v>252</v>
      </c>
      <c r="I19" s="1">
        <v>18</v>
      </c>
      <c r="J19" s="1">
        <v>18</v>
      </c>
      <c r="K19" s="1">
        <f t="shared" si="2"/>
        <v>36</v>
      </c>
      <c r="L19" s="1">
        <v>1.12E-2</v>
      </c>
      <c r="M19" s="14">
        <f t="shared" si="3"/>
        <v>1.7638342073763937E-2</v>
      </c>
      <c r="O19" s="1" t="s">
        <v>252</v>
      </c>
      <c r="P19" s="1">
        <v>18</v>
      </c>
      <c r="Q19" s="1">
        <v>18</v>
      </c>
      <c r="R19" s="1">
        <f t="shared" si="4"/>
        <v>36</v>
      </c>
      <c r="S19" s="1">
        <v>3.0000000000000001E-3</v>
      </c>
      <c r="T19" s="14">
        <f t="shared" si="5"/>
        <v>9.1287092917527683E-3</v>
      </c>
      <c r="V19" s="1" t="s">
        <v>252</v>
      </c>
      <c r="W19" s="1">
        <v>18</v>
      </c>
      <c r="X19" s="1">
        <v>18</v>
      </c>
      <c r="Y19" s="1">
        <f t="shared" si="6"/>
        <v>36</v>
      </c>
      <c r="Z19" s="1">
        <v>7.3000000000000001E-3</v>
      </c>
      <c r="AA19" s="14">
        <f t="shared" si="7"/>
        <v>1.4240006242195884E-2</v>
      </c>
    </row>
    <row r="20" spans="1:27" ht="15.75" customHeight="1">
      <c r="A20" s="1" t="s">
        <v>253</v>
      </c>
      <c r="B20" s="1">
        <v>12</v>
      </c>
      <c r="C20" s="1">
        <v>12</v>
      </c>
      <c r="D20" s="1">
        <f t="shared" si="0"/>
        <v>24</v>
      </c>
      <c r="E20" s="1">
        <v>5.5199999999999999E-2</v>
      </c>
      <c r="F20" s="14">
        <f t="shared" si="1"/>
        <v>4.7958315233127193E-2</v>
      </c>
      <c r="H20" s="1" t="s">
        <v>253</v>
      </c>
      <c r="I20" s="1">
        <v>12</v>
      </c>
      <c r="J20" s="1">
        <v>12</v>
      </c>
      <c r="K20" s="1">
        <f t="shared" si="2"/>
        <v>24</v>
      </c>
      <c r="L20" s="1">
        <v>5.4000000000000003E-3</v>
      </c>
      <c r="M20" s="14">
        <f t="shared" si="3"/>
        <v>1.5000000000000001E-2</v>
      </c>
      <c r="O20" s="1" t="s">
        <v>253</v>
      </c>
      <c r="P20" s="1">
        <v>12</v>
      </c>
      <c r="Q20" s="1">
        <v>12</v>
      </c>
      <c r="R20" s="1">
        <f t="shared" si="4"/>
        <v>24</v>
      </c>
      <c r="S20" s="1">
        <v>2.3E-3</v>
      </c>
      <c r="T20" s="14">
        <f t="shared" si="5"/>
        <v>9.7894501037256096E-3</v>
      </c>
      <c r="V20" s="1" t="s">
        <v>253</v>
      </c>
      <c r="W20" s="1">
        <v>12</v>
      </c>
      <c r="X20" s="1">
        <v>12</v>
      </c>
      <c r="Y20" s="1">
        <f t="shared" si="6"/>
        <v>24</v>
      </c>
      <c r="Z20" s="1">
        <v>3.5999999999999999E-3</v>
      </c>
      <c r="AA20" s="14">
        <f t="shared" si="7"/>
        <v>1.2247448713915889E-2</v>
      </c>
    </row>
    <row r="21" spans="1:27" ht="15.75" customHeight="1">
      <c r="A21" s="1" t="s">
        <v>254</v>
      </c>
      <c r="B21" s="1">
        <v>11</v>
      </c>
      <c r="C21" s="1">
        <v>11</v>
      </c>
      <c r="D21" s="1">
        <f t="shared" si="0"/>
        <v>22</v>
      </c>
      <c r="E21" s="1">
        <v>1.4200000000000001E-2</v>
      </c>
      <c r="F21" s="14">
        <f t="shared" si="1"/>
        <v>2.540579747724022E-2</v>
      </c>
      <c r="H21" s="1" t="s">
        <v>254</v>
      </c>
      <c r="I21" s="1">
        <v>11</v>
      </c>
      <c r="J21" s="1">
        <v>11</v>
      </c>
      <c r="K21" s="1">
        <f t="shared" si="2"/>
        <v>22</v>
      </c>
      <c r="L21" s="1">
        <v>6.4999999999999997E-3</v>
      </c>
      <c r="M21" s="14">
        <f t="shared" si="3"/>
        <v>1.7188791273808214E-2</v>
      </c>
      <c r="O21" s="1" t="s">
        <v>254</v>
      </c>
      <c r="P21" s="1">
        <v>11</v>
      </c>
      <c r="Q21" s="1">
        <v>11</v>
      </c>
      <c r="R21" s="1">
        <f t="shared" si="4"/>
        <v>22</v>
      </c>
      <c r="S21" s="1">
        <v>2.5000000000000001E-3</v>
      </c>
      <c r="T21" s="14">
        <f t="shared" si="5"/>
        <v>1.0660035817780522E-2</v>
      </c>
      <c r="V21" s="1" t="s">
        <v>254</v>
      </c>
      <c r="W21" s="1">
        <v>11</v>
      </c>
      <c r="X21" s="1">
        <v>11</v>
      </c>
      <c r="Y21" s="1">
        <f t="shared" si="6"/>
        <v>22</v>
      </c>
      <c r="Z21" s="1">
        <v>4.4000000000000003E-3</v>
      </c>
      <c r="AA21" s="14">
        <f t="shared" si="7"/>
        <v>1.4142135623730951E-2</v>
      </c>
    </row>
    <row r="22" spans="1:27" ht="15.75" customHeight="1">
      <c r="A22" s="1" t="s">
        <v>255</v>
      </c>
      <c r="B22" s="1">
        <v>28</v>
      </c>
      <c r="C22" s="1">
        <v>28</v>
      </c>
      <c r="D22" s="1">
        <f t="shared" si="0"/>
        <v>56</v>
      </c>
      <c r="E22" s="1">
        <v>3.1300000000000001E-2</v>
      </c>
      <c r="F22" s="14">
        <f t="shared" si="1"/>
        <v>2.3641670233479094E-2</v>
      </c>
      <c r="H22" s="1" t="s">
        <v>255</v>
      </c>
      <c r="I22" s="1">
        <v>28</v>
      </c>
      <c r="J22" s="1">
        <v>28</v>
      </c>
      <c r="K22" s="1">
        <f t="shared" si="2"/>
        <v>56</v>
      </c>
      <c r="L22" s="1">
        <v>4.6800000000000001E-2</v>
      </c>
      <c r="M22" s="14">
        <f t="shared" si="3"/>
        <v>2.8908723349782946E-2</v>
      </c>
      <c r="O22" s="1" t="s">
        <v>255</v>
      </c>
      <c r="P22" s="1">
        <v>28</v>
      </c>
      <c r="Q22" s="1">
        <v>28</v>
      </c>
      <c r="R22" s="1">
        <f t="shared" si="4"/>
        <v>56</v>
      </c>
      <c r="S22" s="1">
        <v>2.46E-2</v>
      </c>
      <c r="T22" s="14">
        <f t="shared" si="5"/>
        <v>2.0959143930173157E-2</v>
      </c>
      <c r="V22" s="1" t="s">
        <v>255</v>
      </c>
      <c r="W22" s="1">
        <v>28</v>
      </c>
      <c r="X22" s="1">
        <v>28</v>
      </c>
      <c r="Y22" s="1">
        <f t="shared" si="6"/>
        <v>56</v>
      </c>
      <c r="Z22" s="1">
        <v>4.1000000000000002E-2</v>
      </c>
      <c r="AA22" s="14">
        <f t="shared" si="7"/>
        <v>2.7058138464108303E-2</v>
      </c>
    </row>
    <row r="23" spans="1:27" ht="15.75" customHeight="1">
      <c r="A23" s="1" t="s">
        <v>256</v>
      </c>
      <c r="B23" s="1">
        <v>19</v>
      </c>
      <c r="C23" s="1">
        <v>19</v>
      </c>
      <c r="D23" s="1">
        <f t="shared" si="0"/>
        <v>38</v>
      </c>
      <c r="E23" s="1">
        <v>2.8799999999999999E-2</v>
      </c>
      <c r="F23" s="14">
        <f t="shared" si="1"/>
        <v>2.7529888064467413E-2</v>
      </c>
      <c r="H23" s="1" t="s">
        <v>256</v>
      </c>
      <c r="I23" s="1">
        <v>19</v>
      </c>
      <c r="J23" s="1">
        <v>19</v>
      </c>
      <c r="K23" s="1">
        <f t="shared" si="2"/>
        <v>38</v>
      </c>
      <c r="L23" s="1">
        <v>4.7E-2</v>
      </c>
      <c r="M23" s="14">
        <f t="shared" si="3"/>
        <v>3.5168766046922345E-2</v>
      </c>
      <c r="O23" s="1" t="s">
        <v>256</v>
      </c>
      <c r="P23" s="1">
        <v>19</v>
      </c>
      <c r="Q23" s="1">
        <v>19</v>
      </c>
      <c r="R23" s="1">
        <f t="shared" si="4"/>
        <v>38</v>
      </c>
      <c r="S23" s="1">
        <v>2.5000000000000001E-2</v>
      </c>
      <c r="T23" s="14">
        <f t="shared" si="5"/>
        <v>2.5649458802128853E-2</v>
      </c>
      <c r="V23" s="1" t="s">
        <v>256</v>
      </c>
      <c r="W23" s="1">
        <v>19</v>
      </c>
      <c r="X23" s="1">
        <v>19</v>
      </c>
      <c r="Y23" s="1">
        <f t="shared" si="6"/>
        <v>38</v>
      </c>
      <c r="Z23" s="1">
        <v>4.07E-2</v>
      </c>
      <c r="AA23" s="14">
        <f t="shared" si="7"/>
        <v>3.2726940455516877E-2</v>
      </c>
    </row>
    <row r="24" spans="1:27" ht="15.75" customHeight="1">
      <c r="A24" s="1" t="s">
        <v>257</v>
      </c>
      <c r="B24" s="1">
        <v>15</v>
      </c>
      <c r="C24" s="1">
        <v>15</v>
      </c>
      <c r="D24" s="1">
        <f t="shared" si="0"/>
        <v>30</v>
      </c>
      <c r="E24" s="1">
        <v>2.3900000000000001E-2</v>
      </c>
      <c r="F24" s="14">
        <f t="shared" si="1"/>
        <v>2.8225284173355396E-2</v>
      </c>
      <c r="H24" s="1" t="s">
        <v>257</v>
      </c>
      <c r="I24" s="1">
        <v>15</v>
      </c>
      <c r="J24" s="1">
        <v>15</v>
      </c>
      <c r="K24" s="1">
        <f t="shared" si="2"/>
        <v>30</v>
      </c>
      <c r="L24" s="1">
        <v>4.65E-2</v>
      </c>
      <c r="M24" s="14">
        <f t="shared" si="3"/>
        <v>3.9370039370059055E-2</v>
      </c>
      <c r="O24" s="1" t="s">
        <v>257</v>
      </c>
      <c r="P24" s="1">
        <v>15</v>
      </c>
      <c r="Q24" s="1">
        <v>15</v>
      </c>
      <c r="R24" s="1">
        <f t="shared" si="4"/>
        <v>30</v>
      </c>
      <c r="S24" s="1">
        <v>2.4199999999999999E-2</v>
      </c>
      <c r="T24" s="14">
        <f t="shared" si="5"/>
        <v>2.8401877872187724E-2</v>
      </c>
      <c r="V24" s="1" t="s">
        <v>257</v>
      </c>
      <c r="W24" s="1">
        <v>15</v>
      </c>
      <c r="X24" s="1">
        <v>15</v>
      </c>
      <c r="Y24" s="1">
        <f t="shared" si="6"/>
        <v>30</v>
      </c>
      <c r="Z24" s="1">
        <v>4.0899999999999999E-2</v>
      </c>
      <c r="AA24" s="14">
        <f t="shared" si="7"/>
        <v>3.6923344016127971E-2</v>
      </c>
    </row>
    <row r="25" spans="1:27" ht="15.75" customHeight="1">
      <c r="A25" s="1" t="s">
        <v>258</v>
      </c>
      <c r="B25" s="1">
        <v>11</v>
      </c>
      <c r="C25" s="1">
        <v>11</v>
      </c>
      <c r="D25" s="1">
        <f t="shared" si="0"/>
        <v>22</v>
      </c>
      <c r="E25" s="1">
        <v>2.5999999999999999E-2</v>
      </c>
      <c r="F25" s="14">
        <f t="shared" si="1"/>
        <v>3.4377582547616428E-2</v>
      </c>
      <c r="H25" s="1" t="s">
        <v>258</v>
      </c>
      <c r="I25" s="1">
        <v>11</v>
      </c>
      <c r="J25" s="1">
        <v>11</v>
      </c>
      <c r="K25" s="1">
        <f t="shared" si="2"/>
        <v>22</v>
      </c>
      <c r="L25" s="1">
        <v>3.27E-2</v>
      </c>
      <c r="M25" s="14">
        <f t="shared" si="3"/>
        <v>3.8553386833890951E-2</v>
      </c>
      <c r="O25" s="1" t="s">
        <v>258</v>
      </c>
      <c r="P25" s="1">
        <v>11</v>
      </c>
      <c r="Q25" s="1">
        <v>11</v>
      </c>
      <c r="R25" s="1">
        <f t="shared" si="4"/>
        <v>22</v>
      </c>
      <c r="S25" s="1">
        <v>2.0500000000000001E-2</v>
      </c>
      <c r="T25" s="14">
        <f t="shared" si="5"/>
        <v>3.0525697073419664E-2</v>
      </c>
      <c r="V25" s="1" t="s">
        <v>258</v>
      </c>
      <c r="W25" s="1">
        <v>11</v>
      </c>
      <c r="X25" s="1">
        <v>11</v>
      </c>
      <c r="Y25" s="1">
        <f t="shared" si="6"/>
        <v>22</v>
      </c>
      <c r="Z25" s="1">
        <v>2.8400000000000002E-2</v>
      </c>
      <c r="AA25" s="14">
        <f t="shared" si="7"/>
        <v>3.5929223355217282E-2</v>
      </c>
    </row>
    <row r="26" spans="1:27" ht="15.75" customHeight="1">
      <c r="A26" s="1" t="s">
        <v>259</v>
      </c>
      <c r="B26" s="1">
        <v>19</v>
      </c>
      <c r="C26" s="1">
        <v>19</v>
      </c>
      <c r="D26" s="1">
        <f t="shared" si="0"/>
        <v>38</v>
      </c>
      <c r="E26" s="1">
        <v>3.85E-2</v>
      </c>
      <c r="F26" s="14">
        <f t="shared" si="1"/>
        <v>3.1830141293070664E-2</v>
      </c>
      <c r="H26" s="1" t="s">
        <v>259</v>
      </c>
      <c r="I26" s="1">
        <v>19</v>
      </c>
      <c r="J26" s="1">
        <v>19</v>
      </c>
      <c r="K26" s="1">
        <f t="shared" si="2"/>
        <v>38</v>
      </c>
      <c r="L26" s="1">
        <v>1.12E-2</v>
      </c>
      <c r="M26" s="14">
        <f t="shared" si="3"/>
        <v>1.7167901505579043E-2</v>
      </c>
      <c r="O26" s="1" t="s">
        <v>259</v>
      </c>
      <c r="P26" s="1">
        <v>19</v>
      </c>
      <c r="Q26" s="1">
        <v>19</v>
      </c>
      <c r="R26" s="1">
        <f t="shared" si="4"/>
        <v>38</v>
      </c>
      <c r="S26" s="1">
        <v>3.8E-3</v>
      </c>
      <c r="T26" s="14">
        <f t="shared" si="5"/>
        <v>0.01</v>
      </c>
      <c r="V26" s="1" t="s">
        <v>259</v>
      </c>
      <c r="W26" s="1">
        <v>19</v>
      </c>
      <c r="X26" s="1">
        <v>19</v>
      </c>
      <c r="Y26" s="1">
        <f t="shared" si="6"/>
        <v>38</v>
      </c>
      <c r="Z26" s="1">
        <v>9.7000000000000003E-3</v>
      </c>
      <c r="AA26" s="14">
        <f t="shared" si="7"/>
        <v>1.597695709122162E-2</v>
      </c>
    </row>
    <row r="27" spans="1:27" ht="15.75" customHeight="1">
      <c r="A27" s="1" t="s">
        <v>260</v>
      </c>
      <c r="B27" s="1">
        <v>32</v>
      </c>
      <c r="C27" s="1">
        <v>32</v>
      </c>
      <c r="D27" s="1">
        <f t="shared" si="0"/>
        <v>64</v>
      </c>
      <c r="E27" s="1">
        <v>2.1899999999999999E-2</v>
      </c>
      <c r="F27" s="14">
        <f t="shared" si="1"/>
        <v>1.8498310733685928E-2</v>
      </c>
      <c r="H27" s="1" t="s">
        <v>260</v>
      </c>
      <c r="I27" s="1">
        <v>32</v>
      </c>
      <c r="J27" s="1">
        <v>32</v>
      </c>
      <c r="K27" s="1">
        <f t="shared" si="2"/>
        <v>64</v>
      </c>
      <c r="L27" s="1">
        <v>1.4800000000000001E-2</v>
      </c>
      <c r="M27" s="14">
        <f t="shared" si="3"/>
        <v>1.520690632574555E-2</v>
      </c>
      <c r="O27" s="1" t="s">
        <v>260</v>
      </c>
      <c r="P27" s="1">
        <v>32</v>
      </c>
      <c r="Q27" s="1">
        <v>32</v>
      </c>
      <c r="R27" s="1">
        <f t="shared" si="4"/>
        <v>64</v>
      </c>
      <c r="S27" s="1">
        <v>5.8999999999999999E-3</v>
      </c>
      <c r="T27" s="14">
        <f t="shared" si="5"/>
        <v>9.6014321848357596E-3</v>
      </c>
      <c r="V27" s="1" t="s">
        <v>260</v>
      </c>
      <c r="W27" s="1">
        <v>32</v>
      </c>
      <c r="X27" s="1">
        <v>32</v>
      </c>
      <c r="Y27" s="1">
        <f t="shared" si="6"/>
        <v>64</v>
      </c>
      <c r="Z27" s="1">
        <v>1.15E-2</v>
      </c>
      <c r="AA27" s="14">
        <f t="shared" si="7"/>
        <v>1.340475661845451E-2</v>
      </c>
    </row>
    <row r="28" spans="1:27" ht="15.75" customHeight="1">
      <c r="A28" s="1" t="s">
        <v>261</v>
      </c>
      <c r="B28" s="1">
        <v>23</v>
      </c>
      <c r="C28" s="1">
        <v>23</v>
      </c>
      <c r="D28" s="1">
        <f t="shared" si="0"/>
        <v>46</v>
      </c>
      <c r="E28" s="1">
        <v>2.35E-2</v>
      </c>
      <c r="F28" s="14">
        <f t="shared" si="1"/>
        <v>2.2602423879252227E-2</v>
      </c>
      <c r="H28" s="1" t="s">
        <v>261</v>
      </c>
      <c r="I28" s="1">
        <v>23</v>
      </c>
      <c r="J28" s="1">
        <v>23</v>
      </c>
      <c r="K28" s="1">
        <f t="shared" si="2"/>
        <v>46</v>
      </c>
      <c r="L28" s="1">
        <v>1.41E-2</v>
      </c>
      <c r="M28" s="14">
        <f t="shared" si="3"/>
        <v>1.7507762253652942E-2</v>
      </c>
      <c r="O28" s="1" t="s">
        <v>261</v>
      </c>
      <c r="P28" s="1">
        <v>23</v>
      </c>
      <c r="Q28" s="1">
        <v>23</v>
      </c>
      <c r="R28" s="1">
        <f t="shared" si="4"/>
        <v>46</v>
      </c>
      <c r="S28" s="1">
        <v>5.3E-3</v>
      </c>
      <c r="T28" s="14">
        <f t="shared" si="5"/>
        <v>1.0733936430981313E-2</v>
      </c>
      <c r="V28" s="1" t="s">
        <v>261</v>
      </c>
      <c r="W28" s="1">
        <v>23</v>
      </c>
      <c r="X28" s="1">
        <v>23</v>
      </c>
      <c r="Y28" s="1">
        <f t="shared" si="6"/>
        <v>46</v>
      </c>
      <c r="Z28" s="1">
        <v>1.0800000000000001E-2</v>
      </c>
      <c r="AA28" s="14">
        <f t="shared" si="7"/>
        <v>1.5322617553657474E-2</v>
      </c>
    </row>
    <row r="30" spans="1:27" ht="15.75" customHeight="1">
      <c r="E30" s="1" t="s">
        <v>276</v>
      </c>
      <c r="F30" s="14">
        <f>AVERAGE(F4:F28)</f>
        <v>2.9747591436193859E-2</v>
      </c>
      <c r="L30" s="1" t="s">
        <v>276</v>
      </c>
      <c r="M30" s="14">
        <f>AVERAGE(M4:M28)</f>
        <v>2.3932729269114515E-2</v>
      </c>
      <c r="S30" s="1" t="s">
        <v>276</v>
      </c>
      <c r="T30" s="14">
        <f>AVERAGE(T4:T28)</f>
        <v>1.4193054029287883E-2</v>
      </c>
      <c r="Z30" s="1" t="s">
        <v>276</v>
      </c>
      <c r="AA30" s="14">
        <f>AVERAGE(AA4:AA28)</f>
        <v>2.1297205801216121E-2</v>
      </c>
    </row>
    <row r="31" spans="1:27" ht="15.75" customHeight="1">
      <c r="A31" s="1" t="s">
        <v>36</v>
      </c>
      <c r="C31" s="1" t="s">
        <v>278</v>
      </c>
      <c r="H31" s="1" t="s">
        <v>39</v>
      </c>
      <c r="J31" s="1" t="s">
        <v>278</v>
      </c>
      <c r="O31" s="1" t="s">
        <v>38</v>
      </c>
      <c r="Q31" s="1" t="s">
        <v>278</v>
      </c>
      <c r="V31" s="1" t="s">
        <v>263</v>
      </c>
      <c r="X31" s="1" t="s">
        <v>278</v>
      </c>
    </row>
    <row r="32" spans="1:27" ht="15.75" customHeight="1">
      <c r="A32" s="1" t="s">
        <v>231</v>
      </c>
      <c r="B32" s="1" t="s">
        <v>292</v>
      </c>
      <c r="C32" s="1" t="s">
        <v>293</v>
      </c>
      <c r="D32" s="1" t="s">
        <v>294</v>
      </c>
      <c r="E32" s="1" t="s">
        <v>295</v>
      </c>
      <c r="F32" s="1" t="s">
        <v>296</v>
      </c>
      <c r="H32" s="1" t="s">
        <v>231</v>
      </c>
      <c r="I32" s="1" t="s">
        <v>292</v>
      </c>
      <c r="J32" s="1" t="s">
        <v>293</v>
      </c>
      <c r="K32" s="1" t="s">
        <v>294</v>
      </c>
      <c r="L32" s="1" t="s">
        <v>295</v>
      </c>
      <c r="M32" s="1" t="s">
        <v>296</v>
      </c>
      <c r="O32" s="1" t="s">
        <v>231</v>
      </c>
      <c r="P32" s="1" t="s">
        <v>292</v>
      </c>
      <c r="Q32" s="1" t="s">
        <v>293</v>
      </c>
      <c r="R32" s="1" t="s">
        <v>294</v>
      </c>
      <c r="S32" s="1" t="s">
        <v>295</v>
      </c>
      <c r="T32" s="1" t="s">
        <v>296</v>
      </c>
      <c r="V32" s="1" t="s">
        <v>231</v>
      </c>
      <c r="W32" s="1" t="s">
        <v>292</v>
      </c>
      <c r="X32" s="1" t="s">
        <v>293</v>
      </c>
      <c r="Y32" s="1" t="s">
        <v>294</v>
      </c>
      <c r="Z32" s="1" t="s">
        <v>295</v>
      </c>
      <c r="AA32" s="1" t="s">
        <v>296</v>
      </c>
    </row>
    <row r="33" spans="1:27" ht="15.75" customHeight="1">
      <c r="A33" s="1" t="s">
        <v>237</v>
      </c>
      <c r="B33" s="1">
        <v>19</v>
      </c>
      <c r="C33" s="1">
        <v>17</v>
      </c>
      <c r="D33" s="1">
        <f t="shared" ref="D33:D57" si="8">SUM(B33:C33)</f>
        <v>36</v>
      </c>
      <c r="E33" s="1">
        <v>8.4099999999999994E-2</v>
      </c>
      <c r="F33" s="14">
        <f t="shared" ref="F33:F57" si="9">SQRT(E33/D33)</f>
        <v>4.8333333333333332E-2</v>
      </c>
      <c r="H33" s="1" t="s">
        <v>237</v>
      </c>
      <c r="I33" s="1">
        <v>19</v>
      </c>
      <c r="J33" s="1">
        <v>17</v>
      </c>
      <c r="K33" s="1">
        <f t="shared" ref="K33:K57" si="10">SUM(I33:J33)</f>
        <v>36</v>
      </c>
      <c r="L33" s="1">
        <v>0.88100000000000001</v>
      </c>
      <c r="M33" s="14">
        <f t="shared" ref="M33:M57" si="11">SQRT(L33/K33)</f>
        <v>0.15643600040343086</v>
      </c>
      <c r="O33" s="1" t="s">
        <v>237</v>
      </c>
      <c r="P33" s="1">
        <v>19</v>
      </c>
      <c r="Q33" s="1">
        <v>17</v>
      </c>
      <c r="R33" s="1">
        <f t="shared" ref="R33:R57" si="12">SUM(P33:Q33)</f>
        <v>36</v>
      </c>
      <c r="S33" s="1">
        <v>9.9699999999999997E-2</v>
      </c>
      <c r="T33" s="14">
        <f t="shared" ref="T33:T57" si="13">SQRT(S33/R33)</f>
        <v>5.2625511346156478E-2</v>
      </c>
      <c r="V33" s="1" t="s">
        <v>237</v>
      </c>
      <c r="W33" s="1">
        <v>19</v>
      </c>
      <c r="X33" s="1">
        <v>17</v>
      </c>
      <c r="Y33" s="1">
        <f t="shared" ref="Y33:Y57" si="14">SUM(W33:X33)</f>
        <v>36</v>
      </c>
      <c r="Z33" s="1">
        <v>0.57799999999999996</v>
      </c>
      <c r="AA33" s="14">
        <f t="shared" ref="AA33:AA57" si="15">SQRT(Z33/Y33)</f>
        <v>0.12671051872498809</v>
      </c>
    </row>
    <row r="34" spans="1:27" ht="15.75" customHeight="1">
      <c r="A34" s="1" t="s">
        <v>238</v>
      </c>
      <c r="B34" s="1">
        <v>15</v>
      </c>
      <c r="C34" s="1">
        <v>13</v>
      </c>
      <c r="D34" s="1">
        <f t="shared" si="8"/>
        <v>28</v>
      </c>
      <c r="E34" s="1">
        <v>6.8699999999999997E-2</v>
      </c>
      <c r="F34" s="14">
        <f t="shared" si="9"/>
        <v>4.953353842167374E-2</v>
      </c>
      <c r="H34" s="1" t="s">
        <v>238</v>
      </c>
      <c r="I34" s="1">
        <v>15</v>
      </c>
      <c r="J34" s="1">
        <v>13</v>
      </c>
      <c r="K34" s="1">
        <f t="shared" si="10"/>
        <v>28</v>
      </c>
      <c r="L34" s="1">
        <v>2.1299999999999999E-2</v>
      </c>
      <c r="M34" s="14">
        <f t="shared" si="11"/>
        <v>2.758104939472546E-2</v>
      </c>
      <c r="O34" s="1" t="s">
        <v>238</v>
      </c>
      <c r="P34" s="1">
        <v>15</v>
      </c>
      <c r="Q34" s="1">
        <v>13</v>
      </c>
      <c r="R34" s="1">
        <f t="shared" si="12"/>
        <v>28</v>
      </c>
      <c r="S34" s="1">
        <v>1.1299999999999999E-2</v>
      </c>
      <c r="T34" s="14">
        <f t="shared" si="13"/>
        <v>2.0089087300607475E-2</v>
      </c>
      <c r="V34" s="1" t="s">
        <v>238</v>
      </c>
      <c r="W34" s="1">
        <v>15</v>
      </c>
      <c r="X34" s="1">
        <v>13</v>
      </c>
      <c r="Y34" s="1">
        <f t="shared" si="14"/>
        <v>28</v>
      </c>
      <c r="Z34" s="1">
        <v>1.77E-2</v>
      </c>
      <c r="AA34" s="14">
        <f t="shared" si="15"/>
        <v>2.5142451295425774E-2</v>
      </c>
    </row>
    <row r="35" spans="1:27" ht="15.75" customHeight="1">
      <c r="A35" s="1" t="s">
        <v>239</v>
      </c>
      <c r="B35" s="1">
        <v>11</v>
      </c>
      <c r="C35" s="1">
        <v>9</v>
      </c>
      <c r="D35" s="1">
        <f t="shared" si="8"/>
        <v>20</v>
      </c>
      <c r="E35" s="1">
        <v>2.2499999999999999E-2</v>
      </c>
      <c r="F35" s="14">
        <f t="shared" si="9"/>
        <v>3.3541019662496847E-2</v>
      </c>
      <c r="H35" s="1" t="s">
        <v>239</v>
      </c>
      <c r="I35" s="1">
        <v>11</v>
      </c>
      <c r="J35" s="1">
        <v>9</v>
      </c>
      <c r="K35" s="1">
        <f t="shared" si="10"/>
        <v>20</v>
      </c>
      <c r="L35" s="1">
        <v>1.4200000000000001E-2</v>
      </c>
      <c r="M35" s="14">
        <f t="shared" si="11"/>
        <v>2.6645825188948456E-2</v>
      </c>
      <c r="O35" s="1" t="s">
        <v>239</v>
      </c>
      <c r="P35" s="1">
        <v>11</v>
      </c>
      <c r="Q35" s="1">
        <v>9</v>
      </c>
      <c r="R35" s="1">
        <f t="shared" si="12"/>
        <v>20</v>
      </c>
      <c r="S35" s="1">
        <v>7.1000000000000004E-3</v>
      </c>
      <c r="T35" s="14">
        <f t="shared" si="13"/>
        <v>1.8841443681416773E-2</v>
      </c>
      <c r="V35" s="1" t="s">
        <v>239</v>
      </c>
      <c r="W35" s="1">
        <v>11</v>
      </c>
      <c r="X35" s="1">
        <v>9</v>
      </c>
      <c r="Y35" s="1">
        <f t="shared" si="14"/>
        <v>20</v>
      </c>
      <c r="Z35" s="1">
        <v>1.06E-2</v>
      </c>
      <c r="AA35" s="14">
        <f t="shared" si="15"/>
        <v>2.3021728866442676E-2</v>
      </c>
    </row>
    <row r="36" spans="1:27" ht="15.75" customHeight="1">
      <c r="A36" s="1" t="s">
        <v>240</v>
      </c>
      <c r="B36" s="1">
        <v>19</v>
      </c>
      <c r="C36" s="1">
        <v>17</v>
      </c>
      <c r="D36" s="1">
        <f t="shared" si="8"/>
        <v>36</v>
      </c>
      <c r="E36" s="1">
        <v>2.9700000000000001E-2</v>
      </c>
      <c r="F36" s="14">
        <f t="shared" si="9"/>
        <v>2.8722813232690145E-2</v>
      </c>
      <c r="H36" s="1" t="s">
        <v>240</v>
      </c>
      <c r="I36" s="1">
        <v>19</v>
      </c>
      <c r="J36" s="1">
        <v>17</v>
      </c>
      <c r="K36" s="1">
        <f t="shared" si="10"/>
        <v>36</v>
      </c>
      <c r="L36" s="1">
        <v>2.1499999999999998E-2</v>
      </c>
      <c r="M36" s="14">
        <f t="shared" si="11"/>
        <v>2.4438130497691966E-2</v>
      </c>
      <c r="O36" s="1" t="s">
        <v>240</v>
      </c>
      <c r="P36" s="1">
        <v>19</v>
      </c>
      <c r="Q36" s="1">
        <v>17</v>
      </c>
      <c r="R36" s="1">
        <f t="shared" si="12"/>
        <v>36</v>
      </c>
      <c r="S36" s="1">
        <v>1.18E-2</v>
      </c>
      <c r="T36" s="14">
        <f t="shared" si="13"/>
        <v>1.8104634152000358E-2</v>
      </c>
      <c r="V36" s="1" t="s">
        <v>240</v>
      </c>
      <c r="W36" s="1">
        <v>19</v>
      </c>
      <c r="X36" s="1">
        <v>17</v>
      </c>
      <c r="Y36" s="1">
        <f t="shared" si="14"/>
        <v>36</v>
      </c>
      <c r="Z36" s="1">
        <v>1.6199999999999999E-2</v>
      </c>
      <c r="AA36" s="14">
        <f t="shared" si="15"/>
        <v>2.1213203435596427E-2</v>
      </c>
    </row>
    <row r="37" spans="1:27" ht="15.75" customHeight="1">
      <c r="A37" s="1" t="s">
        <v>241</v>
      </c>
      <c r="B37" s="1">
        <v>15</v>
      </c>
      <c r="C37" s="1">
        <v>13</v>
      </c>
      <c r="D37" s="1">
        <f t="shared" si="8"/>
        <v>28</v>
      </c>
      <c r="E37" s="1">
        <v>2.52E-2</v>
      </c>
      <c r="F37" s="14">
        <f t="shared" si="9"/>
        <v>0.03</v>
      </c>
      <c r="H37" s="1" t="s">
        <v>241</v>
      </c>
      <c r="I37" s="1">
        <v>15</v>
      </c>
      <c r="J37" s="1">
        <v>13</v>
      </c>
      <c r="K37" s="1">
        <f t="shared" si="10"/>
        <v>28</v>
      </c>
      <c r="L37" s="1">
        <v>0.51629999999999998</v>
      </c>
      <c r="M37" s="14">
        <f t="shared" si="11"/>
        <v>0.1357913315137815</v>
      </c>
      <c r="O37" s="1" t="s">
        <v>241</v>
      </c>
      <c r="P37" s="1">
        <v>15</v>
      </c>
      <c r="Q37" s="1">
        <v>13</v>
      </c>
      <c r="R37" s="1">
        <f t="shared" si="12"/>
        <v>28</v>
      </c>
      <c r="S37" s="1">
        <v>1.29E-2</v>
      </c>
      <c r="T37" s="14">
        <f t="shared" si="13"/>
        <v>2.1464256001881028E-2</v>
      </c>
      <c r="V37" s="1" t="s">
        <v>241</v>
      </c>
      <c r="W37" s="1">
        <v>15</v>
      </c>
      <c r="X37" s="1">
        <v>13</v>
      </c>
      <c r="Y37" s="1">
        <f t="shared" si="14"/>
        <v>28</v>
      </c>
      <c r="Z37" s="1">
        <v>0.28039999999999998</v>
      </c>
      <c r="AA37" s="14">
        <f t="shared" si="15"/>
        <v>0.10007140307942981</v>
      </c>
    </row>
    <row r="38" spans="1:27" ht="15.75" customHeight="1">
      <c r="A38" s="1" t="s">
        <v>242</v>
      </c>
      <c r="B38" s="1">
        <v>11</v>
      </c>
      <c r="C38" s="1">
        <v>9</v>
      </c>
      <c r="D38" s="1">
        <f t="shared" si="8"/>
        <v>20</v>
      </c>
      <c r="E38" s="1">
        <v>1.14E-2</v>
      </c>
      <c r="F38" s="14">
        <f t="shared" si="9"/>
        <v>2.3874672772626643E-2</v>
      </c>
      <c r="H38" s="1" t="s">
        <v>242</v>
      </c>
      <c r="I38" s="1">
        <v>11</v>
      </c>
      <c r="J38" s="1">
        <v>9</v>
      </c>
      <c r="K38" s="1">
        <f t="shared" si="10"/>
        <v>20</v>
      </c>
      <c r="L38" s="1">
        <v>9.7000000000000003E-3</v>
      </c>
      <c r="M38" s="14">
        <f t="shared" si="11"/>
        <v>2.2022715545545243E-2</v>
      </c>
      <c r="O38" s="1" t="s">
        <v>242</v>
      </c>
      <c r="P38" s="1">
        <v>11</v>
      </c>
      <c r="Q38" s="1">
        <v>9</v>
      </c>
      <c r="R38" s="1">
        <f t="shared" si="12"/>
        <v>20</v>
      </c>
      <c r="S38" s="1">
        <v>4.7000000000000002E-3</v>
      </c>
      <c r="T38" s="14">
        <f t="shared" si="13"/>
        <v>1.5329709716755893E-2</v>
      </c>
      <c r="V38" s="1" t="s">
        <v>242</v>
      </c>
      <c r="W38" s="1">
        <v>11</v>
      </c>
      <c r="X38" s="1">
        <v>9</v>
      </c>
      <c r="Y38" s="1">
        <f t="shared" si="14"/>
        <v>20</v>
      </c>
      <c r="Z38" s="1">
        <v>7.4000000000000003E-3</v>
      </c>
      <c r="AA38" s="14">
        <f t="shared" si="15"/>
        <v>1.9235384061671346E-2</v>
      </c>
    </row>
    <row r="39" spans="1:27" ht="15.75" customHeight="1">
      <c r="A39" s="1" t="s">
        <v>243</v>
      </c>
      <c r="B39" s="1">
        <v>15</v>
      </c>
      <c r="C39" s="1">
        <v>13</v>
      </c>
      <c r="D39" s="1">
        <f t="shared" si="8"/>
        <v>28</v>
      </c>
      <c r="E39" s="1">
        <v>2.3400000000000001E-2</v>
      </c>
      <c r="F39" s="14">
        <f t="shared" si="9"/>
        <v>2.8908723349782946E-2</v>
      </c>
      <c r="H39" s="1" t="s">
        <v>243</v>
      </c>
      <c r="I39" s="1">
        <v>15</v>
      </c>
      <c r="J39" s="1">
        <v>13</v>
      </c>
      <c r="K39" s="1">
        <f t="shared" si="10"/>
        <v>28</v>
      </c>
      <c r="L39" s="1">
        <v>3.6999999999999998E-2</v>
      </c>
      <c r="M39" s="14">
        <f t="shared" si="11"/>
        <v>3.635145899999849E-2</v>
      </c>
      <c r="O39" s="1" t="s">
        <v>243</v>
      </c>
      <c r="P39" s="1">
        <v>15</v>
      </c>
      <c r="Q39" s="1">
        <v>13</v>
      </c>
      <c r="R39" s="1">
        <f t="shared" si="12"/>
        <v>28</v>
      </c>
      <c r="S39" s="1">
        <v>1.4500000000000001E-2</v>
      </c>
      <c r="T39" s="14">
        <f t="shared" si="13"/>
        <v>2.2756474745819988E-2</v>
      </c>
      <c r="V39" s="1" t="s">
        <v>243</v>
      </c>
      <c r="W39" s="1">
        <v>15</v>
      </c>
      <c r="X39" s="1">
        <v>13</v>
      </c>
      <c r="Y39" s="1">
        <f t="shared" si="14"/>
        <v>28</v>
      </c>
      <c r="Z39" s="1">
        <v>2.7E-2</v>
      </c>
      <c r="AA39" s="14">
        <f t="shared" si="15"/>
        <v>3.1052950170405939E-2</v>
      </c>
    </row>
    <row r="40" spans="1:27" ht="15.75" customHeight="1">
      <c r="A40" s="1" t="s">
        <v>244</v>
      </c>
      <c r="B40" s="1">
        <v>28</v>
      </c>
      <c r="C40" s="1">
        <v>26</v>
      </c>
      <c r="D40" s="1">
        <f t="shared" si="8"/>
        <v>54</v>
      </c>
      <c r="E40" s="1">
        <v>2.29E-2</v>
      </c>
      <c r="F40" s="14">
        <f t="shared" si="9"/>
        <v>2.0593058880945155E-2</v>
      </c>
      <c r="H40" s="1" t="s">
        <v>244</v>
      </c>
      <c r="I40" s="1">
        <v>28</v>
      </c>
      <c r="J40" s="1">
        <v>26</v>
      </c>
      <c r="K40" s="1">
        <f t="shared" si="10"/>
        <v>54</v>
      </c>
      <c r="L40" s="1">
        <v>2.8400000000000002E-2</v>
      </c>
      <c r="M40" s="14">
        <f t="shared" si="11"/>
        <v>2.2933074933944773E-2</v>
      </c>
      <c r="O40" s="1" t="s">
        <v>244</v>
      </c>
      <c r="P40" s="1">
        <v>28</v>
      </c>
      <c r="Q40" s="1">
        <v>26</v>
      </c>
      <c r="R40" s="1">
        <f t="shared" si="12"/>
        <v>54</v>
      </c>
      <c r="S40" s="1">
        <v>1.34E-2</v>
      </c>
      <c r="T40" s="14">
        <f t="shared" si="13"/>
        <v>1.5752718754175363E-2</v>
      </c>
      <c r="V40" s="1" t="s">
        <v>244</v>
      </c>
      <c r="W40" s="1">
        <v>28</v>
      </c>
      <c r="X40" s="1">
        <v>26</v>
      </c>
      <c r="Y40" s="1">
        <f t="shared" si="14"/>
        <v>54</v>
      </c>
      <c r="Z40" s="1">
        <v>2.0799999999999999E-2</v>
      </c>
      <c r="AA40" s="14">
        <f t="shared" si="15"/>
        <v>1.9626135258506327E-2</v>
      </c>
    </row>
    <row r="41" spans="1:27" ht="15.75" customHeight="1">
      <c r="A41" s="1" t="s">
        <v>245</v>
      </c>
      <c r="B41" s="1">
        <v>19</v>
      </c>
      <c r="C41" s="1">
        <v>17</v>
      </c>
      <c r="D41" s="1">
        <f t="shared" si="8"/>
        <v>36</v>
      </c>
      <c r="E41" s="1">
        <v>2.0899999999999998E-2</v>
      </c>
      <c r="F41" s="14">
        <f t="shared" si="9"/>
        <v>2.4094720491334935E-2</v>
      </c>
      <c r="H41" s="1" t="s">
        <v>245</v>
      </c>
      <c r="I41" s="1">
        <v>19</v>
      </c>
      <c r="J41" s="1">
        <v>17</v>
      </c>
      <c r="K41" s="1">
        <f t="shared" si="10"/>
        <v>36</v>
      </c>
      <c r="L41" s="1">
        <v>2.98E-2</v>
      </c>
      <c r="M41" s="14">
        <f t="shared" si="11"/>
        <v>2.8771127502720113E-2</v>
      </c>
      <c r="O41" s="1" t="s">
        <v>245</v>
      </c>
      <c r="P41" s="1">
        <v>19</v>
      </c>
      <c r="Q41" s="1">
        <v>17</v>
      </c>
      <c r="R41" s="1">
        <f t="shared" si="12"/>
        <v>36</v>
      </c>
      <c r="S41" s="1">
        <v>1.34E-2</v>
      </c>
      <c r="T41" s="14">
        <f t="shared" si="13"/>
        <v>1.9293061504650377E-2</v>
      </c>
      <c r="V41" s="1" t="s">
        <v>245</v>
      </c>
      <c r="W41" s="1">
        <v>19</v>
      </c>
      <c r="X41" s="1">
        <v>17</v>
      </c>
      <c r="Y41" s="1">
        <f t="shared" si="14"/>
        <v>36</v>
      </c>
      <c r="Z41" s="1">
        <v>2.1100000000000001E-2</v>
      </c>
      <c r="AA41" s="14">
        <f t="shared" si="15"/>
        <v>2.4209731743889917E-2</v>
      </c>
    </row>
    <row r="42" spans="1:27" ht="15.75" customHeight="1">
      <c r="A42" s="1" t="s">
        <v>246</v>
      </c>
      <c r="B42" s="1">
        <v>33</v>
      </c>
      <c r="C42" s="1">
        <v>31</v>
      </c>
      <c r="D42" s="1">
        <f t="shared" si="8"/>
        <v>64</v>
      </c>
      <c r="E42" s="1">
        <v>6.5199999999999994E-2</v>
      </c>
      <c r="F42" s="14">
        <f t="shared" si="9"/>
        <v>3.1917863337009258E-2</v>
      </c>
      <c r="H42" s="1" t="s">
        <v>246</v>
      </c>
      <c r="I42" s="1">
        <v>33</v>
      </c>
      <c r="J42" s="1">
        <v>31</v>
      </c>
      <c r="K42" s="1">
        <f t="shared" si="10"/>
        <v>64</v>
      </c>
      <c r="L42" s="1">
        <v>0.1162</v>
      </c>
      <c r="M42" s="14">
        <f t="shared" si="11"/>
        <v>4.2610151372648279E-2</v>
      </c>
      <c r="O42" s="1" t="s">
        <v>246</v>
      </c>
      <c r="P42" s="1">
        <v>33</v>
      </c>
      <c r="Q42" s="1">
        <v>31</v>
      </c>
      <c r="R42" s="1">
        <f t="shared" si="12"/>
        <v>64</v>
      </c>
      <c r="S42" s="1">
        <v>0.5161</v>
      </c>
      <c r="T42" s="14">
        <f t="shared" si="13"/>
        <v>8.9800125278309051E-2</v>
      </c>
      <c r="V42" s="1" t="s">
        <v>246</v>
      </c>
      <c r="W42" s="1">
        <v>33</v>
      </c>
      <c r="X42" s="1">
        <v>31</v>
      </c>
      <c r="Y42" s="1">
        <f t="shared" si="14"/>
        <v>64</v>
      </c>
      <c r="Z42" s="1">
        <v>9.6299999999999997E-2</v>
      </c>
      <c r="AA42" s="14">
        <f t="shared" si="15"/>
        <v>3.8790301622957254E-2</v>
      </c>
    </row>
    <row r="43" spans="1:27" ht="15.75" customHeight="1">
      <c r="A43" s="1" t="s">
        <v>247</v>
      </c>
      <c r="B43" s="1">
        <v>24</v>
      </c>
      <c r="C43" s="1">
        <v>22</v>
      </c>
      <c r="D43" s="1">
        <f t="shared" si="8"/>
        <v>46</v>
      </c>
      <c r="E43" s="1">
        <v>5.0099999999999999E-2</v>
      </c>
      <c r="F43" s="14">
        <f t="shared" si="9"/>
        <v>3.3001976225411241E-2</v>
      </c>
      <c r="H43" s="1" t="s">
        <v>247</v>
      </c>
      <c r="I43" s="1">
        <v>24</v>
      </c>
      <c r="J43" s="1">
        <v>22</v>
      </c>
      <c r="K43" s="1">
        <f t="shared" si="10"/>
        <v>46</v>
      </c>
      <c r="L43" s="1">
        <v>0.13020000000000001</v>
      </c>
      <c r="M43" s="14">
        <f t="shared" si="11"/>
        <v>5.3201830632119189E-2</v>
      </c>
      <c r="O43" s="1" t="s">
        <v>247</v>
      </c>
      <c r="P43" s="1">
        <v>24</v>
      </c>
      <c r="Q43" s="1">
        <v>22</v>
      </c>
      <c r="R43" s="1">
        <f t="shared" si="12"/>
        <v>46</v>
      </c>
      <c r="S43" s="1">
        <v>2.6499999999999999E-2</v>
      </c>
      <c r="T43" s="14">
        <f t="shared" si="13"/>
        <v>2.4001811525835692E-2</v>
      </c>
      <c r="V43" s="9" t="s">
        <v>247</v>
      </c>
      <c r="W43" s="1">
        <v>24</v>
      </c>
      <c r="X43" s="1">
        <v>22</v>
      </c>
      <c r="Y43" s="1">
        <f t="shared" si="14"/>
        <v>46</v>
      </c>
      <c r="Z43" s="1">
        <v>0.1066</v>
      </c>
      <c r="AA43" s="14">
        <f t="shared" si="15"/>
        <v>4.8139290650650701E-2</v>
      </c>
    </row>
    <row r="44" spans="1:27" ht="15.75" customHeight="1">
      <c r="A44" s="1" t="s">
        <v>248</v>
      </c>
      <c r="B44" s="1">
        <v>20</v>
      </c>
      <c r="C44" s="1">
        <v>18</v>
      </c>
      <c r="D44" s="1">
        <f t="shared" si="8"/>
        <v>38</v>
      </c>
      <c r="E44" s="1">
        <v>3.39E-2</v>
      </c>
      <c r="F44" s="14">
        <f t="shared" si="9"/>
        <v>2.9868131229755481E-2</v>
      </c>
      <c r="H44" s="1" t="s">
        <v>248</v>
      </c>
      <c r="I44" s="1">
        <v>20</v>
      </c>
      <c r="J44" s="1">
        <v>18</v>
      </c>
      <c r="K44" s="1">
        <f t="shared" si="10"/>
        <v>38</v>
      </c>
      <c r="L44" s="1">
        <v>8.2000000000000003E-2</v>
      </c>
      <c r="M44" s="14">
        <f t="shared" si="11"/>
        <v>4.6453145607613107E-2</v>
      </c>
      <c r="O44" s="1" t="s">
        <v>248</v>
      </c>
      <c r="P44" s="1">
        <v>20</v>
      </c>
      <c r="Q44" s="1">
        <v>18</v>
      </c>
      <c r="R44" s="1">
        <f t="shared" si="12"/>
        <v>38</v>
      </c>
      <c r="S44" s="1">
        <v>2.1600000000000001E-2</v>
      </c>
      <c r="T44" s="14">
        <f t="shared" si="13"/>
        <v>2.3841582427170788E-2</v>
      </c>
      <c r="V44" s="1" t="s">
        <v>248</v>
      </c>
      <c r="W44" s="1">
        <v>20</v>
      </c>
      <c r="X44" s="1">
        <v>18</v>
      </c>
      <c r="Y44" s="1">
        <f t="shared" si="14"/>
        <v>38</v>
      </c>
      <c r="Z44" s="1">
        <v>6.6600000000000006E-2</v>
      </c>
      <c r="AA44" s="14">
        <f t="shared" si="15"/>
        <v>4.1864442895461637E-2</v>
      </c>
    </row>
    <row r="45" spans="1:27" ht="15.75" customHeight="1">
      <c r="A45" s="1" t="s">
        <v>249</v>
      </c>
      <c r="B45" s="1">
        <v>16</v>
      </c>
      <c r="C45" s="1">
        <v>14</v>
      </c>
      <c r="D45" s="1">
        <f t="shared" si="8"/>
        <v>30</v>
      </c>
      <c r="E45" s="1">
        <v>0.1812</v>
      </c>
      <c r="F45" s="14">
        <f t="shared" si="9"/>
        <v>7.7717436910901785E-2</v>
      </c>
      <c r="H45" s="1" t="s">
        <v>249</v>
      </c>
      <c r="I45" s="1">
        <v>16</v>
      </c>
      <c r="J45" s="1">
        <v>14</v>
      </c>
      <c r="K45" s="1">
        <f t="shared" si="10"/>
        <v>30</v>
      </c>
      <c r="L45" s="1">
        <v>4.3900000000000002E-2</v>
      </c>
      <c r="M45" s="14">
        <f t="shared" si="11"/>
        <v>3.8253540141186065E-2</v>
      </c>
      <c r="O45" s="1" t="s">
        <v>249</v>
      </c>
      <c r="P45" s="1">
        <v>16</v>
      </c>
      <c r="Q45" s="1">
        <v>14</v>
      </c>
      <c r="R45" s="1">
        <f t="shared" si="12"/>
        <v>30</v>
      </c>
      <c r="S45" s="1">
        <v>9.7000000000000003E-3</v>
      </c>
      <c r="T45" s="14">
        <f t="shared" si="13"/>
        <v>1.798147194568157E-2</v>
      </c>
      <c r="V45" s="1" t="s">
        <v>249</v>
      </c>
      <c r="W45" s="1">
        <v>16</v>
      </c>
      <c r="X45" s="1">
        <v>14</v>
      </c>
      <c r="Y45" s="1">
        <f t="shared" si="14"/>
        <v>30</v>
      </c>
      <c r="Z45" s="1">
        <v>2.92E-2</v>
      </c>
      <c r="AA45" s="14">
        <f t="shared" si="15"/>
        <v>3.1198290551460242E-2</v>
      </c>
    </row>
    <row r="46" spans="1:27" ht="15.75" customHeight="1">
      <c r="A46" s="1" t="s">
        <v>250</v>
      </c>
      <c r="B46" s="1">
        <v>15</v>
      </c>
      <c r="C46" s="1">
        <v>13</v>
      </c>
      <c r="D46" s="1">
        <f t="shared" si="8"/>
        <v>28</v>
      </c>
      <c r="E46" s="1">
        <v>2.3300000000000001E-2</v>
      </c>
      <c r="F46" s="14">
        <f t="shared" si="9"/>
        <v>2.8846886437583815E-2</v>
      </c>
      <c r="H46" s="1" t="s">
        <v>250</v>
      </c>
      <c r="I46" s="1">
        <v>15</v>
      </c>
      <c r="J46" s="1">
        <v>13</v>
      </c>
      <c r="K46" s="1">
        <f t="shared" si="10"/>
        <v>28</v>
      </c>
      <c r="L46" s="1">
        <v>3.1600000000000003E-2</v>
      </c>
      <c r="M46" s="14">
        <f t="shared" si="11"/>
        <v>3.3594217189442423E-2</v>
      </c>
      <c r="O46" s="1" t="s">
        <v>250</v>
      </c>
      <c r="P46" s="1">
        <v>15</v>
      </c>
      <c r="Q46" s="1">
        <v>13</v>
      </c>
      <c r="R46" s="1">
        <f t="shared" si="12"/>
        <v>28</v>
      </c>
      <c r="S46" s="1">
        <v>1.2800000000000001E-2</v>
      </c>
      <c r="T46" s="14">
        <f t="shared" si="13"/>
        <v>2.1380899352993952E-2</v>
      </c>
      <c r="V46" s="1" t="s">
        <v>250</v>
      </c>
      <c r="W46" s="1">
        <v>15</v>
      </c>
      <c r="X46" s="1">
        <v>13</v>
      </c>
      <c r="Y46" s="1">
        <f t="shared" si="14"/>
        <v>28</v>
      </c>
      <c r="Z46" s="1">
        <v>2.2700000000000001E-2</v>
      </c>
      <c r="AA46" s="14">
        <f t="shared" si="15"/>
        <v>2.8473044897135358E-2</v>
      </c>
    </row>
    <row r="47" spans="1:27" ht="15.75" customHeight="1">
      <c r="A47" s="1" t="s">
        <v>251</v>
      </c>
      <c r="B47" s="1">
        <v>28</v>
      </c>
      <c r="C47" s="1">
        <v>26</v>
      </c>
      <c r="D47" s="1">
        <f t="shared" si="8"/>
        <v>54</v>
      </c>
      <c r="E47" s="1">
        <v>2.52E-2</v>
      </c>
      <c r="F47" s="14">
        <f t="shared" si="9"/>
        <v>2.1602468994692866E-2</v>
      </c>
      <c r="H47" s="1" t="s">
        <v>251</v>
      </c>
      <c r="I47" s="1">
        <v>28</v>
      </c>
      <c r="J47" s="1">
        <v>26</v>
      </c>
      <c r="K47" s="1">
        <f t="shared" si="10"/>
        <v>54</v>
      </c>
      <c r="L47" s="1">
        <v>2.1899999999999999E-2</v>
      </c>
      <c r="M47" s="14">
        <f t="shared" si="11"/>
        <v>2.0138409955990953E-2</v>
      </c>
      <c r="O47" s="1" t="s">
        <v>251</v>
      </c>
      <c r="P47" s="1">
        <v>28</v>
      </c>
      <c r="Q47" s="1">
        <v>26</v>
      </c>
      <c r="R47" s="1">
        <f t="shared" si="12"/>
        <v>54</v>
      </c>
      <c r="S47" s="1">
        <v>1.1299999999999999E-2</v>
      </c>
      <c r="T47" s="14">
        <f t="shared" si="13"/>
        <v>1.4465796184768374E-2</v>
      </c>
      <c r="V47" s="1" t="s">
        <v>251</v>
      </c>
      <c r="W47" s="1">
        <v>28</v>
      </c>
      <c r="X47" s="1">
        <v>26</v>
      </c>
      <c r="Y47" s="1">
        <f t="shared" si="14"/>
        <v>54</v>
      </c>
      <c r="Z47" s="1">
        <v>1.67E-2</v>
      </c>
      <c r="AA47" s="14">
        <f t="shared" si="15"/>
        <v>1.7585768657049347E-2</v>
      </c>
    </row>
    <row r="48" spans="1:27" ht="15.75" customHeight="1">
      <c r="A48" s="1" t="s">
        <v>252</v>
      </c>
      <c r="B48" s="1">
        <v>19</v>
      </c>
      <c r="C48" s="1">
        <v>17</v>
      </c>
      <c r="D48" s="1">
        <f t="shared" si="8"/>
        <v>36</v>
      </c>
      <c r="E48" s="1">
        <v>2.4E-2</v>
      </c>
      <c r="F48" s="14">
        <f t="shared" si="9"/>
        <v>2.5819888974716113E-2</v>
      </c>
      <c r="H48" s="1" t="s">
        <v>252</v>
      </c>
      <c r="I48" s="1">
        <v>19</v>
      </c>
      <c r="J48" s="1">
        <v>17</v>
      </c>
      <c r="K48" s="1">
        <f t="shared" si="10"/>
        <v>36</v>
      </c>
      <c r="L48" s="1">
        <v>2.3400000000000001E-2</v>
      </c>
      <c r="M48" s="14">
        <f t="shared" si="11"/>
        <v>2.5495097567963924E-2</v>
      </c>
      <c r="O48" s="1" t="s">
        <v>252</v>
      </c>
      <c r="P48" s="1">
        <v>19</v>
      </c>
      <c r="Q48" s="1">
        <v>17</v>
      </c>
      <c r="R48" s="1">
        <f t="shared" si="12"/>
        <v>36</v>
      </c>
      <c r="S48" s="1">
        <v>1.1299999999999999E-2</v>
      </c>
      <c r="T48" s="14">
        <f t="shared" si="13"/>
        <v>1.7716909687891084E-2</v>
      </c>
      <c r="V48" s="1" t="s">
        <v>252</v>
      </c>
      <c r="W48" s="1">
        <v>19</v>
      </c>
      <c r="X48" s="1">
        <v>17</v>
      </c>
      <c r="Y48" s="1">
        <f t="shared" si="14"/>
        <v>36</v>
      </c>
      <c r="Z48" s="1">
        <v>1.72E-2</v>
      </c>
      <c r="AA48" s="14">
        <f t="shared" si="15"/>
        <v>2.1858128414340001E-2</v>
      </c>
    </row>
    <row r="49" spans="1:27" ht="15.75" customHeight="1">
      <c r="A49" s="1" t="s">
        <v>253</v>
      </c>
      <c r="B49" s="1">
        <v>13</v>
      </c>
      <c r="C49" s="1">
        <v>11</v>
      </c>
      <c r="D49" s="1">
        <f t="shared" si="8"/>
        <v>24</v>
      </c>
      <c r="E49" s="1">
        <v>6.4299999999999996E-2</v>
      </c>
      <c r="F49" s="14">
        <f t="shared" si="9"/>
        <v>5.1760667177565112E-2</v>
      </c>
      <c r="H49" s="1" t="s">
        <v>253</v>
      </c>
      <c r="I49" s="1">
        <v>13</v>
      </c>
      <c r="J49" s="1">
        <v>11</v>
      </c>
      <c r="K49" s="1">
        <f t="shared" si="10"/>
        <v>24</v>
      </c>
      <c r="L49" s="1">
        <v>1.14E-2</v>
      </c>
      <c r="M49" s="14">
        <f t="shared" si="11"/>
        <v>2.1794494717703367E-2</v>
      </c>
      <c r="O49" s="1" t="s">
        <v>253</v>
      </c>
      <c r="P49" s="1">
        <v>13</v>
      </c>
      <c r="Q49" s="1">
        <v>11</v>
      </c>
      <c r="R49" s="1">
        <f t="shared" si="12"/>
        <v>24</v>
      </c>
      <c r="S49" s="1">
        <v>8.0999999999999996E-3</v>
      </c>
      <c r="T49" s="14">
        <f t="shared" si="13"/>
        <v>1.8371173070873836E-2</v>
      </c>
      <c r="V49" s="1" t="s">
        <v>253</v>
      </c>
      <c r="W49" s="1">
        <v>13</v>
      </c>
      <c r="X49" s="1">
        <v>11</v>
      </c>
      <c r="Y49" s="1">
        <f t="shared" si="14"/>
        <v>24</v>
      </c>
      <c r="Z49" s="1">
        <v>8.8000000000000005E-3</v>
      </c>
      <c r="AA49" s="14">
        <f t="shared" si="15"/>
        <v>1.9148542155126763E-2</v>
      </c>
    </row>
    <row r="50" spans="1:27" ht="15.75" customHeight="1">
      <c r="A50" s="1" t="s">
        <v>254</v>
      </c>
      <c r="B50" s="1">
        <v>12</v>
      </c>
      <c r="C50" s="1">
        <v>10</v>
      </c>
      <c r="D50" s="1">
        <f t="shared" si="8"/>
        <v>22</v>
      </c>
      <c r="E50" s="1">
        <v>0.189</v>
      </c>
      <c r="F50" s="14">
        <f t="shared" si="9"/>
        <v>9.2687157097998699E-2</v>
      </c>
      <c r="H50" s="1" t="s">
        <v>254</v>
      </c>
      <c r="I50" s="1">
        <v>12</v>
      </c>
      <c r="J50" s="1">
        <v>10</v>
      </c>
      <c r="K50" s="1">
        <f t="shared" si="10"/>
        <v>22</v>
      </c>
      <c r="L50" s="1">
        <v>1.3899999999999999E-2</v>
      </c>
      <c r="M50" s="14">
        <f t="shared" si="11"/>
        <v>2.513599375036089E-2</v>
      </c>
      <c r="O50" s="1" t="s">
        <v>254</v>
      </c>
      <c r="P50" s="1">
        <v>12</v>
      </c>
      <c r="Q50" s="1">
        <v>10</v>
      </c>
      <c r="R50" s="1">
        <f t="shared" si="12"/>
        <v>22</v>
      </c>
      <c r="S50" s="1">
        <v>8.9999999999999993E-3</v>
      </c>
      <c r="T50" s="14">
        <f t="shared" si="13"/>
        <v>2.0225995873897264E-2</v>
      </c>
      <c r="V50" s="1" t="s">
        <v>254</v>
      </c>
      <c r="W50" s="1">
        <v>12</v>
      </c>
      <c r="X50" s="1">
        <v>10</v>
      </c>
      <c r="Y50" s="1">
        <f t="shared" si="14"/>
        <v>22</v>
      </c>
      <c r="Z50" s="1">
        <v>1.0999999999999999E-2</v>
      </c>
      <c r="AA50" s="14">
        <f t="shared" si="15"/>
        <v>2.2360679774997897E-2</v>
      </c>
    </row>
    <row r="51" spans="1:27" ht="15.75" customHeight="1">
      <c r="A51" s="1" t="s">
        <v>255</v>
      </c>
      <c r="B51" s="1">
        <v>29</v>
      </c>
      <c r="C51" s="1">
        <v>27</v>
      </c>
      <c r="D51" s="1">
        <f t="shared" si="8"/>
        <v>56</v>
      </c>
      <c r="E51" s="1">
        <v>3.2599999999999997E-2</v>
      </c>
      <c r="F51" s="14">
        <f t="shared" si="9"/>
        <v>2.4127636791506479E-2</v>
      </c>
      <c r="H51" s="1" t="s">
        <v>255</v>
      </c>
      <c r="I51" s="1">
        <v>29</v>
      </c>
      <c r="J51" s="1">
        <v>27</v>
      </c>
      <c r="K51" s="1">
        <f t="shared" si="10"/>
        <v>56</v>
      </c>
      <c r="L51" s="1">
        <v>6.8900000000000003E-2</v>
      </c>
      <c r="M51" s="14">
        <f t="shared" si="11"/>
        <v>3.5076447124204907E-2</v>
      </c>
      <c r="O51" s="1" t="s">
        <v>255</v>
      </c>
      <c r="P51" s="1">
        <v>29</v>
      </c>
      <c r="Q51" s="1">
        <v>27</v>
      </c>
      <c r="R51" s="1">
        <f t="shared" si="12"/>
        <v>56</v>
      </c>
      <c r="S51" s="1">
        <v>3.0200000000000001E-2</v>
      </c>
      <c r="T51" s="14">
        <f t="shared" si="13"/>
        <v>2.3222526010012654E-2</v>
      </c>
      <c r="V51" s="1" t="s">
        <v>255</v>
      </c>
      <c r="W51" s="1">
        <v>29</v>
      </c>
      <c r="X51" s="1">
        <v>27</v>
      </c>
      <c r="Y51" s="1">
        <f t="shared" si="14"/>
        <v>56</v>
      </c>
      <c r="Z51" s="1">
        <v>6.3299999999999995E-2</v>
      </c>
      <c r="AA51" s="14">
        <f t="shared" si="15"/>
        <v>3.3620784387892302E-2</v>
      </c>
    </row>
    <row r="52" spans="1:27" ht="15.75" customHeight="1">
      <c r="A52" s="1" t="s">
        <v>256</v>
      </c>
      <c r="B52" s="1">
        <v>20</v>
      </c>
      <c r="C52" s="1">
        <v>18</v>
      </c>
      <c r="D52" s="1">
        <f t="shared" si="8"/>
        <v>38</v>
      </c>
      <c r="E52" s="1">
        <v>2.7900000000000001E-2</v>
      </c>
      <c r="F52" s="14">
        <f t="shared" si="9"/>
        <v>2.7096319423785022E-2</v>
      </c>
      <c r="H52" s="1" t="s">
        <v>256</v>
      </c>
      <c r="I52" s="1">
        <v>20</v>
      </c>
      <c r="J52" s="1">
        <v>18</v>
      </c>
      <c r="K52" s="1">
        <f t="shared" si="10"/>
        <v>38</v>
      </c>
      <c r="L52" s="1">
        <v>6.1899999999999997E-2</v>
      </c>
      <c r="M52" s="14">
        <f t="shared" si="11"/>
        <v>4.0360220123545565E-2</v>
      </c>
      <c r="O52" s="1" t="s">
        <v>256</v>
      </c>
      <c r="P52" s="1">
        <v>20</v>
      </c>
      <c r="Q52" s="1">
        <v>18</v>
      </c>
      <c r="R52" s="1">
        <f t="shared" si="12"/>
        <v>38</v>
      </c>
      <c r="S52" s="1">
        <v>2.58E-2</v>
      </c>
      <c r="T52" s="14">
        <f t="shared" si="13"/>
        <v>2.6056618514708554E-2</v>
      </c>
      <c r="V52" s="1" t="s">
        <v>256</v>
      </c>
      <c r="W52" s="1">
        <v>20</v>
      </c>
      <c r="X52" s="1">
        <v>18</v>
      </c>
      <c r="Y52" s="1">
        <f t="shared" si="14"/>
        <v>38</v>
      </c>
      <c r="Z52" s="1">
        <v>5.5100000000000003E-2</v>
      </c>
      <c r="AA52" s="14">
        <f t="shared" si="15"/>
        <v>3.8078865529319543E-2</v>
      </c>
    </row>
    <row r="53" spans="1:27" ht="15.75" customHeight="1">
      <c r="A53" s="1" t="s">
        <v>257</v>
      </c>
      <c r="B53" s="1">
        <v>16</v>
      </c>
      <c r="C53" s="1">
        <v>14</v>
      </c>
      <c r="D53" s="1">
        <f t="shared" si="8"/>
        <v>30</v>
      </c>
      <c r="E53" s="1">
        <v>2.01E-2</v>
      </c>
      <c r="F53" s="14">
        <f t="shared" si="9"/>
        <v>2.5884358211089569E-2</v>
      </c>
      <c r="H53" s="1" t="s">
        <v>257</v>
      </c>
      <c r="I53" s="1">
        <v>16</v>
      </c>
      <c r="J53" s="1">
        <v>14</v>
      </c>
      <c r="K53" s="1">
        <f t="shared" si="10"/>
        <v>30</v>
      </c>
      <c r="L53" s="1">
        <v>4.3999999999999997E-2</v>
      </c>
      <c r="M53" s="14">
        <f t="shared" si="11"/>
        <v>3.8297084310253526E-2</v>
      </c>
      <c r="O53" s="1" t="s">
        <v>257</v>
      </c>
      <c r="P53" s="1">
        <v>16</v>
      </c>
      <c r="Q53" s="1">
        <v>14</v>
      </c>
      <c r="R53" s="1">
        <f t="shared" si="12"/>
        <v>30</v>
      </c>
      <c r="S53" s="1">
        <v>1.6400000000000001E-2</v>
      </c>
      <c r="T53" s="14">
        <f t="shared" si="13"/>
        <v>2.3380903889000243E-2</v>
      </c>
      <c r="V53" s="1" t="s">
        <v>257</v>
      </c>
      <c r="W53" s="1">
        <v>16</v>
      </c>
      <c r="X53" s="1">
        <v>14</v>
      </c>
      <c r="Y53" s="1">
        <f t="shared" si="14"/>
        <v>30</v>
      </c>
      <c r="Z53" s="1">
        <v>3.8699999999999998E-2</v>
      </c>
      <c r="AA53" s="14">
        <f t="shared" si="15"/>
        <v>3.5916569992135938E-2</v>
      </c>
    </row>
    <row r="54" spans="1:27" ht="15.75" customHeight="1">
      <c r="A54" s="1" t="s">
        <v>258</v>
      </c>
      <c r="B54" s="1">
        <v>12</v>
      </c>
      <c r="C54" s="1">
        <v>10</v>
      </c>
      <c r="D54" s="1">
        <f t="shared" si="8"/>
        <v>22</v>
      </c>
      <c r="E54" s="1">
        <v>3.15E-2</v>
      </c>
      <c r="F54" s="14">
        <f t="shared" si="9"/>
        <v>3.7839373433213475E-2</v>
      </c>
      <c r="H54" s="1" t="s">
        <v>258</v>
      </c>
      <c r="I54" s="1">
        <v>12</v>
      </c>
      <c r="J54" s="1">
        <v>10</v>
      </c>
      <c r="K54" s="1">
        <f t="shared" si="10"/>
        <v>22</v>
      </c>
      <c r="L54" s="1">
        <v>7.4899999999999994E-2</v>
      </c>
      <c r="M54" s="14">
        <f t="shared" si="11"/>
        <v>5.8348482881266539E-2</v>
      </c>
      <c r="O54" s="1" t="s">
        <v>258</v>
      </c>
      <c r="P54" s="1">
        <v>12</v>
      </c>
      <c r="Q54" s="1">
        <v>10</v>
      </c>
      <c r="R54" s="1">
        <f t="shared" si="12"/>
        <v>22</v>
      </c>
      <c r="S54" s="1">
        <v>3.73E-2</v>
      </c>
      <c r="T54" s="14">
        <f t="shared" si="13"/>
        <v>4.1175897627793681E-2</v>
      </c>
      <c r="V54" s="1" t="s">
        <v>258</v>
      </c>
      <c r="W54" s="1">
        <v>12</v>
      </c>
      <c r="X54" s="1">
        <v>10</v>
      </c>
      <c r="Y54" s="1">
        <f t="shared" si="14"/>
        <v>22</v>
      </c>
      <c r="Z54" s="1">
        <v>6.7900000000000002E-2</v>
      </c>
      <c r="AA54" s="14">
        <f t="shared" si="15"/>
        <v>5.5555050502754805E-2</v>
      </c>
    </row>
    <row r="55" spans="1:27" ht="15.75" customHeight="1">
      <c r="A55" s="1" t="s">
        <v>259</v>
      </c>
      <c r="B55" s="1">
        <v>20</v>
      </c>
      <c r="C55" s="1">
        <v>18</v>
      </c>
      <c r="D55" s="1">
        <f t="shared" si="8"/>
        <v>38</v>
      </c>
      <c r="E55" s="1">
        <v>2.24E-2</v>
      </c>
      <c r="F55" s="14">
        <f t="shared" si="9"/>
        <v>2.4279079146675361E-2</v>
      </c>
      <c r="H55" s="1" t="s">
        <v>259</v>
      </c>
      <c r="I55" s="1">
        <v>20</v>
      </c>
      <c r="J55" s="1">
        <v>18</v>
      </c>
      <c r="K55" s="1">
        <f t="shared" si="10"/>
        <v>38</v>
      </c>
      <c r="L55" s="1">
        <v>3.9399999999999998E-2</v>
      </c>
      <c r="M55" s="14">
        <f t="shared" si="11"/>
        <v>3.2200032690405112E-2</v>
      </c>
      <c r="O55" s="1" t="s">
        <v>259</v>
      </c>
      <c r="P55" s="1">
        <v>20</v>
      </c>
      <c r="Q55" s="1">
        <v>18</v>
      </c>
      <c r="R55" s="1">
        <f t="shared" si="12"/>
        <v>38</v>
      </c>
      <c r="S55" s="1">
        <v>1.41E-2</v>
      </c>
      <c r="T55" s="14">
        <f t="shared" si="13"/>
        <v>1.9262726483521158E-2</v>
      </c>
      <c r="V55" s="1" t="s">
        <v>259</v>
      </c>
      <c r="W55" s="1">
        <v>20</v>
      </c>
      <c r="X55" s="1">
        <v>18</v>
      </c>
      <c r="Y55" s="1">
        <f t="shared" si="14"/>
        <v>38</v>
      </c>
      <c r="Z55" s="1">
        <v>3.15E-2</v>
      </c>
      <c r="AA55" s="14">
        <f t="shared" si="15"/>
        <v>2.8791446098121794E-2</v>
      </c>
    </row>
    <row r="56" spans="1:27" ht="15.75" customHeight="1">
      <c r="A56" s="1" t="s">
        <v>260</v>
      </c>
      <c r="B56" s="1">
        <v>33</v>
      </c>
      <c r="C56" s="1">
        <v>31</v>
      </c>
      <c r="D56" s="1">
        <f t="shared" si="8"/>
        <v>64</v>
      </c>
      <c r="E56" s="1">
        <v>2.0500000000000001E-2</v>
      </c>
      <c r="F56" s="14">
        <f t="shared" si="9"/>
        <v>1.7897276329095442E-2</v>
      </c>
      <c r="H56" s="1" t="s">
        <v>260</v>
      </c>
      <c r="I56" s="1">
        <v>33</v>
      </c>
      <c r="J56" s="1">
        <v>31</v>
      </c>
      <c r="K56" s="1">
        <f t="shared" si="10"/>
        <v>64</v>
      </c>
      <c r="L56" s="1">
        <v>2.9499999999999998E-2</v>
      </c>
      <c r="M56" s="14">
        <f t="shared" si="11"/>
        <v>2.1469455046647084E-2</v>
      </c>
      <c r="O56" s="1" t="s">
        <v>260</v>
      </c>
      <c r="P56" s="1">
        <v>33</v>
      </c>
      <c r="Q56" s="1">
        <v>31</v>
      </c>
      <c r="R56" s="1">
        <f t="shared" si="12"/>
        <v>64</v>
      </c>
      <c r="S56" s="1">
        <v>1.4E-2</v>
      </c>
      <c r="T56" s="14">
        <f t="shared" si="13"/>
        <v>1.479019945774904E-2</v>
      </c>
      <c r="V56" s="1" t="s">
        <v>260</v>
      </c>
      <c r="W56" s="1">
        <v>33</v>
      </c>
      <c r="X56" s="1">
        <v>31</v>
      </c>
      <c r="Y56" s="1">
        <f t="shared" si="14"/>
        <v>64</v>
      </c>
      <c r="Z56" s="1">
        <v>2.3699999999999999E-2</v>
      </c>
      <c r="AA56" s="14">
        <f t="shared" si="15"/>
        <v>1.9243505397925815E-2</v>
      </c>
    </row>
    <row r="57" spans="1:27" ht="15.75" customHeight="1">
      <c r="A57" s="1" t="s">
        <v>261</v>
      </c>
      <c r="B57" s="1">
        <v>24</v>
      </c>
      <c r="C57" s="1">
        <v>22</v>
      </c>
      <c r="D57" s="1">
        <f t="shared" si="8"/>
        <v>46</v>
      </c>
      <c r="E57" s="1">
        <v>1.9199999999999998E-2</v>
      </c>
      <c r="F57" s="14">
        <f t="shared" si="9"/>
        <v>2.0430156738209967E-2</v>
      </c>
      <c r="H57" s="1" t="s">
        <v>261</v>
      </c>
      <c r="I57" s="1">
        <v>24</v>
      </c>
      <c r="J57" s="1">
        <v>22</v>
      </c>
      <c r="K57" s="1">
        <f t="shared" si="10"/>
        <v>46</v>
      </c>
      <c r="L57" s="1">
        <v>3.0599999999999999E-2</v>
      </c>
      <c r="M57" s="14">
        <f t="shared" si="11"/>
        <v>2.5791808608632855E-2</v>
      </c>
      <c r="O57" s="1" t="s">
        <v>261</v>
      </c>
      <c r="P57" s="1">
        <v>24</v>
      </c>
      <c r="Q57" s="1">
        <v>22</v>
      </c>
      <c r="R57" s="1">
        <f t="shared" si="12"/>
        <v>46</v>
      </c>
      <c r="S57" s="1">
        <v>1.38E-2</v>
      </c>
      <c r="T57" s="14">
        <f t="shared" si="13"/>
        <v>1.7320508075688773E-2</v>
      </c>
      <c r="V57" s="1" t="s">
        <v>261</v>
      </c>
      <c r="W57" s="1">
        <v>24</v>
      </c>
      <c r="X57" s="1">
        <v>22</v>
      </c>
      <c r="Y57" s="1">
        <f t="shared" si="14"/>
        <v>46</v>
      </c>
      <c r="Z57" s="1">
        <v>2.4E-2</v>
      </c>
      <c r="AA57" s="14">
        <f t="shared" si="15"/>
        <v>2.2841609628806433E-2</v>
      </c>
    </row>
    <row r="59" spans="1:27" ht="15.75" customHeight="1">
      <c r="E59" s="1" t="s">
        <v>276</v>
      </c>
      <c r="F59" s="14">
        <f>AVERAGE(F33:F57)</f>
        <v>3.4335142264163732E-2</v>
      </c>
      <c r="L59" s="1" t="s">
        <v>276</v>
      </c>
      <c r="M59" s="14">
        <f>AVERAGE(M33:M57)</f>
        <v>4.1567645028030814E-2</v>
      </c>
      <c r="S59" s="1" t="s">
        <v>276</v>
      </c>
      <c r="T59" s="14">
        <f>AVERAGE(T33:T57)</f>
        <v>2.4690081704374381E-2</v>
      </c>
      <c r="Z59" s="1" t="s">
        <v>276</v>
      </c>
      <c r="AA59" s="14">
        <f>AVERAGE(AA33:AA57)</f>
        <v>3.5749993111699678E-2</v>
      </c>
    </row>
    <row r="60" spans="1:27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 spans="1:27" ht="15.75" customHeight="1">
      <c r="A61" s="1" t="s">
        <v>264</v>
      </c>
      <c r="C61" s="1" t="s">
        <v>273</v>
      </c>
      <c r="H61" s="1" t="s">
        <v>63</v>
      </c>
      <c r="J61" s="1" t="s">
        <v>273</v>
      </c>
      <c r="O61" s="1" t="s">
        <v>265</v>
      </c>
      <c r="Q61" s="1" t="s">
        <v>273</v>
      </c>
    </row>
    <row r="62" spans="1:27" ht="15.75" customHeight="1">
      <c r="A62" s="1" t="s">
        <v>231</v>
      </c>
      <c r="B62" s="1" t="s">
        <v>292</v>
      </c>
      <c r="C62" s="1" t="s">
        <v>293</v>
      </c>
      <c r="D62" s="1" t="s">
        <v>294</v>
      </c>
      <c r="E62" s="1" t="s">
        <v>295</v>
      </c>
      <c r="F62" s="1" t="s">
        <v>296</v>
      </c>
      <c r="H62" s="1" t="s">
        <v>231</v>
      </c>
      <c r="I62" s="1" t="s">
        <v>292</v>
      </c>
      <c r="J62" s="1" t="s">
        <v>293</v>
      </c>
      <c r="K62" s="1" t="s">
        <v>294</v>
      </c>
      <c r="L62" s="1" t="s">
        <v>295</v>
      </c>
      <c r="M62" s="1" t="s">
        <v>296</v>
      </c>
      <c r="O62" s="1" t="s">
        <v>231</v>
      </c>
      <c r="P62" s="1" t="s">
        <v>292</v>
      </c>
      <c r="Q62" s="1" t="s">
        <v>293</v>
      </c>
      <c r="R62" s="1" t="s">
        <v>294</v>
      </c>
      <c r="S62" s="1" t="s">
        <v>295</v>
      </c>
      <c r="T62" s="1" t="s">
        <v>296</v>
      </c>
    </row>
    <row r="63" spans="1:27" ht="15.75" customHeight="1">
      <c r="A63" s="1" t="s">
        <v>237</v>
      </c>
      <c r="B63" s="1">
        <v>18</v>
      </c>
      <c r="C63" s="1">
        <v>18</v>
      </c>
      <c r="D63" s="1">
        <f t="shared" ref="D63:D87" si="16">SUM(B63:C63)</f>
        <v>36</v>
      </c>
      <c r="E63" s="1">
        <v>4.7999999999999996E-3</v>
      </c>
      <c r="F63" s="14">
        <f t="shared" ref="F63:F87" si="17">SQRT(E63/D63)</f>
        <v>1.1547005383792514E-2</v>
      </c>
      <c r="H63" s="1" t="s">
        <v>237</v>
      </c>
      <c r="I63" s="1">
        <v>18</v>
      </c>
      <c r="J63" s="1">
        <v>18</v>
      </c>
      <c r="K63" s="1">
        <f t="shared" ref="K63:K87" si="18">SUM(I63:J63)</f>
        <v>36</v>
      </c>
      <c r="L63" s="1">
        <v>1.6299999999999999E-2</v>
      </c>
      <c r="M63" s="14">
        <f t="shared" ref="M63:M87" si="19">SQRT(L63/K63)</f>
        <v>2.1278575558006173E-2</v>
      </c>
      <c r="O63" s="1" t="s">
        <v>237</v>
      </c>
      <c r="P63" s="1">
        <v>18</v>
      </c>
      <c r="Q63" s="1">
        <v>18</v>
      </c>
      <c r="R63" s="1">
        <f t="shared" ref="R63:R87" si="20">SUM(P63:Q63)</f>
        <v>36</v>
      </c>
      <c r="S63" s="1">
        <v>3.0999999999999999E-3</v>
      </c>
      <c r="T63" s="14">
        <f t="shared" ref="T63:T87" si="21">SQRT(S63/R63)</f>
        <v>9.2796072713833694E-3</v>
      </c>
      <c r="AA63" s="14"/>
    </row>
    <row r="64" spans="1:27" ht="15.75" customHeight="1">
      <c r="A64" s="1" t="s">
        <v>238</v>
      </c>
      <c r="B64" s="1">
        <v>14</v>
      </c>
      <c r="C64" s="1">
        <v>14</v>
      </c>
      <c r="D64" s="1">
        <f t="shared" si="16"/>
        <v>28</v>
      </c>
      <c r="E64" s="1">
        <v>5.3E-3</v>
      </c>
      <c r="F64" s="14">
        <f t="shared" si="17"/>
        <v>1.3758114488755873E-2</v>
      </c>
      <c r="H64" s="1" t="s">
        <v>238</v>
      </c>
      <c r="I64" s="1">
        <v>14</v>
      </c>
      <c r="J64" s="1">
        <v>14</v>
      </c>
      <c r="K64" s="1">
        <f t="shared" si="18"/>
        <v>28</v>
      </c>
      <c r="L64" s="1">
        <v>2.0899999999999998E-2</v>
      </c>
      <c r="M64" s="14">
        <f t="shared" si="19"/>
        <v>2.7320844998436108E-2</v>
      </c>
      <c r="O64" s="1" t="s">
        <v>238</v>
      </c>
      <c r="P64" s="1">
        <v>14</v>
      </c>
      <c r="Q64" s="1">
        <v>14</v>
      </c>
      <c r="R64" s="1">
        <f t="shared" si="20"/>
        <v>28</v>
      </c>
      <c r="S64" s="1">
        <v>3.3999999999999998E-3</v>
      </c>
      <c r="T64" s="14">
        <f t="shared" si="21"/>
        <v>1.1019463300386794E-2</v>
      </c>
      <c r="AA64" s="14"/>
    </row>
    <row r="65" spans="1:27" ht="15.75" customHeight="1">
      <c r="A65" s="1" t="s">
        <v>239</v>
      </c>
      <c r="B65" s="1">
        <v>10</v>
      </c>
      <c r="C65" s="1">
        <v>10</v>
      </c>
      <c r="D65" s="1">
        <f t="shared" si="16"/>
        <v>20</v>
      </c>
      <c r="E65" s="1">
        <v>1.1999999999999999E-3</v>
      </c>
      <c r="F65" s="14">
        <f t="shared" si="17"/>
        <v>7.7459666924148338E-3</v>
      </c>
      <c r="H65" s="1" t="s">
        <v>239</v>
      </c>
      <c r="I65" s="1">
        <v>10</v>
      </c>
      <c r="J65" s="1">
        <v>10</v>
      </c>
      <c r="K65" s="1">
        <f t="shared" si="18"/>
        <v>20</v>
      </c>
      <c r="L65" s="1">
        <v>9.4000000000000004E-3</v>
      </c>
      <c r="M65" s="14">
        <f t="shared" si="19"/>
        <v>2.16794833886788E-2</v>
      </c>
      <c r="O65" s="1" t="s">
        <v>239</v>
      </c>
      <c r="P65" s="1">
        <v>10</v>
      </c>
      <c r="Q65" s="1">
        <v>10</v>
      </c>
      <c r="R65" s="1">
        <f t="shared" si="20"/>
        <v>20</v>
      </c>
      <c r="S65" s="1">
        <v>1.2999999999999999E-3</v>
      </c>
      <c r="T65" s="14">
        <f t="shared" si="21"/>
        <v>8.0622577482985496E-3</v>
      </c>
      <c r="AA65" s="14"/>
    </row>
    <row r="66" spans="1:27" ht="15.75" customHeight="1">
      <c r="A66" s="1" t="s">
        <v>240</v>
      </c>
      <c r="B66" s="1">
        <v>18</v>
      </c>
      <c r="C66" s="1">
        <v>18</v>
      </c>
      <c r="D66" s="1">
        <f t="shared" si="16"/>
        <v>36</v>
      </c>
      <c r="E66" s="1">
        <v>2.5000000000000001E-3</v>
      </c>
      <c r="F66" s="14">
        <f t="shared" si="17"/>
        <v>8.3333333333333332E-3</v>
      </c>
      <c r="H66" s="1" t="s">
        <v>240</v>
      </c>
      <c r="I66" s="1">
        <v>18</v>
      </c>
      <c r="J66" s="1">
        <v>18</v>
      </c>
      <c r="K66" s="1">
        <f t="shared" si="18"/>
        <v>36</v>
      </c>
      <c r="L66" s="1">
        <v>1.18E-2</v>
      </c>
      <c r="M66" s="14">
        <f t="shared" si="19"/>
        <v>1.8104634152000358E-2</v>
      </c>
      <c r="O66" s="1" t="s">
        <v>240</v>
      </c>
      <c r="P66" s="1">
        <v>18</v>
      </c>
      <c r="Q66" s="1">
        <v>18</v>
      </c>
      <c r="R66" s="1">
        <f t="shared" si="20"/>
        <v>36</v>
      </c>
      <c r="S66" s="1">
        <v>2E-3</v>
      </c>
      <c r="T66" s="14">
        <f t="shared" si="21"/>
        <v>7.4535599249992987E-3</v>
      </c>
      <c r="AA66" s="14"/>
    </row>
    <row r="67" spans="1:27" ht="15.75" customHeight="1">
      <c r="A67" s="1" t="s">
        <v>241</v>
      </c>
      <c r="B67" s="1">
        <v>14</v>
      </c>
      <c r="C67" s="1">
        <v>14</v>
      </c>
      <c r="D67" s="1">
        <f t="shared" si="16"/>
        <v>28</v>
      </c>
      <c r="E67" s="1">
        <v>3.0999999999999999E-3</v>
      </c>
      <c r="F67" s="14">
        <f t="shared" si="17"/>
        <v>1.0522085616183025E-2</v>
      </c>
      <c r="H67" s="1" t="s">
        <v>241</v>
      </c>
      <c r="I67" s="1">
        <v>14</v>
      </c>
      <c r="J67" s="1">
        <v>14</v>
      </c>
      <c r="K67" s="1">
        <f t="shared" si="18"/>
        <v>28</v>
      </c>
      <c r="L67" s="1">
        <v>1.54E-2</v>
      </c>
      <c r="M67" s="14">
        <f t="shared" si="19"/>
        <v>2.3452078799117149E-2</v>
      </c>
      <c r="O67" s="1" t="s">
        <v>241</v>
      </c>
      <c r="P67" s="1">
        <v>14</v>
      </c>
      <c r="Q67" s="1">
        <v>14</v>
      </c>
      <c r="R67" s="1">
        <f t="shared" si="20"/>
        <v>28</v>
      </c>
      <c r="S67" s="1">
        <v>2.3999999999999998E-3</v>
      </c>
      <c r="T67" s="14">
        <f t="shared" si="21"/>
        <v>9.2582009977255145E-3</v>
      </c>
      <c r="AA67" s="14"/>
    </row>
    <row r="68" spans="1:27" ht="15.75" customHeight="1">
      <c r="A68" s="1" t="s">
        <v>242</v>
      </c>
      <c r="B68" s="1">
        <v>10</v>
      </c>
      <c r="C68" s="1">
        <v>10</v>
      </c>
      <c r="D68" s="1">
        <f t="shared" si="16"/>
        <v>20</v>
      </c>
      <c r="E68" s="1">
        <v>1.1999999999999999E-3</v>
      </c>
      <c r="F68" s="14">
        <f t="shared" si="17"/>
        <v>7.7459666924148338E-3</v>
      </c>
      <c r="H68" s="1" t="s">
        <v>242</v>
      </c>
      <c r="I68" s="1">
        <v>10</v>
      </c>
      <c r="J68" s="1">
        <v>10</v>
      </c>
      <c r="K68" s="1">
        <f t="shared" si="18"/>
        <v>20</v>
      </c>
      <c r="L68" s="1">
        <v>3.8E-3</v>
      </c>
      <c r="M68" s="14">
        <f t="shared" si="19"/>
        <v>1.3784048752090222E-2</v>
      </c>
      <c r="O68" s="1" t="s">
        <v>242</v>
      </c>
      <c r="P68" s="1">
        <v>10</v>
      </c>
      <c r="Q68" s="1">
        <v>10</v>
      </c>
      <c r="R68" s="1">
        <f t="shared" si="20"/>
        <v>20</v>
      </c>
      <c r="S68" s="1">
        <v>1.1999999999999999E-3</v>
      </c>
      <c r="T68" s="14">
        <f t="shared" si="21"/>
        <v>7.7459666924148338E-3</v>
      </c>
      <c r="AA68" s="14"/>
    </row>
    <row r="69" spans="1:27" ht="15.75" customHeight="1">
      <c r="A69" s="1" t="s">
        <v>243</v>
      </c>
      <c r="B69" s="1">
        <v>14</v>
      </c>
      <c r="C69" s="1">
        <v>14</v>
      </c>
      <c r="D69" s="1">
        <f t="shared" si="16"/>
        <v>28</v>
      </c>
      <c r="E69" s="1">
        <v>2.3999999999999998E-3</v>
      </c>
      <c r="F69" s="14">
        <f t="shared" si="17"/>
        <v>9.2582009977255145E-3</v>
      </c>
      <c r="H69" s="1" t="s">
        <v>243</v>
      </c>
      <c r="I69" s="1">
        <v>14</v>
      </c>
      <c r="J69" s="1">
        <v>14</v>
      </c>
      <c r="K69" s="1">
        <f t="shared" si="18"/>
        <v>28</v>
      </c>
      <c r="L69" s="1">
        <v>7.7000000000000002E-3</v>
      </c>
      <c r="M69" s="14">
        <f t="shared" si="19"/>
        <v>1.6583123951776999E-2</v>
      </c>
      <c r="O69" s="1" t="s">
        <v>243</v>
      </c>
      <c r="P69" s="1">
        <v>14</v>
      </c>
      <c r="Q69" s="1">
        <v>14</v>
      </c>
      <c r="R69" s="1">
        <f t="shared" si="20"/>
        <v>28</v>
      </c>
      <c r="S69" s="1">
        <v>4.8999999999999998E-3</v>
      </c>
      <c r="T69" s="14">
        <f t="shared" si="21"/>
        <v>1.3228756555322952E-2</v>
      </c>
      <c r="AA69" s="14"/>
    </row>
    <row r="70" spans="1:27" ht="15.75" customHeight="1">
      <c r="A70" s="1" t="s">
        <v>244</v>
      </c>
      <c r="B70" s="1">
        <v>27</v>
      </c>
      <c r="C70" s="1">
        <v>27</v>
      </c>
      <c r="D70" s="1">
        <f t="shared" si="16"/>
        <v>54</v>
      </c>
      <c r="E70" s="1">
        <v>1.9E-3</v>
      </c>
      <c r="F70" s="14">
        <f t="shared" si="17"/>
        <v>5.931710140017395E-3</v>
      </c>
      <c r="H70" s="1" t="s">
        <v>244</v>
      </c>
      <c r="I70" s="1">
        <v>27</v>
      </c>
      <c r="J70" s="1">
        <v>27</v>
      </c>
      <c r="K70" s="1">
        <f t="shared" si="18"/>
        <v>54</v>
      </c>
      <c r="L70" s="1">
        <v>8.2000000000000007E-3</v>
      </c>
      <c r="M70" s="14">
        <f t="shared" si="19"/>
        <v>1.2322818340454908E-2</v>
      </c>
      <c r="O70" s="1" t="s">
        <v>244</v>
      </c>
      <c r="P70" s="1">
        <v>27</v>
      </c>
      <c r="Q70" s="1">
        <v>27</v>
      </c>
      <c r="R70" s="1">
        <f t="shared" si="20"/>
        <v>54</v>
      </c>
      <c r="S70" s="1">
        <v>2.3999999999999998E-3</v>
      </c>
      <c r="T70" s="14">
        <f t="shared" si="21"/>
        <v>6.6666666666666662E-3</v>
      </c>
      <c r="AA70" s="14"/>
    </row>
    <row r="71" spans="1:27" ht="15.75" customHeight="1">
      <c r="A71" s="1" t="s">
        <v>245</v>
      </c>
      <c r="B71" s="1">
        <v>18</v>
      </c>
      <c r="C71" s="1">
        <v>18</v>
      </c>
      <c r="D71" s="1">
        <f t="shared" si="16"/>
        <v>36</v>
      </c>
      <c r="E71" s="1">
        <v>1.8E-3</v>
      </c>
      <c r="F71" s="14">
        <f t="shared" si="17"/>
        <v>7.0710678118654753E-3</v>
      </c>
      <c r="H71" s="1" t="s">
        <v>245</v>
      </c>
      <c r="I71" s="1">
        <v>18</v>
      </c>
      <c r="J71" s="1">
        <v>18</v>
      </c>
      <c r="K71" s="1">
        <f t="shared" si="18"/>
        <v>36</v>
      </c>
      <c r="L71" s="1">
        <v>7.0000000000000001E-3</v>
      </c>
      <c r="M71" s="14">
        <f t="shared" si="19"/>
        <v>1.3944333775567926E-2</v>
      </c>
      <c r="O71" s="1" t="s">
        <v>245</v>
      </c>
      <c r="P71" s="1">
        <v>18</v>
      </c>
      <c r="Q71" s="1">
        <v>18</v>
      </c>
      <c r="R71" s="1">
        <f t="shared" si="20"/>
        <v>36</v>
      </c>
      <c r="S71" s="1">
        <v>2.3E-3</v>
      </c>
      <c r="T71" s="14">
        <f t="shared" si="21"/>
        <v>7.9930525388545327E-3</v>
      </c>
      <c r="AA71" s="14"/>
    </row>
    <row r="72" spans="1:27" ht="15.75" customHeight="1">
      <c r="A72" s="1" t="s">
        <v>246</v>
      </c>
      <c r="B72" s="1">
        <v>32</v>
      </c>
      <c r="C72" s="1">
        <v>32</v>
      </c>
      <c r="D72" s="1">
        <f t="shared" si="16"/>
        <v>64</v>
      </c>
      <c r="E72" s="1">
        <v>5.1999999999999998E-3</v>
      </c>
      <c r="F72" s="14">
        <f t="shared" si="17"/>
        <v>9.0138781886599725E-3</v>
      </c>
      <c r="H72" s="1" t="s">
        <v>246</v>
      </c>
      <c r="I72" s="1">
        <v>32</v>
      </c>
      <c r="J72" s="1">
        <v>32</v>
      </c>
      <c r="K72" s="1">
        <f t="shared" si="18"/>
        <v>64</v>
      </c>
      <c r="L72" s="1">
        <v>2.0500000000000001E-2</v>
      </c>
      <c r="M72" s="14">
        <f t="shared" si="19"/>
        <v>1.7897276329095442E-2</v>
      </c>
      <c r="O72" s="1" t="s">
        <v>246</v>
      </c>
      <c r="P72" s="1">
        <v>32</v>
      </c>
      <c r="Q72" s="1">
        <v>32</v>
      </c>
      <c r="R72" s="1">
        <f t="shared" si="20"/>
        <v>64</v>
      </c>
      <c r="S72" s="1">
        <v>3.5000000000000001E-3</v>
      </c>
      <c r="T72" s="14">
        <f t="shared" si="21"/>
        <v>7.3950997288745202E-3</v>
      </c>
      <c r="AA72" s="14"/>
    </row>
    <row r="73" spans="1:27" ht="15.75" customHeight="1">
      <c r="A73" s="1" t="s">
        <v>247</v>
      </c>
      <c r="B73" s="1">
        <v>23</v>
      </c>
      <c r="C73" s="1">
        <v>23</v>
      </c>
      <c r="D73" s="1">
        <f t="shared" si="16"/>
        <v>46</v>
      </c>
      <c r="E73" s="1">
        <v>4.4999999999999997E-3</v>
      </c>
      <c r="F73" s="14">
        <f t="shared" si="17"/>
        <v>9.8907071009368044E-3</v>
      </c>
      <c r="H73" s="1" t="s">
        <v>247</v>
      </c>
      <c r="I73" s="1">
        <v>23</v>
      </c>
      <c r="J73" s="1">
        <v>23</v>
      </c>
      <c r="K73" s="1">
        <f t="shared" si="18"/>
        <v>46</v>
      </c>
      <c r="L73" s="1">
        <v>1.8700000000000001E-2</v>
      </c>
      <c r="M73" s="14">
        <f t="shared" si="19"/>
        <v>2.0162384262046858E-2</v>
      </c>
      <c r="O73" s="1" t="s">
        <v>247</v>
      </c>
      <c r="P73" s="1">
        <v>23</v>
      </c>
      <c r="Q73" s="1">
        <v>23</v>
      </c>
      <c r="R73" s="1">
        <f t="shared" si="20"/>
        <v>46</v>
      </c>
      <c r="S73" s="1">
        <v>3.0000000000000001E-3</v>
      </c>
      <c r="T73" s="14">
        <f t="shared" si="21"/>
        <v>8.0757285308724839E-3</v>
      </c>
      <c r="AA73" s="14"/>
    </row>
    <row r="74" spans="1:27" ht="15.75" customHeight="1">
      <c r="A74" s="1" t="s">
        <v>248</v>
      </c>
      <c r="B74" s="1">
        <v>19</v>
      </c>
      <c r="C74" s="1">
        <v>19</v>
      </c>
      <c r="D74" s="1">
        <f t="shared" si="16"/>
        <v>38</v>
      </c>
      <c r="E74" s="1">
        <v>4.4000000000000003E-3</v>
      </c>
      <c r="F74" s="14">
        <f t="shared" si="17"/>
        <v>1.0760551736979406E-2</v>
      </c>
      <c r="H74" s="1" t="s">
        <v>248</v>
      </c>
      <c r="I74" s="1">
        <v>19</v>
      </c>
      <c r="J74" s="1">
        <v>19</v>
      </c>
      <c r="K74" s="1">
        <f t="shared" si="18"/>
        <v>38</v>
      </c>
      <c r="L74" s="1">
        <v>2.47E-2</v>
      </c>
      <c r="M74" s="14">
        <f t="shared" si="19"/>
        <v>2.5495097567963924E-2</v>
      </c>
      <c r="O74" s="1" t="s">
        <v>248</v>
      </c>
      <c r="P74" s="1">
        <v>19</v>
      </c>
      <c r="Q74" s="1">
        <v>19</v>
      </c>
      <c r="R74" s="1">
        <f t="shared" si="20"/>
        <v>38</v>
      </c>
      <c r="S74" s="1">
        <v>3.0000000000000001E-3</v>
      </c>
      <c r="T74" s="14">
        <f t="shared" si="21"/>
        <v>8.8852331663863849E-3</v>
      </c>
      <c r="AA74" s="14"/>
    </row>
    <row r="75" spans="1:27" ht="15.75" customHeight="1">
      <c r="A75" s="1" t="s">
        <v>249</v>
      </c>
      <c r="B75" s="1">
        <v>15</v>
      </c>
      <c r="C75" s="1">
        <v>15</v>
      </c>
      <c r="D75" s="1">
        <f t="shared" si="16"/>
        <v>30</v>
      </c>
      <c r="E75" s="1">
        <v>1.8E-3</v>
      </c>
      <c r="F75" s="14">
        <f t="shared" si="17"/>
        <v>7.7459666924148338E-3</v>
      </c>
      <c r="H75" s="1" t="s">
        <v>249</v>
      </c>
      <c r="I75" s="1">
        <v>15</v>
      </c>
      <c r="J75" s="1">
        <v>15</v>
      </c>
      <c r="K75" s="1">
        <f t="shared" si="18"/>
        <v>30</v>
      </c>
      <c r="L75" s="1">
        <v>1.23E-2</v>
      </c>
      <c r="M75" s="14">
        <f t="shared" si="19"/>
        <v>2.0248456731316585E-2</v>
      </c>
      <c r="O75" s="1" t="s">
        <v>249</v>
      </c>
      <c r="P75" s="1">
        <v>15</v>
      </c>
      <c r="Q75" s="1">
        <v>15</v>
      </c>
      <c r="R75" s="1">
        <f t="shared" si="20"/>
        <v>30</v>
      </c>
      <c r="S75" s="1">
        <v>1.6000000000000001E-3</v>
      </c>
      <c r="T75" s="14">
        <f t="shared" si="21"/>
        <v>7.3029674334022148E-3</v>
      </c>
      <c r="AA75" s="14"/>
    </row>
    <row r="76" spans="1:27" ht="15.75" customHeight="1">
      <c r="A76" s="1" t="s">
        <v>250</v>
      </c>
      <c r="B76" s="1">
        <v>14</v>
      </c>
      <c r="C76" s="1">
        <v>14</v>
      </c>
      <c r="D76" s="1">
        <f t="shared" si="16"/>
        <v>28</v>
      </c>
      <c r="E76" s="1">
        <v>1.1999999999999999E-3</v>
      </c>
      <c r="F76" s="14">
        <f t="shared" si="17"/>
        <v>6.546536707079771E-3</v>
      </c>
      <c r="H76" s="1" t="s">
        <v>250</v>
      </c>
      <c r="I76" s="1">
        <v>14</v>
      </c>
      <c r="J76" s="1">
        <v>14</v>
      </c>
      <c r="K76" s="1">
        <f t="shared" si="18"/>
        <v>28</v>
      </c>
      <c r="L76" s="1">
        <v>5.7999999999999996E-3</v>
      </c>
      <c r="M76" s="14">
        <f t="shared" si="19"/>
        <v>1.4392458342578488E-2</v>
      </c>
      <c r="O76" s="1" t="s">
        <v>250</v>
      </c>
      <c r="P76" s="1">
        <v>14</v>
      </c>
      <c r="Q76" s="1">
        <v>14</v>
      </c>
      <c r="R76" s="1">
        <f t="shared" si="20"/>
        <v>28</v>
      </c>
      <c r="S76" s="1">
        <v>3.3999999999999998E-3</v>
      </c>
      <c r="T76" s="14">
        <f t="shared" si="21"/>
        <v>1.1019463300386794E-2</v>
      </c>
      <c r="AA76" s="14"/>
    </row>
    <row r="77" spans="1:27" ht="15.75" customHeight="1">
      <c r="A77" s="1" t="s">
        <v>251</v>
      </c>
      <c r="B77" s="1">
        <v>27</v>
      </c>
      <c r="C77" s="1">
        <v>27</v>
      </c>
      <c r="D77" s="1">
        <f t="shared" si="16"/>
        <v>54</v>
      </c>
      <c r="E77" s="1">
        <v>2.3999999999999998E-3</v>
      </c>
      <c r="F77" s="14">
        <f t="shared" si="17"/>
        <v>6.6666666666666662E-3</v>
      </c>
      <c r="H77" s="1" t="s">
        <v>251</v>
      </c>
      <c r="I77" s="1">
        <v>27</v>
      </c>
      <c r="J77" s="1">
        <v>27</v>
      </c>
      <c r="K77" s="1">
        <f t="shared" si="18"/>
        <v>54</v>
      </c>
      <c r="L77" s="1">
        <v>7.7000000000000002E-3</v>
      </c>
      <c r="M77" s="14">
        <f t="shared" si="19"/>
        <v>1.1941214033447042E-2</v>
      </c>
      <c r="O77" s="1" t="s">
        <v>251</v>
      </c>
      <c r="P77" s="1">
        <v>27</v>
      </c>
      <c r="Q77" s="1">
        <v>27</v>
      </c>
      <c r="R77" s="1">
        <f t="shared" si="20"/>
        <v>54</v>
      </c>
      <c r="S77" s="1">
        <v>2.5999999999999999E-3</v>
      </c>
      <c r="T77" s="14">
        <f t="shared" si="21"/>
        <v>6.9388866648871089E-3</v>
      </c>
      <c r="AA77" s="14"/>
    </row>
    <row r="78" spans="1:27" ht="15.75" customHeight="1">
      <c r="A78" s="1" t="s">
        <v>252</v>
      </c>
      <c r="B78" s="1">
        <v>18</v>
      </c>
      <c r="C78" s="1">
        <v>18</v>
      </c>
      <c r="D78" s="1">
        <f t="shared" si="16"/>
        <v>36</v>
      </c>
      <c r="E78" s="1">
        <v>2.0999999999999999E-3</v>
      </c>
      <c r="F78" s="14">
        <f t="shared" si="17"/>
        <v>7.6376261582597332E-3</v>
      </c>
      <c r="H78" s="1" t="s">
        <v>252</v>
      </c>
      <c r="I78" s="1">
        <v>18</v>
      </c>
      <c r="J78" s="1">
        <v>18</v>
      </c>
      <c r="K78" s="1">
        <f t="shared" si="18"/>
        <v>36</v>
      </c>
      <c r="L78" s="1">
        <v>6.4999999999999997E-3</v>
      </c>
      <c r="M78" s="14">
        <f t="shared" si="19"/>
        <v>1.343709624716425E-2</v>
      </c>
      <c r="O78" s="1" t="s">
        <v>252</v>
      </c>
      <c r="P78" s="1">
        <v>18</v>
      </c>
      <c r="Q78" s="1">
        <v>18</v>
      </c>
      <c r="R78" s="1">
        <f t="shared" si="20"/>
        <v>36</v>
      </c>
      <c r="S78" s="1">
        <v>2.0999999999999999E-3</v>
      </c>
      <c r="T78" s="14">
        <f t="shared" si="21"/>
        <v>7.6376261582597332E-3</v>
      </c>
      <c r="AA78" s="14"/>
    </row>
    <row r="79" spans="1:27" ht="15.75" customHeight="1">
      <c r="A79" s="1" t="s">
        <v>253</v>
      </c>
      <c r="B79" s="1">
        <v>12</v>
      </c>
      <c r="C79" s="1">
        <v>12</v>
      </c>
      <c r="D79" s="1">
        <f t="shared" si="16"/>
        <v>24</v>
      </c>
      <c r="E79" s="1">
        <v>2.5000000000000001E-3</v>
      </c>
      <c r="F79" s="14">
        <f t="shared" si="17"/>
        <v>1.0206207261596576E-2</v>
      </c>
      <c r="H79" s="1" t="s">
        <v>253</v>
      </c>
      <c r="I79" s="1">
        <v>12</v>
      </c>
      <c r="J79" s="1">
        <v>12</v>
      </c>
      <c r="K79" s="1">
        <f t="shared" si="18"/>
        <v>24</v>
      </c>
      <c r="L79" s="1">
        <v>3.0999999999999999E-3</v>
      </c>
      <c r="M79" s="14">
        <f t="shared" si="19"/>
        <v>1.1365151414154881E-2</v>
      </c>
      <c r="O79" s="1" t="s">
        <v>253</v>
      </c>
      <c r="P79" s="1">
        <v>12</v>
      </c>
      <c r="Q79" s="1">
        <v>12</v>
      </c>
      <c r="R79" s="1">
        <f t="shared" si="20"/>
        <v>24</v>
      </c>
      <c r="S79" s="1">
        <v>3.5999999999999999E-3</v>
      </c>
      <c r="T79" s="14">
        <f t="shared" si="21"/>
        <v>1.2247448713915889E-2</v>
      </c>
      <c r="AA79" s="14"/>
    </row>
    <row r="80" spans="1:27" ht="15.75" customHeight="1">
      <c r="A80" s="1" t="s">
        <v>254</v>
      </c>
      <c r="B80" s="1">
        <v>11</v>
      </c>
      <c r="C80" s="1">
        <v>11</v>
      </c>
      <c r="D80" s="1">
        <f t="shared" si="16"/>
        <v>22</v>
      </c>
      <c r="E80" s="1">
        <v>1.1000000000000001E-3</v>
      </c>
      <c r="F80" s="14">
        <f t="shared" si="17"/>
        <v>7.0710678118654753E-3</v>
      </c>
      <c r="H80" s="1" t="s">
        <v>254</v>
      </c>
      <c r="I80" s="1">
        <v>11</v>
      </c>
      <c r="J80" s="1">
        <v>11</v>
      </c>
      <c r="K80" s="1">
        <f t="shared" si="18"/>
        <v>22</v>
      </c>
      <c r="L80" s="1">
        <v>2E-3</v>
      </c>
      <c r="M80" s="14">
        <f t="shared" si="19"/>
        <v>9.5346258924559231E-3</v>
      </c>
      <c r="O80" s="1" t="s">
        <v>254</v>
      </c>
      <c r="P80" s="1">
        <v>11</v>
      </c>
      <c r="Q80" s="1">
        <v>11</v>
      </c>
      <c r="R80" s="1">
        <f t="shared" si="20"/>
        <v>22</v>
      </c>
      <c r="S80" s="1">
        <v>8.9999999999999998E-4</v>
      </c>
      <c r="T80" s="14">
        <f t="shared" si="21"/>
        <v>6.3960214906683133E-3</v>
      </c>
      <c r="AA80" s="14"/>
    </row>
    <row r="81" spans="1:27" ht="15.75" customHeight="1">
      <c r="A81" s="1" t="s">
        <v>255</v>
      </c>
      <c r="B81" s="1">
        <v>28</v>
      </c>
      <c r="C81" s="1">
        <v>28</v>
      </c>
      <c r="D81" s="1">
        <f t="shared" si="16"/>
        <v>56</v>
      </c>
      <c r="E81" s="1">
        <v>1.7600000000000001E-2</v>
      </c>
      <c r="F81" s="14">
        <f t="shared" si="17"/>
        <v>1.7728105208558366E-2</v>
      </c>
      <c r="H81" s="1" t="s">
        <v>255</v>
      </c>
      <c r="I81" s="1">
        <v>28</v>
      </c>
      <c r="J81" s="1">
        <v>28</v>
      </c>
      <c r="K81" s="1">
        <f t="shared" si="18"/>
        <v>56</v>
      </c>
      <c r="L81" s="1">
        <v>3.2300000000000002E-2</v>
      </c>
      <c r="M81" s="14">
        <f t="shared" si="19"/>
        <v>2.4016363469220613E-2</v>
      </c>
      <c r="O81" s="1" t="s">
        <v>255</v>
      </c>
      <c r="P81" s="1">
        <v>28</v>
      </c>
      <c r="Q81" s="1">
        <v>28</v>
      </c>
      <c r="R81" s="1">
        <f t="shared" si="20"/>
        <v>56</v>
      </c>
      <c r="S81" s="1">
        <v>1.6799999999999999E-2</v>
      </c>
      <c r="T81" s="14">
        <f t="shared" si="21"/>
        <v>1.7320508075688773E-2</v>
      </c>
      <c r="AA81" s="14"/>
    </row>
    <row r="82" spans="1:27" ht="15.75" customHeight="1">
      <c r="A82" s="1" t="s">
        <v>256</v>
      </c>
      <c r="B82" s="1">
        <v>19</v>
      </c>
      <c r="C82" s="1">
        <v>19</v>
      </c>
      <c r="D82" s="1">
        <f t="shared" si="16"/>
        <v>38</v>
      </c>
      <c r="E82" s="1">
        <v>1.7899999999999999E-2</v>
      </c>
      <c r="F82" s="14">
        <f t="shared" si="17"/>
        <v>2.1703746947910801E-2</v>
      </c>
      <c r="H82" s="1" t="s">
        <v>256</v>
      </c>
      <c r="I82" s="1">
        <v>19</v>
      </c>
      <c r="J82" s="1">
        <v>19</v>
      </c>
      <c r="K82" s="1">
        <f t="shared" si="18"/>
        <v>38</v>
      </c>
      <c r="L82" s="1">
        <v>3.2500000000000001E-2</v>
      </c>
      <c r="M82" s="14">
        <f t="shared" si="19"/>
        <v>2.9244882593280092E-2</v>
      </c>
      <c r="O82" s="1" t="s">
        <v>256</v>
      </c>
      <c r="P82" s="1">
        <v>19</v>
      </c>
      <c r="Q82" s="1">
        <v>19</v>
      </c>
      <c r="R82" s="1">
        <f t="shared" si="20"/>
        <v>38</v>
      </c>
      <c r="S82" s="1">
        <v>1.6799999999999999E-2</v>
      </c>
      <c r="T82" s="14">
        <f t="shared" si="21"/>
        <v>2.1026299321513873E-2</v>
      </c>
      <c r="AA82" s="14"/>
    </row>
    <row r="83" spans="1:27" ht="15.75" customHeight="1">
      <c r="A83" s="1" t="s">
        <v>257</v>
      </c>
      <c r="B83" s="1">
        <v>15</v>
      </c>
      <c r="C83" s="1">
        <v>15</v>
      </c>
      <c r="D83" s="1">
        <f t="shared" si="16"/>
        <v>30</v>
      </c>
      <c r="E83" s="1">
        <v>1.6899999999999998E-2</v>
      </c>
      <c r="F83" s="14">
        <f t="shared" si="17"/>
        <v>2.3734644158557198E-2</v>
      </c>
      <c r="H83" s="1" t="s">
        <v>257</v>
      </c>
      <c r="I83" s="1">
        <v>15</v>
      </c>
      <c r="J83" s="1">
        <v>15</v>
      </c>
      <c r="K83" s="1">
        <f t="shared" si="18"/>
        <v>30</v>
      </c>
      <c r="L83" s="1">
        <v>3.4500000000000003E-2</v>
      </c>
      <c r="M83" s="14">
        <f t="shared" si="19"/>
        <v>3.3911649915626341E-2</v>
      </c>
      <c r="O83" s="1" t="s">
        <v>257</v>
      </c>
      <c r="P83" s="1">
        <v>15</v>
      </c>
      <c r="Q83" s="1">
        <v>15</v>
      </c>
      <c r="R83" s="1">
        <f t="shared" si="20"/>
        <v>30</v>
      </c>
      <c r="S83" s="1">
        <v>1.61E-2</v>
      </c>
      <c r="T83" s="14">
        <f t="shared" si="21"/>
        <v>2.3166067138525405E-2</v>
      </c>
      <c r="AA83" s="14"/>
    </row>
    <row r="84" spans="1:27" ht="15.75" customHeight="1">
      <c r="A84" s="1" t="s">
        <v>258</v>
      </c>
      <c r="B84" s="1">
        <v>11</v>
      </c>
      <c r="C84" s="1">
        <v>11</v>
      </c>
      <c r="D84" s="1">
        <f t="shared" si="16"/>
        <v>22</v>
      </c>
      <c r="E84" s="1">
        <v>1.4E-2</v>
      </c>
      <c r="F84" s="14">
        <f t="shared" si="17"/>
        <v>2.5226248955475653E-2</v>
      </c>
      <c r="H84" s="1" t="s">
        <v>258</v>
      </c>
      <c r="I84" s="1">
        <v>11</v>
      </c>
      <c r="J84" s="1">
        <v>11</v>
      </c>
      <c r="K84" s="1">
        <f t="shared" si="18"/>
        <v>22</v>
      </c>
      <c r="L84" s="1">
        <v>2.1999999999999999E-2</v>
      </c>
      <c r="M84" s="14">
        <f t="shared" si="19"/>
        <v>3.1622776601683791E-2</v>
      </c>
      <c r="O84" s="1" t="s">
        <v>258</v>
      </c>
      <c r="P84" s="1">
        <v>11</v>
      </c>
      <c r="Q84" s="1">
        <v>11</v>
      </c>
      <c r="R84" s="1">
        <f t="shared" si="20"/>
        <v>22</v>
      </c>
      <c r="S84" s="1">
        <v>1.24E-2</v>
      </c>
      <c r="T84" s="14">
        <f t="shared" si="21"/>
        <v>2.3741027013091991E-2</v>
      </c>
      <c r="AA84" s="14"/>
    </row>
    <row r="85" spans="1:27" ht="15.75" customHeight="1">
      <c r="A85" s="1" t="s">
        <v>259</v>
      </c>
      <c r="B85" s="1">
        <v>19</v>
      </c>
      <c r="C85" s="1">
        <v>19</v>
      </c>
      <c r="D85" s="1">
        <f t="shared" si="16"/>
        <v>38</v>
      </c>
      <c r="E85" s="1">
        <v>2.3E-3</v>
      </c>
      <c r="F85" s="14">
        <f t="shared" si="17"/>
        <v>7.7798660521549911E-3</v>
      </c>
      <c r="H85" s="1" t="s">
        <v>259</v>
      </c>
      <c r="I85" s="1">
        <v>19</v>
      </c>
      <c r="J85" s="1">
        <v>19</v>
      </c>
      <c r="K85" s="1">
        <f t="shared" si="18"/>
        <v>38</v>
      </c>
      <c r="L85" s="1">
        <v>8.8999999999999999E-3</v>
      </c>
      <c r="M85" s="14">
        <f t="shared" si="19"/>
        <v>1.5303938261630222E-2</v>
      </c>
      <c r="O85" s="1" t="s">
        <v>259</v>
      </c>
      <c r="P85" s="1">
        <v>19</v>
      </c>
      <c r="Q85" s="1">
        <v>19</v>
      </c>
      <c r="R85" s="1">
        <f t="shared" si="20"/>
        <v>38</v>
      </c>
      <c r="S85" s="1">
        <v>3.5999999999999999E-3</v>
      </c>
      <c r="T85" s="14">
        <f t="shared" si="21"/>
        <v>9.733285267845752E-3</v>
      </c>
      <c r="AA85" s="14"/>
    </row>
    <row r="86" spans="1:27" ht="15.75" customHeight="1">
      <c r="A86" s="1" t="s">
        <v>260</v>
      </c>
      <c r="B86" s="1">
        <v>32</v>
      </c>
      <c r="C86" s="1">
        <v>32</v>
      </c>
      <c r="D86" s="1">
        <f t="shared" si="16"/>
        <v>64</v>
      </c>
      <c r="E86" s="1">
        <v>1.9E-3</v>
      </c>
      <c r="F86" s="14">
        <f t="shared" si="17"/>
        <v>5.4486236794258416E-3</v>
      </c>
      <c r="H86" s="1" t="s">
        <v>260</v>
      </c>
      <c r="I86" s="1">
        <v>32</v>
      </c>
      <c r="J86" s="1">
        <v>32</v>
      </c>
      <c r="K86" s="1">
        <f t="shared" si="18"/>
        <v>64</v>
      </c>
      <c r="L86" s="1">
        <v>9.7999999999999997E-3</v>
      </c>
      <c r="M86" s="14">
        <f t="shared" si="19"/>
        <v>1.2374368670764581E-2</v>
      </c>
      <c r="O86" s="1" t="s">
        <v>260</v>
      </c>
      <c r="P86" s="1">
        <v>32</v>
      </c>
      <c r="Q86" s="1">
        <v>32</v>
      </c>
      <c r="R86" s="1">
        <f t="shared" si="20"/>
        <v>64</v>
      </c>
      <c r="S86" s="1">
        <v>2.0999999999999999E-3</v>
      </c>
      <c r="T86" s="14">
        <f t="shared" si="21"/>
        <v>5.7282196186947999E-3</v>
      </c>
      <c r="AA86" s="14"/>
    </row>
    <row r="87" spans="1:27" ht="15.75" customHeight="1">
      <c r="A87" s="1" t="s">
        <v>261</v>
      </c>
      <c r="B87" s="1">
        <v>23</v>
      </c>
      <c r="C87" s="1">
        <v>23</v>
      </c>
      <c r="D87" s="1">
        <f t="shared" si="16"/>
        <v>46</v>
      </c>
      <c r="E87" s="1">
        <v>1.6999999999999999E-3</v>
      </c>
      <c r="F87" s="14">
        <f t="shared" si="17"/>
        <v>6.0791875887432883E-3</v>
      </c>
      <c r="H87" s="1" t="s">
        <v>261</v>
      </c>
      <c r="I87" s="1">
        <v>23</v>
      </c>
      <c r="J87" s="1">
        <v>23</v>
      </c>
      <c r="K87" s="1">
        <f t="shared" si="18"/>
        <v>46</v>
      </c>
      <c r="L87" s="1">
        <v>8.2000000000000007E-3</v>
      </c>
      <c r="M87" s="14">
        <f t="shared" si="19"/>
        <v>1.3351436985029641E-2</v>
      </c>
      <c r="O87" s="1" t="s">
        <v>261</v>
      </c>
      <c r="P87" s="1">
        <v>23</v>
      </c>
      <c r="Q87" s="1">
        <v>23</v>
      </c>
      <c r="R87" s="1">
        <f t="shared" si="20"/>
        <v>46</v>
      </c>
      <c r="S87" s="1">
        <v>1.6999999999999999E-3</v>
      </c>
      <c r="T87" s="14">
        <f t="shared" si="21"/>
        <v>6.0791875887432883E-3</v>
      </c>
      <c r="AA87" s="14"/>
    </row>
    <row r="89" spans="1:27" ht="15.75" customHeight="1">
      <c r="E89" s="1" t="s">
        <v>276</v>
      </c>
      <c r="F89" s="14">
        <f>AVERAGE(F63:F87)</f>
        <v>1.0606123282871522E-2</v>
      </c>
      <c r="L89" s="1" t="s">
        <v>276</v>
      </c>
      <c r="M89" s="14">
        <f>AVERAGE(M63:M87)</f>
        <v>1.8910764761343492E-2</v>
      </c>
      <c r="S89" s="1" t="s">
        <v>276</v>
      </c>
      <c r="T89" s="14">
        <f>AVERAGE(T63:T87)</f>
        <v>1.053602403631239E-2</v>
      </c>
    </row>
    <row r="90" spans="1:27" ht="15.75" customHeight="1">
      <c r="A90" s="1" t="s">
        <v>264</v>
      </c>
      <c r="C90" s="1" t="s">
        <v>278</v>
      </c>
      <c r="H90" s="1" t="s">
        <v>63</v>
      </c>
      <c r="J90" s="1" t="s">
        <v>278</v>
      </c>
      <c r="O90" s="1" t="s">
        <v>265</v>
      </c>
      <c r="Q90" s="1" t="s">
        <v>278</v>
      </c>
    </row>
    <row r="91" spans="1:27" ht="15.75" customHeight="1">
      <c r="A91" s="1" t="s">
        <v>231</v>
      </c>
      <c r="B91" s="1" t="s">
        <v>292</v>
      </c>
      <c r="C91" s="1" t="s">
        <v>293</v>
      </c>
      <c r="D91" s="1" t="s">
        <v>294</v>
      </c>
      <c r="E91" s="1" t="s">
        <v>295</v>
      </c>
      <c r="F91" s="1" t="s">
        <v>296</v>
      </c>
      <c r="H91" s="1" t="s">
        <v>231</v>
      </c>
      <c r="I91" s="1" t="s">
        <v>292</v>
      </c>
      <c r="J91" s="1" t="s">
        <v>293</v>
      </c>
      <c r="K91" s="1" t="s">
        <v>294</v>
      </c>
      <c r="L91" s="1" t="s">
        <v>295</v>
      </c>
      <c r="M91" s="1" t="s">
        <v>296</v>
      </c>
      <c r="O91" s="1" t="s">
        <v>231</v>
      </c>
      <c r="P91" s="1" t="s">
        <v>292</v>
      </c>
      <c r="Q91" s="1" t="s">
        <v>293</v>
      </c>
      <c r="R91" s="1" t="s">
        <v>294</v>
      </c>
      <c r="S91" s="1" t="s">
        <v>295</v>
      </c>
      <c r="T91" s="1" t="s">
        <v>296</v>
      </c>
    </row>
    <row r="92" spans="1:27" ht="15.75" customHeight="1">
      <c r="A92" s="1" t="s">
        <v>237</v>
      </c>
      <c r="B92" s="1">
        <v>19</v>
      </c>
      <c r="C92" s="1">
        <v>17</v>
      </c>
      <c r="D92" s="1">
        <f t="shared" ref="D92:D116" si="22">SUM(B92:C92)</f>
        <v>36</v>
      </c>
      <c r="E92" s="1">
        <v>5.7999999999999996E-3</v>
      </c>
      <c r="F92" s="14">
        <f t="shared" ref="F92:F116" si="23">SQRT(E92/D92)</f>
        <v>1.2692955176439848E-2</v>
      </c>
      <c r="H92" s="1" t="s">
        <v>237</v>
      </c>
      <c r="I92" s="1">
        <v>19</v>
      </c>
      <c r="J92" s="1">
        <v>17</v>
      </c>
      <c r="K92" s="1">
        <f t="shared" ref="K92:K116" si="24">SUM(I92:J92)</f>
        <v>36</v>
      </c>
      <c r="L92" s="1">
        <v>0.18590000000000001</v>
      </c>
      <c r="M92" s="14">
        <f t="shared" ref="M92:M116" si="25">SQRT(L92/K92)</f>
        <v>7.1860203791033667E-2</v>
      </c>
      <c r="O92" s="1" t="s">
        <v>237</v>
      </c>
      <c r="P92" s="1">
        <v>19</v>
      </c>
      <c r="Q92" s="1">
        <v>17</v>
      </c>
      <c r="R92" s="1">
        <f t="shared" ref="R92:R116" si="26">SUM(P92:Q92)</f>
        <v>36</v>
      </c>
      <c r="S92" s="1">
        <v>5.8999999999999999E-3</v>
      </c>
      <c r="T92" s="14">
        <f t="shared" ref="T92:T116" si="27">SQRT(S92/R92)</f>
        <v>1.2801909579781013E-2</v>
      </c>
      <c r="AA92" s="14"/>
    </row>
    <row r="93" spans="1:27" ht="15.75" customHeight="1">
      <c r="A93" s="1" t="s">
        <v>238</v>
      </c>
      <c r="B93" s="1">
        <v>15</v>
      </c>
      <c r="C93" s="1">
        <v>13</v>
      </c>
      <c r="D93" s="1">
        <f t="shared" si="22"/>
        <v>28</v>
      </c>
      <c r="E93" s="1">
        <v>9.1000000000000004E-3</v>
      </c>
      <c r="F93" s="14">
        <f t="shared" si="23"/>
        <v>1.8027756377319949E-2</v>
      </c>
      <c r="H93" s="1" t="s">
        <v>238</v>
      </c>
      <c r="I93" s="1">
        <v>15</v>
      </c>
      <c r="J93" s="1">
        <v>13</v>
      </c>
      <c r="K93" s="1">
        <f t="shared" si="24"/>
        <v>28</v>
      </c>
      <c r="L93" s="1">
        <v>1.2500000000000001E-2</v>
      </c>
      <c r="M93" s="14">
        <f t="shared" si="25"/>
        <v>2.1128856368212916E-2</v>
      </c>
      <c r="O93" s="1" t="s">
        <v>238</v>
      </c>
      <c r="P93" s="1">
        <v>15</v>
      </c>
      <c r="Q93" s="1">
        <v>13</v>
      </c>
      <c r="R93" s="1">
        <f t="shared" si="26"/>
        <v>28</v>
      </c>
      <c r="S93" s="1">
        <v>6.7000000000000002E-3</v>
      </c>
      <c r="T93" s="14">
        <f t="shared" si="27"/>
        <v>1.546886273407694E-2</v>
      </c>
      <c r="AA93" s="14"/>
    </row>
    <row r="94" spans="1:27" ht="15.75" customHeight="1">
      <c r="A94" s="1" t="s">
        <v>239</v>
      </c>
      <c r="B94" s="1">
        <v>11</v>
      </c>
      <c r="C94" s="1">
        <v>9</v>
      </c>
      <c r="D94" s="1">
        <f t="shared" si="22"/>
        <v>20</v>
      </c>
      <c r="E94" s="1">
        <v>4.8999999999999998E-3</v>
      </c>
      <c r="F94" s="14">
        <f t="shared" si="23"/>
        <v>1.5652475842498528E-2</v>
      </c>
      <c r="H94" s="1" t="s">
        <v>239</v>
      </c>
      <c r="I94" s="1">
        <v>11</v>
      </c>
      <c r="J94" s="1">
        <v>9</v>
      </c>
      <c r="K94" s="1">
        <f t="shared" si="24"/>
        <v>20</v>
      </c>
      <c r="L94" s="1">
        <v>1.2E-2</v>
      </c>
      <c r="M94" s="14">
        <f t="shared" si="25"/>
        <v>2.4494897427831782E-2</v>
      </c>
      <c r="O94" s="1" t="s">
        <v>239</v>
      </c>
      <c r="P94" s="1">
        <v>11</v>
      </c>
      <c r="Q94" s="1">
        <v>9</v>
      </c>
      <c r="R94" s="1">
        <f t="shared" si="26"/>
        <v>20</v>
      </c>
      <c r="S94" s="1">
        <v>5.7000000000000002E-3</v>
      </c>
      <c r="T94" s="14">
        <f t="shared" si="27"/>
        <v>1.6881943016134132E-2</v>
      </c>
      <c r="AA94" s="14"/>
    </row>
    <row r="95" spans="1:27" ht="15.75" customHeight="1">
      <c r="A95" s="1" t="s">
        <v>240</v>
      </c>
      <c r="B95" s="1">
        <v>19</v>
      </c>
      <c r="C95" s="1">
        <v>17</v>
      </c>
      <c r="D95" s="1">
        <f t="shared" si="22"/>
        <v>36</v>
      </c>
      <c r="E95" s="1">
        <v>1.46E-2</v>
      </c>
      <c r="F95" s="14">
        <f t="shared" si="23"/>
        <v>2.0138409955990953E-2</v>
      </c>
      <c r="H95" s="1" t="s">
        <v>240</v>
      </c>
      <c r="I95" s="1">
        <v>19</v>
      </c>
      <c r="J95" s="1">
        <v>17</v>
      </c>
      <c r="K95" s="1">
        <f t="shared" si="24"/>
        <v>36</v>
      </c>
      <c r="L95" s="1">
        <v>1.2200000000000001E-2</v>
      </c>
      <c r="M95" s="14">
        <f t="shared" si="25"/>
        <v>1.8408935028645435E-2</v>
      </c>
      <c r="O95" s="1" t="s">
        <v>240</v>
      </c>
      <c r="P95" s="1">
        <v>19</v>
      </c>
      <c r="Q95" s="1">
        <v>17</v>
      </c>
      <c r="R95" s="1">
        <f t="shared" si="26"/>
        <v>36</v>
      </c>
      <c r="S95" s="1">
        <v>0.3397</v>
      </c>
      <c r="T95" s="14">
        <f t="shared" si="27"/>
        <v>9.7139647472652024E-2</v>
      </c>
      <c r="AA95" s="14"/>
    </row>
    <row r="96" spans="1:27" ht="15.75" customHeight="1">
      <c r="A96" s="1" t="s">
        <v>241</v>
      </c>
      <c r="B96" s="1">
        <v>15</v>
      </c>
      <c r="C96" s="1">
        <v>13</v>
      </c>
      <c r="D96" s="1">
        <f t="shared" si="22"/>
        <v>28</v>
      </c>
      <c r="E96" s="1">
        <v>1.01E-2</v>
      </c>
      <c r="F96" s="14">
        <f t="shared" si="23"/>
        <v>1.8992479714726188E-2</v>
      </c>
      <c r="H96" s="1" t="s">
        <v>241</v>
      </c>
      <c r="I96" s="1">
        <v>15</v>
      </c>
      <c r="J96" s="1">
        <v>13</v>
      </c>
      <c r="K96" s="1">
        <f t="shared" si="24"/>
        <v>28</v>
      </c>
      <c r="L96" s="1">
        <v>1.4999999999999999E-2</v>
      </c>
      <c r="M96" s="14">
        <f t="shared" si="25"/>
        <v>2.3145502494313786E-2</v>
      </c>
      <c r="O96" s="1" t="s">
        <v>241</v>
      </c>
      <c r="P96" s="1">
        <v>15</v>
      </c>
      <c r="Q96" s="1">
        <v>13</v>
      </c>
      <c r="R96" s="1">
        <f t="shared" si="26"/>
        <v>28</v>
      </c>
      <c r="S96" s="1">
        <v>6.4000000000000003E-3</v>
      </c>
      <c r="T96" s="14">
        <f t="shared" si="27"/>
        <v>1.5118578920369091E-2</v>
      </c>
      <c r="AA96" s="14"/>
    </row>
    <row r="97" spans="1:27" ht="15.75" customHeight="1">
      <c r="A97" s="1" t="s">
        <v>242</v>
      </c>
      <c r="B97" s="1">
        <v>11</v>
      </c>
      <c r="C97" s="1">
        <v>9</v>
      </c>
      <c r="D97" s="1">
        <f t="shared" si="22"/>
        <v>20</v>
      </c>
      <c r="E97" s="1">
        <v>3.8E-3</v>
      </c>
      <c r="F97" s="14">
        <f t="shared" si="23"/>
        <v>1.3784048752090222E-2</v>
      </c>
      <c r="H97" s="1" t="s">
        <v>242</v>
      </c>
      <c r="I97" s="1">
        <v>11</v>
      </c>
      <c r="J97" s="1">
        <v>9</v>
      </c>
      <c r="K97" s="1">
        <f t="shared" si="24"/>
        <v>20</v>
      </c>
      <c r="L97" s="1">
        <v>5.1000000000000004E-3</v>
      </c>
      <c r="M97" s="14">
        <f t="shared" si="25"/>
        <v>1.5968719422671314E-2</v>
      </c>
      <c r="O97" s="1" t="s">
        <v>242</v>
      </c>
      <c r="P97" s="1">
        <v>11</v>
      </c>
      <c r="Q97" s="1">
        <v>9</v>
      </c>
      <c r="R97" s="1">
        <f t="shared" si="26"/>
        <v>20</v>
      </c>
      <c r="S97" s="1">
        <v>3.3E-3</v>
      </c>
      <c r="T97" s="14">
        <f t="shared" si="27"/>
        <v>1.284523257866513E-2</v>
      </c>
      <c r="AA97" s="14"/>
    </row>
    <row r="98" spans="1:27" ht="15.75" customHeight="1">
      <c r="A98" s="1" t="s">
        <v>243</v>
      </c>
      <c r="B98" s="1">
        <v>15</v>
      </c>
      <c r="C98" s="1">
        <v>13</v>
      </c>
      <c r="D98" s="1">
        <f t="shared" si="22"/>
        <v>28</v>
      </c>
      <c r="E98" s="1">
        <v>8.9999999999999993E-3</v>
      </c>
      <c r="F98" s="14">
        <f t="shared" si="23"/>
        <v>1.7928429140015904E-2</v>
      </c>
      <c r="H98" s="1" t="s">
        <v>243</v>
      </c>
      <c r="I98" s="1">
        <v>15</v>
      </c>
      <c r="J98" s="1">
        <v>13</v>
      </c>
      <c r="K98" s="1">
        <f t="shared" si="24"/>
        <v>28</v>
      </c>
      <c r="L98" s="1">
        <v>1.8200000000000001E-2</v>
      </c>
      <c r="M98" s="14">
        <f t="shared" si="25"/>
        <v>2.5495097567963927E-2</v>
      </c>
      <c r="O98" s="1" t="s">
        <v>243</v>
      </c>
      <c r="P98" s="1">
        <v>15</v>
      </c>
      <c r="Q98" s="1">
        <v>13</v>
      </c>
      <c r="R98" s="1">
        <f t="shared" si="26"/>
        <v>28</v>
      </c>
      <c r="S98" s="1">
        <v>7.7000000000000002E-3</v>
      </c>
      <c r="T98" s="14">
        <f t="shared" si="27"/>
        <v>1.6583123951776999E-2</v>
      </c>
      <c r="AA98" s="14"/>
    </row>
    <row r="99" spans="1:27" ht="15.75" customHeight="1">
      <c r="A99" s="1" t="s">
        <v>244</v>
      </c>
      <c r="B99" s="1">
        <v>28</v>
      </c>
      <c r="C99" s="1">
        <v>26</v>
      </c>
      <c r="D99" s="1">
        <f t="shared" si="22"/>
        <v>54</v>
      </c>
      <c r="E99" s="1">
        <v>8.0999999999999996E-3</v>
      </c>
      <c r="F99" s="14">
        <f t="shared" si="23"/>
        <v>1.2247448713915889E-2</v>
      </c>
      <c r="H99" s="1" t="s">
        <v>244</v>
      </c>
      <c r="I99" s="1">
        <v>28</v>
      </c>
      <c r="J99" s="1">
        <v>26</v>
      </c>
      <c r="K99" s="1">
        <f t="shared" si="24"/>
        <v>54</v>
      </c>
      <c r="L99" s="1">
        <v>1.5800000000000002E-2</v>
      </c>
      <c r="M99" s="14">
        <f t="shared" si="25"/>
        <v>1.7105338131489616E-2</v>
      </c>
      <c r="O99" s="1" t="s">
        <v>244</v>
      </c>
      <c r="P99" s="1">
        <v>28</v>
      </c>
      <c r="Q99" s="1">
        <v>26</v>
      </c>
      <c r="R99" s="1">
        <f t="shared" si="26"/>
        <v>54</v>
      </c>
      <c r="S99" s="1">
        <v>7.6E-3</v>
      </c>
      <c r="T99" s="14">
        <f t="shared" si="27"/>
        <v>1.186342028003479E-2</v>
      </c>
      <c r="AA99" s="14"/>
    </row>
    <row r="100" spans="1:27" ht="15.75" customHeight="1">
      <c r="A100" s="1" t="s">
        <v>245</v>
      </c>
      <c r="B100" s="1">
        <v>19</v>
      </c>
      <c r="C100" s="1">
        <v>17</v>
      </c>
      <c r="D100" s="1">
        <f t="shared" si="22"/>
        <v>36</v>
      </c>
      <c r="E100" s="1">
        <v>8.0000000000000002E-3</v>
      </c>
      <c r="F100" s="14">
        <f t="shared" si="23"/>
        <v>1.4907119849998597E-2</v>
      </c>
      <c r="H100" s="1" t="s">
        <v>245</v>
      </c>
      <c r="I100" s="1">
        <v>19</v>
      </c>
      <c r="J100" s="1">
        <v>17</v>
      </c>
      <c r="K100" s="1">
        <f t="shared" si="24"/>
        <v>36</v>
      </c>
      <c r="L100" s="1">
        <v>1.5100000000000001E-2</v>
      </c>
      <c r="M100" s="14">
        <f t="shared" si="25"/>
        <v>2.048034287907418E-2</v>
      </c>
      <c r="O100" s="1" t="s">
        <v>245</v>
      </c>
      <c r="P100" s="1">
        <v>19</v>
      </c>
      <c r="Q100" s="1">
        <v>17</v>
      </c>
      <c r="R100" s="1">
        <f t="shared" si="26"/>
        <v>36</v>
      </c>
      <c r="S100" s="1">
        <v>7.3000000000000001E-3</v>
      </c>
      <c r="T100" s="14">
        <f t="shared" si="27"/>
        <v>1.4240006242195884E-2</v>
      </c>
      <c r="AA100" s="14"/>
    </row>
    <row r="101" spans="1:27" ht="15.75" customHeight="1">
      <c r="A101" s="1" t="s">
        <v>246</v>
      </c>
      <c r="B101" s="1">
        <v>33</v>
      </c>
      <c r="C101" s="1">
        <v>31</v>
      </c>
      <c r="D101" s="1">
        <f t="shared" si="22"/>
        <v>64</v>
      </c>
      <c r="E101" s="1">
        <v>8.1199999999999994E-2</v>
      </c>
      <c r="F101" s="14">
        <f t="shared" si="23"/>
        <v>3.5619517121937519E-2</v>
      </c>
      <c r="H101" s="1" t="s">
        <v>246</v>
      </c>
      <c r="I101" s="1">
        <v>33</v>
      </c>
      <c r="J101" s="1">
        <v>31</v>
      </c>
      <c r="K101" s="1">
        <f t="shared" si="24"/>
        <v>64</v>
      </c>
      <c r="L101" s="1">
        <v>0.72750000000000004</v>
      </c>
      <c r="M101" s="14">
        <f t="shared" si="25"/>
        <v>0.10661701318269988</v>
      </c>
      <c r="O101" s="1" t="s">
        <v>246</v>
      </c>
      <c r="P101" s="1">
        <v>33</v>
      </c>
      <c r="Q101" s="1">
        <v>31</v>
      </c>
      <c r="R101" s="1">
        <f t="shared" si="26"/>
        <v>64</v>
      </c>
      <c r="S101" s="1">
        <v>4.3E-3</v>
      </c>
      <c r="T101" s="14">
        <f t="shared" si="27"/>
        <v>8.1967981553775007E-3</v>
      </c>
      <c r="AA101" s="14"/>
    </row>
    <row r="102" spans="1:27" ht="15.75" customHeight="1">
      <c r="A102" s="1" t="s">
        <v>247</v>
      </c>
      <c r="B102" s="1">
        <v>24</v>
      </c>
      <c r="C102" s="1">
        <v>22</v>
      </c>
      <c r="D102" s="1">
        <f t="shared" si="22"/>
        <v>46</v>
      </c>
      <c r="E102" s="1">
        <v>1.0999999999999999E-2</v>
      </c>
      <c r="F102" s="14">
        <f t="shared" si="23"/>
        <v>1.5463842820677164E-2</v>
      </c>
      <c r="H102" s="1" t="s">
        <v>247</v>
      </c>
      <c r="I102" s="1">
        <v>24</v>
      </c>
      <c r="J102" s="1">
        <v>22</v>
      </c>
      <c r="K102" s="1">
        <f t="shared" si="24"/>
        <v>46</v>
      </c>
      <c r="L102" s="1">
        <v>0.34389999999999998</v>
      </c>
      <c r="M102" s="14">
        <f t="shared" si="25"/>
        <v>8.6464368132322222E-2</v>
      </c>
      <c r="O102" s="1" t="s">
        <v>247</v>
      </c>
      <c r="P102" s="1">
        <v>24</v>
      </c>
      <c r="Q102" s="1">
        <v>22</v>
      </c>
      <c r="R102" s="1">
        <f t="shared" si="26"/>
        <v>46</v>
      </c>
      <c r="S102" s="1">
        <v>3.8E-3</v>
      </c>
      <c r="T102" s="14">
        <f t="shared" si="27"/>
        <v>9.088932591463858E-3</v>
      </c>
      <c r="AA102" s="14"/>
    </row>
    <row r="103" spans="1:27" ht="15.75" customHeight="1">
      <c r="A103" s="1" t="s">
        <v>248</v>
      </c>
      <c r="B103" s="1">
        <v>20</v>
      </c>
      <c r="C103" s="1">
        <v>18</v>
      </c>
      <c r="D103" s="1">
        <f t="shared" si="22"/>
        <v>38</v>
      </c>
      <c r="E103" s="1">
        <v>1.18E-2</v>
      </c>
      <c r="F103" s="14">
        <f t="shared" si="23"/>
        <v>1.7621756887140218E-2</v>
      </c>
      <c r="H103" s="1" t="s">
        <v>248</v>
      </c>
      <c r="I103" s="1">
        <v>20</v>
      </c>
      <c r="J103" s="1">
        <v>18</v>
      </c>
      <c r="K103" s="1">
        <f t="shared" si="24"/>
        <v>38</v>
      </c>
      <c r="L103" s="1">
        <v>0.03</v>
      </c>
      <c r="M103" s="14">
        <f t="shared" si="25"/>
        <v>2.8097574347450818E-2</v>
      </c>
      <c r="O103" s="1" t="s">
        <v>248</v>
      </c>
      <c r="P103" s="1">
        <v>20</v>
      </c>
      <c r="Q103" s="1">
        <v>18</v>
      </c>
      <c r="R103" s="1">
        <f t="shared" si="26"/>
        <v>38</v>
      </c>
      <c r="S103" s="1">
        <v>4.4000000000000003E-3</v>
      </c>
      <c r="T103" s="14">
        <f t="shared" si="27"/>
        <v>1.0760551736979406E-2</v>
      </c>
      <c r="AA103" s="14"/>
    </row>
    <row r="104" spans="1:27" ht="15.75" customHeight="1">
      <c r="A104" s="1" t="s">
        <v>249</v>
      </c>
      <c r="B104" s="1">
        <v>16</v>
      </c>
      <c r="C104" s="1">
        <v>14</v>
      </c>
      <c r="D104" s="1">
        <f t="shared" si="22"/>
        <v>30</v>
      </c>
      <c r="E104" s="1">
        <v>5.4000000000000003E-3</v>
      </c>
      <c r="F104" s="14">
        <f t="shared" si="23"/>
        <v>1.3416407864998739E-2</v>
      </c>
      <c r="H104" s="1" t="s">
        <v>249</v>
      </c>
      <c r="I104" s="1">
        <v>16</v>
      </c>
      <c r="J104" s="1">
        <v>14</v>
      </c>
      <c r="K104" s="1">
        <f t="shared" si="24"/>
        <v>30</v>
      </c>
      <c r="L104" s="1">
        <v>8.6999999999999994E-3</v>
      </c>
      <c r="M104" s="14">
        <f t="shared" si="25"/>
        <v>1.7029386365926401E-2</v>
      </c>
      <c r="O104" s="1" t="s">
        <v>249</v>
      </c>
      <c r="P104" s="1">
        <v>16</v>
      </c>
      <c r="Q104" s="1">
        <v>14</v>
      </c>
      <c r="R104" s="1">
        <f t="shared" si="26"/>
        <v>30</v>
      </c>
      <c r="S104" s="1">
        <v>7.0000000000000001E-3</v>
      </c>
      <c r="T104" s="14">
        <f t="shared" si="27"/>
        <v>1.5275252316519466E-2</v>
      </c>
      <c r="AA104" s="14"/>
    </row>
    <row r="105" spans="1:27" ht="15.75" customHeight="1">
      <c r="A105" s="1" t="s">
        <v>250</v>
      </c>
      <c r="B105" s="1">
        <v>15</v>
      </c>
      <c r="C105" s="1">
        <v>13</v>
      </c>
      <c r="D105" s="1">
        <f t="shared" si="22"/>
        <v>28</v>
      </c>
      <c r="E105" s="1">
        <v>1.01E-2</v>
      </c>
      <c r="F105" s="14">
        <f t="shared" si="23"/>
        <v>1.8992479714726188E-2</v>
      </c>
      <c r="H105" s="1" t="s">
        <v>250</v>
      </c>
      <c r="I105" s="1">
        <v>15</v>
      </c>
      <c r="J105" s="1">
        <v>13</v>
      </c>
      <c r="K105" s="1">
        <f t="shared" si="24"/>
        <v>28</v>
      </c>
      <c r="L105" s="1">
        <v>1.6799999999999999E-2</v>
      </c>
      <c r="M105" s="14">
        <f t="shared" si="25"/>
        <v>2.4494897427831779E-2</v>
      </c>
      <c r="O105" s="1" t="s">
        <v>250</v>
      </c>
      <c r="P105" s="1">
        <v>15</v>
      </c>
      <c r="Q105" s="1">
        <v>13</v>
      </c>
      <c r="R105" s="1">
        <f t="shared" si="26"/>
        <v>28</v>
      </c>
      <c r="S105" s="1">
        <v>9.9000000000000008E-3</v>
      </c>
      <c r="T105" s="14">
        <f t="shared" si="27"/>
        <v>1.8803495115840264E-2</v>
      </c>
      <c r="AA105" s="14"/>
    </row>
    <row r="106" spans="1:27" ht="15.75" customHeight="1">
      <c r="A106" s="1" t="s">
        <v>251</v>
      </c>
      <c r="B106" s="1">
        <v>28</v>
      </c>
      <c r="C106" s="1">
        <v>26</v>
      </c>
      <c r="D106" s="1">
        <f t="shared" si="22"/>
        <v>54</v>
      </c>
      <c r="E106" s="1">
        <v>8.8999999999999999E-3</v>
      </c>
      <c r="F106" s="14">
        <f t="shared" si="23"/>
        <v>1.2838022231434825E-2</v>
      </c>
      <c r="H106" s="1" t="s">
        <v>251</v>
      </c>
      <c r="I106" s="1">
        <v>28</v>
      </c>
      <c r="J106" s="1">
        <v>26</v>
      </c>
      <c r="K106" s="1">
        <f t="shared" si="24"/>
        <v>54</v>
      </c>
      <c r="L106" s="1">
        <v>1.52E-2</v>
      </c>
      <c r="M106" s="14">
        <f t="shared" si="25"/>
        <v>1.6777409856157222E-2</v>
      </c>
      <c r="O106" s="1" t="s">
        <v>251</v>
      </c>
      <c r="P106" s="1">
        <v>28</v>
      </c>
      <c r="Q106" s="1">
        <v>26</v>
      </c>
      <c r="R106" s="1">
        <f t="shared" si="26"/>
        <v>54</v>
      </c>
      <c r="S106" s="1">
        <v>8.9999999999999993E-3</v>
      </c>
      <c r="T106" s="14">
        <f t="shared" si="27"/>
        <v>1.2909944487358056E-2</v>
      </c>
      <c r="AA106" s="14"/>
    </row>
    <row r="107" spans="1:27" ht="15.75" customHeight="1">
      <c r="A107" s="1" t="s">
        <v>252</v>
      </c>
      <c r="B107" s="1">
        <v>19</v>
      </c>
      <c r="C107" s="1">
        <v>17</v>
      </c>
      <c r="D107" s="1">
        <f t="shared" si="22"/>
        <v>36</v>
      </c>
      <c r="E107" s="1">
        <v>8.6999999999999994E-3</v>
      </c>
      <c r="F107" s="14">
        <f t="shared" si="23"/>
        <v>1.5545631755148025E-2</v>
      </c>
      <c r="H107" s="1" t="s">
        <v>252</v>
      </c>
      <c r="I107" s="1">
        <v>19</v>
      </c>
      <c r="J107" s="1">
        <v>17</v>
      </c>
      <c r="K107" s="1">
        <f t="shared" si="24"/>
        <v>36</v>
      </c>
      <c r="L107" s="1">
        <v>1.44E-2</v>
      </c>
      <c r="M107" s="14">
        <f t="shared" si="25"/>
        <v>0.02</v>
      </c>
      <c r="O107" s="1" t="s">
        <v>252</v>
      </c>
      <c r="P107" s="1">
        <v>19</v>
      </c>
      <c r="Q107" s="1">
        <v>17</v>
      </c>
      <c r="R107" s="1">
        <f t="shared" si="26"/>
        <v>36</v>
      </c>
      <c r="S107" s="1">
        <v>8.6999999999999994E-3</v>
      </c>
      <c r="T107" s="14">
        <f t="shared" si="27"/>
        <v>1.5545631755148025E-2</v>
      </c>
      <c r="AA107" s="14"/>
    </row>
    <row r="108" spans="1:27" ht="15.75" customHeight="1">
      <c r="A108" s="1" t="s">
        <v>253</v>
      </c>
      <c r="B108" s="1">
        <v>13</v>
      </c>
      <c r="C108" s="1">
        <v>11</v>
      </c>
      <c r="D108" s="1">
        <f t="shared" si="22"/>
        <v>24</v>
      </c>
      <c r="E108" s="1">
        <v>7.7000000000000002E-3</v>
      </c>
      <c r="F108" s="14">
        <f t="shared" si="23"/>
        <v>1.7911821050170564E-2</v>
      </c>
      <c r="H108" s="1" t="s">
        <v>253</v>
      </c>
      <c r="I108" s="1">
        <v>13</v>
      </c>
      <c r="J108" s="1">
        <v>11</v>
      </c>
      <c r="K108" s="1">
        <f t="shared" si="24"/>
        <v>24</v>
      </c>
      <c r="L108" s="1">
        <v>8.2000000000000007E-3</v>
      </c>
      <c r="M108" s="14">
        <f t="shared" si="25"/>
        <v>1.8484227510682363E-2</v>
      </c>
      <c r="O108" s="1" t="s">
        <v>253</v>
      </c>
      <c r="P108" s="1">
        <v>13</v>
      </c>
      <c r="Q108" s="1">
        <v>11</v>
      </c>
      <c r="R108" s="1">
        <f t="shared" si="26"/>
        <v>24</v>
      </c>
      <c r="S108" s="1">
        <v>8.5000000000000006E-3</v>
      </c>
      <c r="T108" s="14">
        <f t="shared" si="27"/>
        <v>1.8819316317727024E-2</v>
      </c>
      <c r="AA108" s="14"/>
    </row>
    <row r="109" spans="1:27" ht="15.75" customHeight="1">
      <c r="A109" s="1" t="s">
        <v>254</v>
      </c>
      <c r="B109" s="1">
        <v>12</v>
      </c>
      <c r="C109" s="1">
        <v>10</v>
      </c>
      <c r="D109" s="1">
        <f t="shared" si="22"/>
        <v>22</v>
      </c>
      <c r="E109" s="1">
        <v>8.0000000000000002E-3</v>
      </c>
      <c r="F109" s="14">
        <f t="shared" si="23"/>
        <v>1.9069251784911846E-2</v>
      </c>
      <c r="H109" s="1" t="s">
        <v>254</v>
      </c>
      <c r="I109" s="1">
        <v>12</v>
      </c>
      <c r="J109" s="1">
        <v>10</v>
      </c>
      <c r="K109" s="1">
        <f t="shared" si="24"/>
        <v>22</v>
      </c>
      <c r="L109" s="1">
        <v>1.03E-2</v>
      </c>
      <c r="M109" s="14">
        <f t="shared" si="25"/>
        <v>2.1637509518930734E-2</v>
      </c>
      <c r="O109" s="1" t="s">
        <v>254</v>
      </c>
      <c r="P109" s="1">
        <v>12</v>
      </c>
      <c r="Q109" s="1">
        <v>10</v>
      </c>
      <c r="R109" s="1">
        <f t="shared" si="26"/>
        <v>22</v>
      </c>
      <c r="S109" s="1">
        <v>8.2000000000000007E-3</v>
      </c>
      <c r="T109" s="14">
        <f t="shared" si="27"/>
        <v>1.9306145983268456E-2</v>
      </c>
      <c r="AA109" s="14"/>
    </row>
    <row r="110" spans="1:27" ht="15.75" customHeight="1">
      <c r="A110" s="1" t="s">
        <v>255</v>
      </c>
      <c r="B110" s="1">
        <v>29</v>
      </c>
      <c r="C110" s="1">
        <v>27</v>
      </c>
      <c r="D110" s="1">
        <f t="shared" si="22"/>
        <v>56</v>
      </c>
      <c r="E110" s="1">
        <v>2.07E-2</v>
      </c>
      <c r="F110" s="14">
        <f t="shared" si="23"/>
        <v>1.9226098333849671E-2</v>
      </c>
      <c r="H110" s="1" t="s">
        <v>255</v>
      </c>
      <c r="I110" s="1">
        <v>29</v>
      </c>
      <c r="J110" s="1">
        <v>27</v>
      </c>
      <c r="K110" s="1">
        <f t="shared" si="24"/>
        <v>56</v>
      </c>
      <c r="L110" s="1">
        <v>5.1400000000000001E-2</v>
      </c>
      <c r="M110" s="14">
        <f t="shared" si="25"/>
        <v>3.0296157229212139E-2</v>
      </c>
      <c r="O110" s="1" t="s">
        <v>255</v>
      </c>
      <c r="P110" s="1">
        <v>29</v>
      </c>
      <c r="Q110" s="1">
        <v>27</v>
      </c>
      <c r="R110" s="1">
        <f t="shared" si="26"/>
        <v>56</v>
      </c>
      <c r="S110" s="1">
        <v>1.8499999999999999E-2</v>
      </c>
      <c r="T110" s="14">
        <f t="shared" si="27"/>
        <v>1.8175729499999245E-2</v>
      </c>
      <c r="AA110" s="14"/>
    </row>
    <row r="111" spans="1:27" ht="15.75" customHeight="1">
      <c r="A111" s="1" t="s">
        <v>256</v>
      </c>
      <c r="B111" s="1">
        <v>20</v>
      </c>
      <c r="C111" s="1">
        <v>18</v>
      </c>
      <c r="D111" s="1">
        <f t="shared" si="22"/>
        <v>38</v>
      </c>
      <c r="E111" s="1">
        <v>1.7500000000000002E-2</v>
      </c>
      <c r="F111" s="14">
        <f t="shared" si="23"/>
        <v>2.1459876881973806E-2</v>
      </c>
      <c r="H111" s="1" t="s">
        <v>256</v>
      </c>
      <c r="I111" s="1">
        <v>20</v>
      </c>
      <c r="J111" s="1">
        <v>18</v>
      </c>
      <c r="K111" s="1">
        <f t="shared" si="24"/>
        <v>38</v>
      </c>
      <c r="L111" s="1">
        <v>4.2900000000000001E-2</v>
      </c>
      <c r="M111" s="14">
        <f t="shared" si="25"/>
        <v>3.3599812029549404E-2</v>
      </c>
      <c r="O111" s="1" t="s">
        <v>256</v>
      </c>
      <c r="P111" s="1">
        <v>20</v>
      </c>
      <c r="Q111" s="1">
        <v>18</v>
      </c>
      <c r="R111" s="1">
        <f t="shared" si="26"/>
        <v>38</v>
      </c>
      <c r="S111" s="1">
        <v>1.7299999999999999E-2</v>
      </c>
      <c r="T111" s="14">
        <f t="shared" si="27"/>
        <v>2.1336896632236303E-2</v>
      </c>
      <c r="AA111" s="14"/>
    </row>
    <row r="112" spans="1:27" ht="15.75" customHeight="1">
      <c r="A112" s="1" t="s">
        <v>257</v>
      </c>
      <c r="B112" s="1">
        <v>16</v>
      </c>
      <c r="C112" s="1">
        <v>14</v>
      </c>
      <c r="D112" s="1">
        <f t="shared" si="22"/>
        <v>30</v>
      </c>
      <c r="E112" s="1">
        <v>1.0999999999999999E-2</v>
      </c>
      <c r="F112" s="14">
        <f t="shared" si="23"/>
        <v>1.9148542155126763E-2</v>
      </c>
      <c r="H112" s="1" t="s">
        <v>257</v>
      </c>
      <c r="I112" s="1">
        <v>16</v>
      </c>
      <c r="J112" s="1">
        <v>14</v>
      </c>
      <c r="K112" s="1">
        <f t="shared" si="24"/>
        <v>30</v>
      </c>
      <c r="L112" s="1">
        <v>2.7699999999999999E-2</v>
      </c>
      <c r="M112" s="14">
        <f t="shared" si="25"/>
        <v>3.0386400466875529E-2</v>
      </c>
      <c r="O112" s="1" t="s">
        <v>257</v>
      </c>
      <c r="P112" s="1">
        <v>16</v>
      </c>
      <c r="Q112" s="1">
        <v>14</v>
      </c>
      <c r="R112" s="1">
        <f t="shared" si="26"/>
        <v>30</v>
      </c>
      <c r="S112" s="1">
        <v>9.4999999999999998E-3</v>
      </c>
      <c r="T112" s="14">
        <f t="shared" si="27"/>
        <v>1.7795130420052183E-2</v>
      </c>
      <c r="AA112" s="14"/>
    </row>
    <row r="113" spans="1:27" ht="15.75" customHeight="1">
      <c r="A113" s="1" t="s">
        <v>258</v>
      </c>
      <c r="B113" s="1">
        <v>12</v>
      </c>
      <c r="C113" s="1">
        <v>10</v>
      </c>
      <c r="D113" s="1">
        <f t="shared" si="22"/>
        <v>22</v>
      </c>
      <c r="E113" s="1">
        <v>2.5000000000000001E-2</v>
      </c>
      <c r="F113" s="14">
        <f t="shared" si="23"/>
        <v>3.3709993123162106E-2</v>
      </c>
      <c r="H113" s="1" t="s">
        <v>258</v>
      </c>
      <c r="I113" s="1">
        <v>12</v>
      </c>
      <c r="J113" s="1">
        <v>10</v>
      </c>
      <c r="K113" s="1">
        <f t="shared" si="24"/>
        <v>22</v>
      </c>
      <c r="L113" s="1">
        <v>5.2999999999999999E-2</v>
      </c>
      <c r="M113" s="14">
        <f t="shared" si="25"/>
        <v>4.9082490860702141E-2</v>
      </c>
      <c r="O113" s="1" t="s">
        <v>258</v>
      </c>
      <c r="P113" s="1">
        <v>12</v>
      </c>
      <c r="Q113" s="1">
        <v>10</v>
      </c>
      <c r="R113" s="1">
        <f t="shared" si="26"/>
        <v>22</v>
      </c>
      <c r="S113" s="1">
        <v>2.1999999999999999E-2</v>
      </c>
      <c r="T113" s="14">
        <f t="shared" si="27"/>
        <v>3.1622776601683791E-2</v>
      </c>
      <c r="AA113" s="14"/>
    </row>
    <row r="114" spans="1:27" ht="15.75" customHeight="1">
      <c r="A114" s="1" t="s">
        <v>259</v>
      </c>
      <c r="B114" s="1">
        <v>20</v>
      </c>
      <c r="C114" s="1">
        <v>18</v>
      </c>
      <c r="D114" s="1">
        <f t="shared" si="22"/>
        <v>38</v>
      </c>
      <c r="E114" s="1">
        <v>8.3000000000000001E-3</v>
      </c>
      <c r="F114" s="14">
        <f t="shared" si="23"/>
        <v>1.4779074823262076E-2</v>
      </c>
      <c r="H114" s="1" t="s">
        <v>259</v>
      </c>
      <c r="I114" s="1">
        <v>20</v>
      </c>
      <c r="J114" s="1">
        <v>18</v>
      </c>
      <c r="K114" s="1">
        <f t="shared" si="24"/>
        <v>38</v>
      </c>
      <c r="L114" s="1">
        <v>1.9E-2</v>
      </c>
      <c r="M114" s="14">
        <f t="shared" si="25"/>
        <v>2.2360679774997897E-2</v>
      </c>
      <c r="O114" s="1" t="s">
        <v>259</v>
      </c>
      <c r="P114" s="1">
        <v>20</v>
      </c>
      <c r="Q114" s="1">
        <v>18</v>
      </c>
      <c r="R114" s="1">
        <f t="shared" si="26"/>
        <v>38</v>
      </c>
      <c r="S114" s="1">
        <v>6.6E-3</v>
      </c>
      <c r="T114" s="14">
        <f t="shared" si="27"/>
        <v>1.3178930553209383E-2</v>
      </c>
      <c r="AA114" s="14"/>
    </row>
    <row r="115" spans="1:27" ht="15.75" customHeight="1">
      <c r="A115" s="1" t="s">
        <v>260</v>
      </c>
      <c r="B115" s="1">
        <v>33</v>
      </c>
      <c r="C115" s="1">
        <v>31</v>
      </c>
      <c r="D115" s="1">
        <f t="shared" si="22"/>
        <v>64</v>
      </c>
      <c r="E115" s="1">
        <v>7.9000000000000008E-3</v>
      </c>
      <c r="F115" s="14">
        <f t="shared" si="23"/>
        <v>1.1110243021644487E-2</v>
      </c>
      <c r="H115" s="1" t="s">
        <v>260</v>
      </c>
      <c r="I115" s="1">
        <v>33</v>
      </c>
      <c r="J115" s="1">
        <v>31</v>
      </c>
      <c r="K115" s="1">
        <f t="shared" si="24"/>
        <v>64</v>
      </c>
      <c r="L115" s="1">
        <v>1.6299999999999999E-2</v>
      </c>
      <c r="M115" s="14">
        <f t="shared" si="25"/>
        <v>1.5958931668504629E-2</v>
      </c>
      <c r="O115" s="1" t="s">
        <v>260</v>
      </c>
      <c r="P115" s="1">
        <v>33</v>
      </c>
      <c r="Q115" s="1">
        <v>31</v>
      </c>
      <c r="R115" s="1">
        <f t="shared" si="26"/>
        <v>64</v>
      </c>
      <c r="S115" s="1">
        <v>7.0000000000000001E-3</v>
      </c>
      <c r="T115" s="14">
        <f t="shared" si="27"/>
        <v>1.0458250331675944E-2</v>
      </c>
      <c r="AA115" s="14"/>
    </row>
    <row r="116" spans="1:27" ht="15.75" customHeight="1">
      <c r="A116" s="1" t="s">
        <v>261</v>
      </c>
      <c r="B116" s="1">
        <v>24</v>
      </c>
      <c r="C116" s="1">
        <v>22</v>
      </c>
      <c r="D116" s="1">
        <f t="shared" si="22"/>
        <v>46</v>
      </c>
      <c r="E116" s="1">
        <v>8.0000000000000002E-3</v>
      </c>
      <c r="F116" s="14">
        <f t="shared" si="23"/>
        <v>1.318760946791574E-2</v>
      </c>
      <c r="H116" s="1" t="s">
        <v>261</v>
      </c>
      <c r="I116" s="1">
        <v>24</v>
      </c>
      <c r="J116" s="1">
        <v>22</v>
      </c>
      <c r="K116" s="1">
        <f t="shared" si="24"/>
        <v>46</v>
      </c>
      <c r="L116" s="1">
        <v>1.61E-2</v>
      </c>
      <c r="M116" s="14">
        <f t="shared" si="25"/>
        <v>1.8708286933869708E-2</v>
      </c>
      <c r="O116" s="1" t="s">
        <v>261</v>
      </c>
      <c r="P116" s="1">
        <v>24</v>
      </c>
      <c r="Q116" s="1">
        <v>22</v>
      </c>
      <c r="R116" s="1">
        <f t="shared" si="26"/>
        <v>46</v>
      </c>
      <c r="S116" s="1">
        <v>6.7999999999999996E-3</v>
      </c>
      <c r="T116" s="14">
        <f t="shared" si="27"/>
        <v>1.2158375177486577E-2</v>
      </c>
      <c r="AA116" s="14"/>
    </row>
    <row r="118" spans="1:27" ht="15.75" customHeight="1">
      <c r="E118" s="1" t="s">
        <v>276</v>
      </c>
      <c r="F118" s="14">
        <f>AVERAGE(F92:F116)</f>
        <v>1.7738851702443034E-2</v>
      </c>
      <c r="L118" s="1" t="s">
        <v>276</v>
      </c>
      <c r="M118" s="14">
        <f>AVERAGE(M92:M116)</f>
        <v>3.1123321536677979E-2</v>
      </c>
      <c r="S118" s="1" t="s">
        <v>276</v>
      </c>
      <c r="T118" s="14">
        <f>AVERAGE(T92:T116)</f>
        <v>1.8654995298068463E-2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FDE2-1A87-4E9B-A56C-10A660036540}">
  <sheetPr>
    <outlinePr summaryBelow="0" summaryRight="0"/>
  </sheetPr>
  <dimension ref="A2:Z69"/>
  <sheetViews>
    <sheetView workbookViewId="0"/>
  </sheetViews>
  <sheetFormatPr defaultColWidth="12.6640625" defaultRowHeight="15.75" customHeight="1"/>
  <cols>
    <col min="1" max="16384" width="12.6640625" style="2"/>
  </cols>
  <sheetData>
    <row r="2" spans="1:16" ht="15.75" customHeight="1">
      <c r="B2" s="1" t="s">
        <v>297</v>
      </c>
      <c r="D2" s="1" t="s">
        <v>297</v>
      </c>
      <c r="M2" s="1" t="s">
        <v>297</v>
      </c>
      <c r="N2" s="1" t="s">
        <v>273</v>
      </c>
      <c r="O2" s="1" t="s">
        <v>297</v>
      </c>
      <c r="P2" s="1" t="s">
        <v>278</v>
      </c>
    </row>
    <row r="3" spans="1:16" ht="15.75" customHeight="1">
      <c r="B3" s="1" t="s">
        <v>298</v>
      </c>
      <c r="D3" s="1" t="s">
        <v>299</v>
      </c>
      <c r="M3" s="1" t="s">
        <v>298</v>
      </c>
      <c r="N3" s="1" t="s">
        <v>283</v>
      </c>
      <c r="O3" s="1" t="s">
        <v>299</v>
      </c>
      <c r="P3" s="1" t="s">
        <v>284</v>
      </c>
    </row>
    <row r="4" spans="1:16" ht="15.75" customHeight="1">
      <c r="A4" s="1" t="s">
        <v>36</v>
      </c>
      <c r="B4" s="14">
        <v>0.03</v>
      </c>
      <c r="C4" s="1" t="s">
        <v>36</v>
      </c>
      <c r="D4" s="1">
        <v>3.4000000000000002E-2</v>
      </c>
      <c r="L4" s="1" t="s">
        <v>36</v>
      </c>
      <c r="M4" s="14">
        <v>0.03</v>
      </c>
      <c r="N4" s="9"/>
      <c r="O4" s="1">
        <v>3.4000000000000002E-2</v>
      </c>
      <c r="P4" s="9"/>
    </row>
    <row r="5" spans="1:16" ht="15.75" customHeight="1">
      <c r="A5" s="1" t="s">
        <v>39</v>
      </c>
      <c r="B5" s="1">
        <v>2.4E-2</v>
      </c>
      <c r="C5" s="1" t="s">
        <v>39</v>
      </c>
      <c r="D5" s="1">
        <v>4.2000000000000003E-2</v>
      </c>
      <c r="L5" s="1" t="s">
        <v>39</v>
      </c>
      <c r="M5" s="1">
        <v>2.4E-2</v>
      </c>
      <c r="N5" s="1">
        <v>2.8500000000000001E-2</v>
      </c>
      <c r="O5" s="1">
        <v>4.2000000000000003E-2</v>
      </c>
      <c r="P5" s="1">
        <v>3.5000000000000003E-2</v>
      </c>
    </row>
    <row r="6" spans="1:16" ht="15.75" customHeight="1">
      <c r="A6" s="1" t="s">
        <v>38</v>
      </c>
      <c r="B6" s="1">
        <v>1.4E-2</v>
      </c>
      <c r="C6" s="1" t="s">
        <v>38</v>
      </c>
      <c r="D6" s="1">
        <v>2.5000000000000001E-2</v>
      </c>
      <c r="L6" s="1" t="s">
        <v>38</v>
      </c>
      <c r="M6" s="1">
        <v>1.4E-2</v>
      </c>
      <c r="N6" s="1">
        <v>2.1700000000000001E-2</v>
      </c>
      <c r="O6" s="1">
        <v>2.5000000000000001E-2</v>
      </c>
      <c r="P6" s="1">
        <v>2.7199999999999998E-2</v>
      </c>
    </row>
    <row r="7" spans="1:16" ht="15.75" customHeight="1">
      <c r="A7" s="1" t="s">
        <v>263</v>
      </c>
      <c r="B7" s="1">
        <v>2.1000000000000001E-2</v>
      </c>
      <c r="C7" s="1" t="s">
        <v>263</v>
      </c>
      <c r="D7" s="1">
        <v>3.5999999999999997E-2</v>
      </c>
      <c r="L7" s="1" t="s">
        <v>263</v>
      </c>
      <c r="M7" s="1">
        <v>2.1000000000000001E-2</v>
      </c>
      <c r="N7" s="1">
        <v>2.6499999999999999E-2</v>
      </c>
      <c r="O7" s="1">
        <v>3.5999999999999997E-2</v>
      </c>
      <c r="P7" s="1">
        <v>3.2800000000000003E-2</v>
      </c>
    </row>
    <row r="8" spans="1:16" ht="15.75" customHeight="1">
      <c r="A8" s="1" t="s">
        <v>264</v>
      </c>
      <c r="B8" s="1">
        <v>1.0999999999999999E-2</v>
      </c>
      <c r="C8" s="1" t="s">
        <v>264</v>
      </c>
      <c r="D8" s="1">
        <v>1.7999999999999999E-2</v>
      </c>
      <c r="L8" s="1" t="s">
        <v>264</v>
      </c>
      <c r="M8" s="1">
        <v>1.0999999999999999E-2</v>
      </c>
      <c r="N8" s="1">
        <v>1.89E-2</v>
      </c>
      <c r="O8" s="1">
        <v>1.7999999999999999E-2</v>
      </c>
      <c r="P8" s="1">
        <v>2.3599999999999999E-2</v>
      </c>
    </row>
    <row r="9" spans="1:16" ht="15.75" customHeight="1">
      <c r="A9" s="1" t="s">
        <v>63</v>
      </c>
      <c r="B9" s="1">
        <v>1.9E-2</v>
      </c>
      <c r="C9" s="1" t="s">
        <v>63</v>
      </c>
      <c r="D9" s="1">
        <v>3.1E-2</v>
      </c>
      <c r="L9" s="1" t="s">
        <v>63</v>
      </c>
      <c r="M9" s="1">
        <v>1.9E-2</v>
      </c>
      <c r="N9" s="1">
        <v>2.4299999999999999E-2</v>
      </c>
      <c r="O9" s="1">
        <v>3.1E-2</v>
      </c>
      <c r="P9" s="1">
        <v>2.8400000000000002E-2</v>
      </c>
    </row>
    <row r="10" spans="1:16" ht="15.75" customHeight="1">
      <c r="A10" s="1" t="s">
        <v>265</v>
      </c>
      <c r="B10" s="1">
        <v>1.0999999999999999E-2</v>
      </c>
      <c r="C10" s="1" t="s">
        <v>265</v>
      </c>
      <c r="D10" s="14">
        <v>1.9E-2</v>
      </c>
      <c r="L10" s="1" t="s">
        <v>265</v>
      </c>
      <c r="M10" s="1">
        <v>1.0999999999999999E-2</v>
      </c>
      <c r="N10" s="1">
        <v>1.78E-2</v>
      </c>
      <c r="O10" s="1">
        <v>1.9E-2</v>
      </c>
      <c r="P10" s="1">
        <v>2.1499999999999998E-2</v>
      </c>
    </row>
    <row r="12" spans="1:16" ht="15.75" customHeight="1">
      <c r="A12" s="32"/>
      <c r="B12" s="81"/>
    </row>
    <row r="13" spans="1:16" ht="15.75" customHeight="1">
      <c r="A13" s="32"/>
      <c r="B13" s="32"/>
    </row>
    <row r="14" spans="1:16" ht="15.75" customHeight="1">
      <c r="D14" s="1" t="s">
        <v>297</v>
      </c>
    </row>
    <row r="15" spans="1:16" ht="15.75" customHeight="1">
      <c r="D15" s="1" t="s">
        <v>300</v>
      </c>
    </row>
    <row r="16" spans="1:16" ht="15.75" customHeight="1">
      <c r="C16" s="1" t="s">
        <v>36</v>
      </c>
      <c r="D16" s="14">
        <f t="shared" ref="D16:D22" si="0">D4-B4</f>
        <v>4.0000000000000036E-3</v>
      </c>
    </row>
    <row r="17" spans="3:4" ht="15.75" customHeight="1">
      <c r="C17" s="1" t="s">
        <v>39</v>
      </c>
      <c r="D17" s="1">
        <f t="shared" si="0"/>
        <v>1.8000000000000002E-2</v>
      </c>
    </row>
    <row r="18" spans="3:4" ht="15.75" customHeight="1">
      <c r="C18" s="1" t="s">
        <v>38</v>
      </c>
      <c r="D18" s="1">
        <f t="shared" si="0"/>
        <v>1.1000000000000001E-2</v>
      </c>
    </row>
    <row r="19" spans="3:4" ht="15.75" customHeight="1">
      <c r="C19" s="1" t="s">
        <v>263</v>
      </c>
      <c r="D19" s="1">
        <f t="shared" si="0"/>
        <v>1.4999999999999996E-2</v>
      </c>
    </row>
    <row r="20" spans="3:4" ht="15.75" customHeight="1">
      <c r="C20" s="1" t="s">
        <v>264</v>
      </c>
      <c r="D20" s="1">
        <f t="shared" si="0"/>
        <v>6.9999999999999993E-3</v>
      </c>
    </row>
    <row r="21" spans="3:4" ht="15.75" customHeight="1">
      <c r="C21" s="1" t="s">
        <v>63</v>
      </c>
      <c r="D21" s="1">
        <f t="shared" si="0"/>
        <v>1.2E-2</v>
      </c>
    </row>
    <row r="22" spans="3:4" ht="15.75" customHeight="1">
      <c r="C22" s="1" t="s">
        <v>265</v>
      </c>
      <c r="D22" s="14">
        <f t="shared" si="0"/>
        <v>8.0000000000000002E-3</v>
      </c>
    </row>
    <row r="40" spans="12:26" ht="15.75" customHeight="1">
      <c r="O40" s="1" t="s">
        <v>273</v>
      </c>
      <c r="P40" s="1" t="s">
        <v>301</v>
      </c>
      <c r="Q40" s="1" t="s">
        <v>273</v>
      </c>
      <c r="R40" s="1" t="s">
        <v>301</v>
      </c>
    </row>
    <row r="41" spans="12:26" ht="15.75" customHeight="1">
      <c r="M41" s="1" t="s">
        <v>302</v>
      </c>
      <c r="N41" s="1" t="s">
        <v>302</v>
      </c>
      <c r="O41" s="1" t="s">
        <v>303</v>
      </c>
      <c r="P41" s="1" t="s">
        <v>303</v>
      </c>
      <c r="Q41" s="1" t="s">
        <v>304</v>
      </c>
      <c r="R41" s="1" t="s">
        <v>304</v>
      </c>
    </row>
    <row r="42" spans="12:26" ht="15.75" customHeight="1">
      <c r="L42" s="1" t="s">
        <v>39</v>
      </c>
      <c r="M42" s="14">
        <f t="shared" ref="M42:M47" si="1">M5/N5</f>
        <v>0.84210526315789469</v>
      </c>
      <c r="N42" s="14">
        <f t="shared" ref="N42:N47" si="2">O5/P5</f>
        <v>1.2</v>
      </c>
      <c r="O42" s="82">
        <f t="shared" ref="O42:P47" si="3">0.02/M42</f>
        <v>2.375E-2</v>
      </c>
      <c r="P42" s="83">
        <f t="shared" si="3"/>
        <v>1.6666666666666666E-2</v>
      </c>
      <c r="Q42" s="83">
        <f t="shared" ref="Q42:R47" si="4">0.05/M42</f>
        <v>5.9375000000000004E-2</v>
      </c>
      <c r="R42" s="84">
        <f t="shared" si="4"/>
        <v>4.1666666666666671E-2</v>
      </c>
    </row>
    <row r="43" spans="12:26" ht="15.75" customHeight="1">
      <c r="L43" s="1" t="s">
        <v>38</v>
      </c>
      <c r="M43" s="14">
        <f t="shared" si="1"/>
        <v>0.64516129032258063</v>
      </c>
      <c r="N43" s="14">
        <f t="shared" si="2"/>
        <v>0.91911764705882359</v>
      </c>
      <c r="O43" s="85">
        <f t="shared" si="3"/>
        <v>3.1E-2</v>
      </c>
      <c r="P43" s="14">
        <f t="shared" si="3"/>
        <v>2.1759999999999998E-2</v>
      </c>
      <c r="Q43" s="14">
        <f t="shared" si="4"/>
        <v>7.7500000000000013E-2</v>
      </c>
      <c r="R43" s="15">
        <f t="shared" si="4"/>
        <v>5.4399999999999997E-2</v>
      </c>
    </row>
    <row r="44" spans="12:26" ht="15.75" customHeight="1">
      <c r="L44" s="1" t="s">
        <v>263</v>
      </c>
      <c r="M44" s="14">
        <f t="shared" si="1"/>
        <v>0.79245283018867929</v>
      </c>
      <c r="N44" s="14">
        <f t="shared" si="2"/>
        <v>1.097560975609756</v>
      </c>
      <c r="O44" s="85">
        <f t="shared" si="3"/>
        <v>2.5238095238095237E-2</v>
      </c>
      <c r="P44" s="14">
        <f t="shared" si="3"/>
        <v>1.8222222222222226E-2</v>
      </c>
      <c r="Q44" s="14">
        <f t="shared" si="4"/>
        <v>6.3095238095238093E-2</v>
      </c>
      <c r="R44" s="15">
        <f t="shared" si="4"/>
        <v>4.5555555555555564E-2</v>
      </c>
    </row>
    <row r="45" spans="12:26" ht="15.75" customHeight="1">
      <c r="L45" s="1" t="s">
        <v>264</v>
      </c>
      <c r="M45" s="14">
        <f t="shared" si="1"/>
        <v>0.58201058201058198</v>
      </c>
      <c r="N45" s="14">
        <f t="shared" si="2"/>
        <v>0.76271186440677963</v>
      </c>
      <c r="O45" s="85">
        <f t="shared" si="3"/>
        <v>3.4363636363636367E-2</v>
      </c>
      <c r="P45" s="14">
        <f t="shared" si="3"/>
        <v>2.6222222222222223E-2</v>
      </c>
      <c r="Q45" s="14">
        <f t="shared" si="4"/>
        <v>8.5909090909090921E-2</v>
      </c>
      <c r="R45" s="15">
        <f t="shared" si="4"/>
        <v>6.5555555555555561E-2</v>
      </c>
    </row>
    <row r="46" spans="12:26" ht="15.75" customHeight="1">
      <c r="L46" s="1" t="s">
        <v>63</v>
      </c>
      <c r="M46" s="14">
        <f t="shared" si="1"/>
        <v>0.78189300411522633</v>
      </c>
      <c r="N46" s="14">
        <f t="shared" si="2"/>
        <v>1.0915492957746478</v>
      </c>
      <c r="O46" s="85">
        <f t="shared" si="3"/>
        <v>2.5578947368421052E-2</v>
      </c>
      <c r="P46" s="14">
        <f t="shared" si="3"/>
        <v>1.8322580645161294E-2</v>
      </c>
      <c r="Q46" s="14">
        <f t="shared" si="4"/>
        <v>6.3947368421052642E-2</v>
      </c>
      <c r="R46" s="15">
        <f t="shared" si="4"/>
        <v>4.5806451612903233E-2</v>
      </c>
    </row>
    <row r="47" spans="12:26" ht="15.75" customHeight="1">
      <c r="L47" s="1" t="s">
        <v>265</v>
      </c>
      <c r="M47" s="14">
        <f t="shared" si="1"/>
        <v>0.6179775280898876</v>
      </c>
      <c r="N47" s="14">
        <f t="shared" si="2"/>
        <v>0.88372093023255816</v>
      </c>
      <c r="O47" s="86">
        <f t="shared" si="3"/>
        <v>3.2363636363636365E-2</v>
      </c>
      <c r="P47" s="87">
        <f t="shared" si="3"/>
        <v>2.2631578947368423E-2</v>
      </c>
      <c r="Q47" s="53">
        <f t="shared" si="4"/>
        <v>8.0909090909090917E-2</v>
      </c>
      <c r="R47" s="88">
        <f t="shared" si="4"/>
        <v>5.6578947368421055E-2</v>
      </c>
    </row>
    <row r="48" spans="12:26" ht="15.75" customHeight="1">
      <c r="U48" s="1" t="s">
        <v>39</v>
      </c>
      <c r="V48" s="1" t="s">
        <v>38</v>
      </c>
      <c r="W48" s="1" t="s">
        <v>263</v>
      </c>
      <c r="X48" s="1" t="s">
        <v>264</v>
      </c>
      <c r="Y48" s="1" t="s">
        <v>63</v>
      </c>
      <c r="Z48" s="1" t="s">
        <v>265</v>
      </c>
    </row>
    <row r="49" spans="12:26" ht="15.75" customHeight="1">
      <c r="M49" s="1" t="s">
        <v>305</v>
      </c>
      <c r="N49" s="1" t="s">
        <v>306</v>
      </c>
      <c r="T49" s="14">
        <v>5.0520833333333334E-2</v>
      </c>
      <c r="U49" s="14">
        <v>2.0208333333333335E-2</v>
      </c>
      <c r="V49" s="14">
        <v>2.6380000000000001E-2</v>
      </c>
      <c r="W49" s="14">
        <v>2.1730158730158732E-2</v>
      </c>
      <c r="X49" s="14">
        <v>3.0292929292929295E-2</v>
      </c>
      <c r="Y49" s="14">
        <v>2.1950764006791173E-2</v>
      </c>
      <c r="Z49" s="14">
        <v>2.7497607655502396E-2</v>
      </c>
    </row>
    <row r="50" spans="12:26" ht="15.75" customHeight="1">
      <c r="L50" s="1" t="s">
        <v>39</v>
      </c>
      <c r="M50" s="82">
        <f t="shared" ref="M50:M55" si="5">AVERAGE(O42:P42)</f>
        <v>2.0208333333333335E-2</v>
      </c>
      <c r="N50" s="84">
        <f t="shared" ref="N50:N55" si="6">AVERAGE(Q42:R42)</f>
        <v>5.0520833333333334E-2</v>
      </c>
      <c r="P50" s="89" t="s">
        <v>307</v>
      </c>
      <c r="Q50" s="90"/>
      <c r="T50" s="14">
        <v>6.5950000000000009E-2</v>
      </c>
      <c r="U50" s="14">
        <v>5.0520833333333334E-2</v>
      </c>
      <c r="V50" s="14">
        <v>6.5950000000000009E-2</v>
      </c>
      <c r="W50" s="14">
        <v>5.4325396825396832E-2</v>
      </c>
      <c r="X50" s="14">
        <v>7.5732323232323234E-2</v>
      </c>
      <c r="Y50" s="14">
        <v>5.4876910016977934E-2</v>
      </c>
      <c r="Z50" s="14">
        <v>6.8744019138755982E-2</v>
      </c>
    </row>
    <row r="51" spans="12:26" ht="15.75" customHeight="1">
      <c r="L51" s="1" t="s">
        <v>38</v>
      </c>
      <c r="M51" s="85">
        <f t="shared" si="5"/>
        <v>2.6380000000000001E-2</v>
      </c>
      <c r="N51" s="15">
        <f t="shared" si="6"/>
        <v>6.5950000000000009E-2</v>
      </c>
      <c r="P51" s="91" t="s">
        <v>308</v>
      </c>
      <c r="Q51" s="92"/>
      <c r="T51" s="14">
        <v>5.4325396825396832E-2</v>
      </c>
    </row>
    <row r="52" spans="12:26" ht="15.75" customHeight="1">
      <c r="L52" s="1" t="s">
        <v>263</v>
      </c>
      <c r="M52" s="85">
        <f t="shared" si="5"/>
        <v>2.1730158730158732E-2</v>
      </c>
      <c r="N52" s="15">
        <f t="shared" si="6"/>
        <v>5.4325396825396832E-2</v>
      </c>
      <c r="T52" s="14">
        <v>7.5732323232323234E-2</v>
      </c>
    </row>
    <row r="53" spans="12:26" ht="15.75" customHeight="1">
      <c r="L53" s="1" t="s">
        <v>264</v>
      </c>
      <c r="M53" s="85">
        <f t="shared" si="5"/>
        <v>3.0292929292929295E-2</v>
      </c>
      <c r="N53" s="15">
        <f t="shared" si="6"/>
        <v>7.5732323232323234E-2</v>
      </c>
      <c r="T53" s="14">
        <v>5.4876910016977934E-2</v>
      </c>
    </row>
    <row r="54" spans="12:26" ht="15.75" customHeight="1">
      <c r="L54" s="1" t="s">
        <v>63</v>
      </c>
      <c r="M54" s="85">
        <f t="shared" si="5"/>
        <v>2.1950764006791173E-2</v>
      </c>
      <c r="N54" s="15">
        <f t="shared" si="6"/>
        <v>5.4876910016977934E-2</v>
      </c>
      <c r="T54" s="14">
        <v>6.8744019138755982E-2</v>
      </c>
    </row>
    <row r="55" spans="12:26" ht="15.75" customHeight="1">
      <c r="L55" s="1" t="s">
        <v>265</v>
      </c>
      <c r="M55" s="93">
        <f t="shared" si="5"/>
        <v>2.7497607655502396E-2</v>
      </c>
      <c r="N55" s="88">
        <f t="shared" si="6"/>
        <v>6.8744019138755982E-2</v>
      </c>
    </row>
    <row r="57" spans="12:26" ht="15.75" customHeight="1">
      <c r="L57" s="1" t="s">
        <v>309</v>
      </c>
      <c r="M57" s="1" t="s">
        <v>39</v>
      </c>
      <c r="N57" s="1" t="s">
        <v>310</v>
      </c>
      <c r="O57" s="14">
        <v>2.0208333333333335E-2</v>
      </c>
      <c r="P57" s="1" t="s">
        <v>311</v>
      </c>
    </row>
    <row r="58" spans="12:26" ht="15.75" customHeight="1">
      <c r="L58" s="1" t="s">
        <v>309</v>
      </c>
      <c r="M58" s="1" t="s">
        <v>38</v>
      </c>
      <c r="N58" s="1" t="s">
        <v>310</v>
      </c>
      <c r="O58" s="14">
        <v>2.6380000000000001E-2</v>
      </c>
      <c r="P58" s="1" t="s">
        <v>311</v>
      </c>
    </row>
    <row r="59" spans="12:26" ht="15.75" customHeight="1">
      <c r="L59" s="1" t="s">
        <v>309</v>
      </c>
      <c r="M59" s="1" t="s">
        <v>263</v>
      </c>
      <c r="N59" s="1" t="s">
        <v>310</v>
      </c>
      <c r="O59" s="14">
        <v>2.1730158730158732E-2</v>
      </c>
      <c r="P59" s="1" t="s">
        <v>311</v>
      </c>
    </row>
    <row r="60" spans="12:26" ht="15.75" customHeight="1">
      <c r="L60" s="1" t="s">
        <v>309</v>
      </c>
      <c r="M60" s="1" t="s">
        <v>264</v>
      </c>
      <c r="N60" s="1" t="s">
        <v>310</v>
      </c>
      <c r="O60" s="14">
        <v>3.0292929292929295E-2</v>
      </c>
      <c r="P60" s="1" t="s">
        <v>311</v>
      </c>
    </row>
    <row r="61" spans="12:26" ht="15.75" customHeight="1">
      <c r="L61" s="1" t="s">
        <v>309</v>
      </c>
      <c r="M61" s="1" t="s">
        <v>63</v>
      </c>
      <c r="N61" s="1" t="s">
        <v>310</v>
      </c>
      <c r="O61" s="14">
        <v>2.1950764006791173E-2</v>
      </c>
      <c r="P61" s="1" t="s">
        <v>311</v>
      </c>
    </row>
    <row r="62" spans="12:26" ht="15.75" customHeight="1">
      <c r="L62" s="1" t="s">
        <v>309</v>
      </c>
      <c r="M62" s="1" t="s">
        <v>265</v>
      </c>
      <c r="N62" s="1" t="s">
        <v>310</v>
      </c>
      <c r="O62" s="14">
        <v>2.7497607655502396E-2</v>
      </c>
      <c r="P62" s="1" t="s">
        <v>311</v>
      </c>
    </row>
    <row r="64" spans="12:26" ht="15.75" customHeight="1">
      <c r="L64" s="1" t="s">
        <v>309</v>
      </c>
      <c r="M64" s="1" t="s">
        <v>39</v>
      </c>
      <c r="N64" s="1" t="s">
        <v>310</v>
      </c>
      <c r="O64" s="14">
        <v>5.0520833333333334E-2</v>
      </c>
      <c r="P64" s="1" t="s">
        <v>312</v>
      </c>
    </row>
    <row r="65" spans="12:16" ht="15.75" customHeight="1">
      <c r="L65" s="1" t="s">
        <v>309</v>
      </c>
      <c r="M65" s="1" t="s">
        <v>38</v>
      </c>
      <c r="N65" s="1" t="s">
        <v>310</v>
      </c>
      <c r="O65" s="14">
        <v>6.5950000000000009E-2</v>
      </c>
      <c r="P65" s="1" t="s">
        <v>312</v>
      </c>
    </row>
    <row r="66" spans="12:16" ht="15.75" customHeight="1">
      <c r="L66" s="1" t="s">
        <v>309</v>
      </c>
      <c r="M66" s="1" t="s">
        <v>263</v>
      </c>
      <c r="N66" s="1" t="s">
        <v>310</v>
      </c>
      <c r="O66" s="14">
        <v>5.4325396825396832E-2</v>
      </c>
      <c r="P66" s="1" t="s">
        <v>312</v>
      </c>
    </row>
    <row r="67" spans="12:16" ht="15.75" customHeight="1">
      <c r="L67" s="1" t="s">
        <v>309</v>
      </c>
      <c r="M67" s="1" t="s">
        <v>264</v>
      </c>
      <c r="N67" s="1" t="s">
        <v>310</v>
      </c>
      <c r="O67" s="14">
        <v>7.5732323232323234E-2</v>
      </c>
      <c r="P67" s="1" t="s">
        <v>312</v>
      </c>
    </row>
    <row r="68" spans="12:16" ht="15.75" customHeight="1">
      <c r="L68" s="1" t="s">
        <v>309</v>
      </c>
      <c r="M68" s="1" t="s">
        <v>63</v>
      </c>
      <c r="N68" s="1" t="s">
        <v>310</v>
      </c>
      <c r="O68" s="14">
        <v>5.4876910016977934E-2</v>
      </c>
      <c r="P68" s="1" t="s">
        <v>312</v>
      </c>
    </row>
    <row r="69" spans="12:16" ht="15.75" customHeight="1">
      <c r="L69" s="1" t="s">
        <v>309</v>
      </c>
      <c r="M69" s="1" t="s">
        <v>265</v>
      </c>
      <c r="N69" s="1" t="s">
        <v>310</v>
      </c>
      <c r="O69" s="14">
        <v>6.8744019138755982E-2</v>
      </c>
      <c r="P69" s="1" t="s">
        <v>312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2EC2-3E43-4E8B-B013-AF73044D9F70}">
  <sheetPr>
    <outlinePr summaryBelow="0" summaryRight="0"/>
  </sheetPr>
  <dimension ref="A1:O118"/>
  <sheetViews>
    <sheetView workbookViewId="0"/>
  </sheetViews>
  <sheetFormatPr defaultColWidth="12.6640625" defaultRowHeight="15.75" customHeight="1"/>
  <cols>
    <col min="1" max="16384" width="12.6640625" style="2"/>
  </cols>
  <sheetData>
    <row r="1" spans="1:15" ht="15.75" customHeight="1">
      <c r="A1" s="1" t="s">
        <v>313</v>
      </c>
      <c r="B1" s="71" t="s">
        <v>314</v>
      </c>
      <c r="C1" s="5"/>
      <c r="D1" s="5"/>
      <c r="E1" s="5"/>
      <c r="F1" s="5"/>
      <c r="G1" s="5"/>
      <c r="K1" s="1" t="s">
        <v>309</v>
      </c>
      <c r="L1" s="1" t="s">
        <v>315</v>
      </c>
      <c r="M1" s="1" t="s">
        <v>310</v>
      </c>
      <c r="N1" s="1">
        <v>0.02</v>
      </c>
      <c r="O1" s="1" t="s">
        <v>311</v>
      </c>
    </row>
    <row r="2" spans="1:15" ht="15.75" customHeight="1">
      <c r="A2" s="1" t="s">
        <v>231</v>
      </c>
      <c r="B2" s="16" t="s">
        <v>316</v>
      </c>
      <c r="C2" s="1" t="s">
        <v>39</v>
      </c>
      <c r="D2" s="1" t="s">
        <v>38</v>
      </c>
      <c r="E2" s="1" t="s">
        <v>263</v>
      </c>
      <c r="F2" s="1" t="s">
        <v>264</v>
      </c>
      <c r="G2" s="1" t="s">
        <v>63</v>
      </c>
      <c r="H2" s="1" t="s">
        <v>265</v>
      </c>
      <c r="K2" s="1" t="s">
        <v>309</v>
      </c>
      <c r="L2" s="1" t="s">
        <v>317</v>
      </c>
      <c r="M2" s="1" t="s">
        <v>310</v>
      </c>
      <c r="N2" s="14">
        <v>2.0208333333333335E-2</v>
      </c>
      <c r="O2" s="1" t="s">
        <v>311</v>
      </c>
    </row>
    <row r="3" spans="1:15" ht="15.75" customHeight="1">
      <c r="A3" s="1" t="s">
        <v>237</v>
      </c>
      <c r="B3" s="94" t="b">
        <f>'SFigure18-Data-1'!F4 &gt; 0.02</f>
        <v>1</v>
      </c>
      <c r="C3" s="77" t="b">
        <f>'SFigure16-17-Data-1'!B4 &gt; 0.02</f>
        <v>1</v>
      </c>
      <c r="D3" s="78" t="b">
        <f>'SFigure16-17-Data-1'!C4 &gt; 0.026</f>
        <v>0</v>
      </c>
      <c r="E3" s="77" t="b">
        <f>'SFigure16-17-Data-1'!D4 &gt; 0.022</f>
        <v>1</v>
      </c>
      <c r="F3" s="78" t="b">
        <f>'SFigure16-17-Data-1'!E4 &gt; 0.03</f>
        <v>0</v>
      </c>
      <c r="G3" s="77" t="b">
        <f>'SFigure16-17-Data-1'!F4 &gt; 0.022</f>
        <v>1</v>
      </c>
      <c r="H3" s="78" t="b">
        <f>'SFigure16-17-Data-1'!G4 &gt; 0.027</f>
        <v>0</v>
      </c>
      <c r="K3" s="1" t="s">
        <v>309</v>
      </c>
      <c r="L3" s="1" t="s">
        <v>318</v>
      </c>
      <c r="M3" s="1" t="s">
        <v>310</v>
      </c>
      <c r="N3" s="14">
        <v>2.6380000000000001E-2</v>
      </c>
      <c r="O3" s="1" t="s">
        <v>311</v>
      </c>
    </row>
    <row r="4" spans="1:15" ht="15.75" customHeight="1">
      <c r="A4" s="1" t="s">
        <v>238</v>
      </c>
      <c r="B4" s="94" t="b">
        <f>'SFigure18-Data-1'!F5 &gt; 0.02</f>
        <v>1</v>
      </c>
      <c r="C4" s="77" t="b">
        <f>'SFigure16-17-Data-1'!B5 &gt; 0.02</f>
        <v>1</v>
      </c>
      <c r="D4" s="77" t="b">
        <f>'SFigure16-17-Data-1'!C5 &gt; 0.026</f>
        <v>1</v>
      </c>
      <c r="E4" s="77" t="b">
        <f>'SFigure16-17-Data-1'!D5 &gt; 0.022</f>
        <v>1</v>
      </c>
      <c r="F4" s="78" t="b">
        <f>'SFigure16-17-Data-1'!E5 &gt; 0.03</f>
        <v>0</v>
      </c>
      <c r="G4" s="77" t="b">
        <f>'SFigure16-17-Data-1'!F5 &gt; 0.022</f>
        <v>1</v>
      </c>
      <c r="H4" s="78" t="b">
        <f>'SFigure16-17-Data-1'!G5 &gt; 0.027</f>
        <v>0</v>
      </c>
      <c r="K4" s="1" t="s">
        <v>309</v>
      </c>
      <c r="L4" s="1" t="s">
        <v>319</v>
      </c>
      <c r="M4" s="1" t="s">
        <v>310</v>
      </c>
      <c r="N4" s="14">
        <v>2.1730158730158732E-2</v>
      </c>
      <c r="O4" s="1" t="s">
        <v>311</v>
      </c>
    </row>
    <row r="5" spans="1:15" ht="15.75" customHeight="1">
      <c r="A5" s="1" t="s">
        <v>239</v>
      </c>
      <c r="B5" s="94" t="b">
        <f>'SFigure18-Data-1'!F6 &gt; 0.02</f>
        <v>1</v>
      </c>
      <c r="C5" s="77" t="b">
        <f>'SFigure16-17-Data-1'!B6 &gt; 0.02</f>
        <v>1</v>
      </c>
      <c r="D5" s="77" t="b">
        <f>'SFigure16-17-Data-1'!C6 &gt; 0.026</f>
        <v>1</v>
      </c>
      <c r="E5" s="77" t="b">
        <f>'SFigure16-17-Data-1'!D6 &gt; 0.022</f>
        <v>1</v>
      </c>
      <c r="F5" s="78" t="b">
        <f>'SFigure16-17-Data-1'!E6 &gt; 0.03</f>
        <v>0</v>
      </c>
      <c r="G5" s="77" t="b">
        <f>'SFigure16-17-Data-1'!F6 &gt; 0.022</f>
        <v>1</v>
      </c>
      <c r="H5" s="78" t="b">
        <f>'SFigure16-17-Data-1'!G6 &gt; 0.027</f>
        <v>0</v>
      </c>
      <c r="K5" s="1" t="s">
        <v>309</v>
      </c>
      <c r="L5" s="1" t="s">
        <v>320</v>
      </c>
      <c r="M5" s="1" t="s">
        <v>310</v>
      </c>
      <c r="N5" s="14">
        <v>3.0292929292929295E-2</v>
      </c>
      <c r="O5" s="1" t="s">
        <v>311</v>
      </c>
    </row>
    <row r="6" spans="1:15" ht="15.75" customHeight="1">
      <c r="A6" s="1" t="s">
        <v>240</v>
      </c>
      <c r="B6" s="94" t="b">
        <f>'SFigure18-Data-1'!F7 &gt; 0.02</f>
        <v>1</v>
      </c>
      <c r="C6" s="77" t="b">
        <f>'SFigure16-17-Data-1'!B7 &gt; 0.02</f>
        <v>1</v>
      </c>
      <c r="D6" s="78" t="b">
        <f>'SFigure16-17-Data-1'!C7 &gt; 0.026</f>
        <v>0</v>
      </c>
      <c r="E6" s="77" t="b">
        <f>'SFigure16-17-Data-1'!D7 &gt; 0.022</f>
        <v>1</v>
      </c>
      <c r="F6" s="78" t="b">
        <f>'SFigure16-17-Data-1'!E7 &gt; 0.03</f>
        <v>0</v>
      </c>
      <c r="G6" s="77" t="b">
        <f>'SFigure16-17-Data-1'!F7 &gt; 0.022</f>
        <v>1</v>
      </c>
      <c r="H6" s="78" t="b">
        <f>'SFigure16-17-Data-1'!G7 &gt; 0.027</f>
        <v>0</v>
      </c>
      <c r="K6" s="1" t="s">
        <v>309</v>
      </c>
      <c r="L6" s="1" t="s">
        <v>321</v>
      </c>
      <c r="M6" s="1" t="s">
        <v>310</v>
      </c>
      <c r="N6" s="14">
        <v>2.1950764006791173E-2</v>
      </c>
      <c r="O6" s="1" t="s">
        <v>311</v>
      </c>
    </row>
    <row r="7" spans="1:15" ht="15.75" customHeight="1">
      <c r="A7" s="1" t="s">
        <v>241</v>
      </c>
      <c r="B7" s="94" t="b">
        <f>'SFigure18-Data-1'!F8 &gt; 0.02</f>
        <v>1</v>
      </c>
      <c r="C7" s="77" t="b">
        <f>'SFigure16-17-Data-1'!B8 &gt; 0.02</f>
        <v>1</v>
      </c>
      <c r="D7" s="78" t="b">
        <f>'SFigure16-17-Data-1'!C8 &gt; 0.026</f>
        <v>0</v>
      </c>
      <c r="E7" s="77" t="b">
        <f>'SFigure16-17-Data-1'!D8 &gt; 0.022</f>
        <v>1</v>
      </c>
      <c r="F7" s="78" t="b">
        <f>'SFigure16-17-Data-1'!E8 &gt; 0.03</f>
        <v>0</v>
      </c>
      <c r="G7" s="77" t="b">
        <f>'SFigure16-17-Data-1'!F8 &gt; 0.022</f>
        <v>1</v>
      </c>
      <c r="H7" s="78" t="b">
        <f>'SFigure16-17-Data-1'!G8 &gt; 0.027</f>
        <v>0</v>
      </c>
      <c r="K7" s="1" t="s">
        <v>309</v>
      </c>
      <c r="L7" s="1" t="s">
        <v>322</v>
      </c>
      <c r="M7" s="1" t="s">
        <v>310</v>
      </c>
      <c r="N7" s="14">
        <v>2.7497607655502396E-2</v>
      </c>
      <c r="O7" s="1" t="s">
        <v>311</v>
      </c>
    </row>
    <row r="8" spans="1:15" ht="15.75" customHeight="1">
      <c r="A8" s="1" t="s">
        <v>242</v>
      </c>
      <c r="B8" s="94" t="b">
        <f>'SFigure18-Data-1'!F9 &gt; 0.02</f>
        <v>1</v>
      </c>
      <c r="C8" s="77" t="b">
        <f>'SFigure16-17-Data-1'!B9 &gt; 0.02</f>
        <v>1</v>
      </c>
      <c r="D8" s="77" t="b">
        <f>'SFigure16-17-Data-1'!C9 &gt; 0.026</f>
        <v>1</v>
      </c>
      <c r="E8" s="77" t="b">
        <f>'SFigure16-17-Data-1'!D9 &gt; 0.022</f>
        <v>1</v>
      </c>
      <c r="F8" s="78" t="b">
        <f>'SFigure16-17-Data-1'!E9 &gt; 0.03</f>
        <v>0</v>
      </c>
      <c r="G8" s="77" t="b">
        <f>'SFigure16-17-Data-1'!F9 &gt; 0.022</f>
        <v>1</v>
      </c>
      <c r="H8" s="78" t="b">
        <f>'SFigure16-17-Data-1'!G9 &gt; 0.027</f>
        <v>0</v>
      </c>
      <c r="N8" s="16"/>
    </row>
    <row r="9" spans="1:15" ht="15.75" customHeight="1">
      <c r="A9" s="1" t="s">
        <v>243</v>
      </c>
      <c r="B9" s="94" t="b">
        <f>'SFigure18-Data-1'!F10 &gt; 0.02</f>
        <v>1</v>
      </c>
      <c r="C9" s="77" t="b">
        <f>'SFigure16-17-Data-1'!B10 &gt; 0.02</f>
        <v>1</v>
      </c>
      <c r="D9" s="77" t="b">
        <f>'SFigure16-17-Data-1'!C10 &gt; 0.026</f>
        <v>1</v>
      </c>
      <c r="E9" s="77" t="b">
        <f>'SFigure16-17-Data-1'!D10 &gt; 0.022</f>
        <v>1</v>
      </c>
      <c r="F9" s="78" t="b">
        <f>'SFigure16-17-Data-1'!E10 &gt; 0.03</f>
        <v>0</v>
      </c>
      <c r="G9" s="77" t="b">
        <f>'SFigure16-17-Data-1'!F10 &gt; 0.022</f>
        <v>1</v>
      </c>
      <c r="H9" s="78" t="b">
        <f>'SFigure16-17-Data-1'!G10 &gt; 0.027</f>
        <v>0</v>
      </c>
    </row>
    <row r="10" spans="1:15" ht="15.75" customHeight="1">
      <c r="A10" s="1" t="s">
        <v>244</v>
      </c>
      <c r="B10" s="94" t="b">
        <f>'SFigure18-Data-1'!F11 &gt; 0.02</f>
        <v>1</v>
      </c>
      <c r="C10" s="77" t="b">
        <f>'SFigure16-17-Data-1'!B11 &gt; 0.02</f>
        <v>1</v>
      </c>
      <c r="D10" s="78" t="b">
        <f>'SFigure16-17-Data-1'!C11 &gt; 0.026</f>
        <v>0</v>
      </c>
      <c r="E10" s="78" t="b">
        <f>'SFigure16-17-Data-1'!D11 &gt; 0.022</f>
        <v>0</v>
      </c>
      <c r="F10" s="78" t="b">
        <f>'SFigure16-17-Data-1'!E11 &gt; 0.03</f>
        <v>0</v>
      </c>
      <c r="G10" s="78" t="b">
        <f>'SFigure16-17-Data-1'!F11 &gt; 0.022</f>
        <v>0</v>
      </c>
      <c r="H10" s="78" t="b">
        <f>'SFigure16-17-Data-1'!G11 &gt; 0.027</f>
        <v>0</v>
      </c>
    </row>
    <row r="11" spans="1:15" ht="15.75" customHeight="1">
      <c r="A11" s="1" t="s">
        <v>245</v>
      </c>
      <c r="B11" s="94" t="b">
        <f>'SFigure18-Data-1'!F12 &gt; 0.02</f>
        <v>1</v>
      </c>
      <c r="C11" s="77" t="b">
        <f>'SFigure16-17-Data-1'!B12 &gt; 0.02</f>
        <v>1</v>
      </c>
      <c r="D11" s="78" t="b">
        <f>'SFigure16-17-Data-1'!C12 &gt; 0.026</f>
        <v>0</v>
      </c>
      <c r="E11" s="77" t="b">
        <f>'SFigure16-17-Data-1'!D12 &gt; 0.022</f>
        <v>1</v>
      </c>
      <c r="F11" s="78" t="b">
        <f>'SFigure16-17-Data-1'!E12 &gt; 0.03</f>
        <v>0</v>
      </c>
      <c r="G11" s="78" t="b">
        <f>'SFigure16-17-Data-1'!F12 &gt; 0.022</f>
        <v>0</v>
      </c>
      <c r="H11" s="78" t="b">
        <f>'SFigure16-17-Data-1'!G12 &gt; 0.027</f>
        <v>0</v>
      </c>
    </row>
    <row r="12" spans="1:15" ht="15.75" customHeight="1">
      <c r="A12" s="1" t="s">
        <v>246</v>
      </c>
      <c r="B12" s="94" t="b">
        <f>'SFigure18-Data-1'!F13 &gt; 0.02</f>
        <v>1</v>
      </c>
      <c r="C12" s="78" t="b">
        <f>'SFigure16-17-Data-1'!B13 &gt; 0.02</f>
        <v>0</v>
      </c>
      <c r="D12" s="78" t="b">
        <f>'SFigure16-17-Data-1'!C13 &gt; 0.026</f>
        <v>0</v>
      </c>
      <c r="E12" s="78" t="b">
        <f>'SFigure16-17-Data-1'!D13 &gt; 0.022</f>
        <v>0</v>
      </c>
      <c r="F12" s="78" t="b">
        <f>'SFigure16-17-Data-1'!E13 &gt; 0.03</f>
        <v>0</v>
      </c>
      <c r="G12" s="78" t="b">
        <f>'SFigure16-17-Data-1'!F13 &gt; 0.022</f>
        <v>0</v>
      </c>
      <c r="H12" s="78" t="b">
        <f>'SFigure16-17-Data-1'!G13 &gt; 0.027</f>
        <v>0</v>
      </c>
      <c r="J12" s="1" t="s">
        <v>323</v>
      </c>
      <c r="K12" s="1" t="s">
        <v>324</v>
      </c>
    </row>
    <row r="13" spans="1:15" ht="15.75" customHeight="1">
      <c r="A13" s="1" t="s">
        <v>247</v>
      </c>
      <c r="B13" s="94" t="b">
        <f>'SFigure18-Data-1'!F14 &gt; 0.02</f>
        <v>1</v>
      </c>
      <c r="C13" s="77" t="b">
        <f>'SFigure16-17-Data-1'!B14 &gt; 0.02</f>
        <v>1</v>
      </c>
      <c r="D13" s="78" t="b">
        <f>'SFigure16-17-Data-1'!C14 &gt; 0.026</f>
        <v>0</v>
      </c>
      <c r="E13" s="77" t="b">
        <f>'SFigure16-17-Data-1'!D14 &gt; 0.022</f>
        <v>1</v>
      </c>
      <c r="F13" s="78" t="b">
        <f>'SFigure16-17-Data-1'!E14 &gt; 0.03</f>
        <v>0</v>
      </c>
      <c r="G13" s="78" t="b">
        <f>'SFigure16-17-Data-1'!F14 &gt; 0.022</f>
        <v>0</v>
      </c>
      <c r="H13" s="78" t="b">
        <f>'SFigure16-17-Data-1'!G14 &gt; 0.027</f>
        <v>0</v>
      </c>
      <c r="J13" s="16" t="s">
        <v>316</v>
      </c>
      <c r="K13" s="1">
        <v>23</v>
      </c>
    </row>
    <row r="14" spans="1:15" ht="15.75" customHeight="1">
      <c r="A14" s="1" t="s">
        <v>248</v>
      </c>
      <c r="B14" s="94" t="b">
        <f>'SFigure18-Data-1'!F15 &gt; 0.02</f>
        <v>1</v>
      </c>
      <c r="C14" s="77" t="b">
        <f>'SFigure16-17-Data-1'!B15 &gt; 0.02</f>
        <v>1</v>
      </c>
      <c r="D14" s="78" t="b">
        <f>'SFigure16-17-Data-1'!C15 &gt; 0.026</f>
        <v>0</v>
      </c>
      <c r="E14" s="77" t="b">
        <f>'SFigure16-17-Data-1'!D15 &gt; 0.022</f>
        <v>1</v>
      </c>
      <c r="F14" s="78" t="b">
        <f>'SFigure16-17-Data-1'!E15 &gt; 0.03</f>
        <v>0</v>
      </c>
      <c r="G14" s="77" t="b">
        <f>'SFigure16-17-Data-1'!F15 &gt; 0.022</f>
        <v>1</v>
      </c>
      <c r="H14" s="78" t="b">
        <f>'SFigure16-17-Data-1'!G15 &gt; 0.027</f>
        <v>0</v>
      </c>
      <c r="J14" s="1" t="s">
        <v>317</v>
      </c>
      <c r="K14" s="1">
        <v>22</v>
      </c>
    </row>
    <row r="15" spans="1:15" ht="15.75" customHeight="1">
      <c r="A15" s="1" t="s">
        <v>249</v>
      </c>
      <c r="B15" s="94" t="b">
        <f>'SFigure18-Data-1'!F16 &gt; 0.02</f>
        <v>1</v>
      </c>
      <c r="C15" s="77" t="b">
        <f>'SFigure16-17-Data-1'!B16 &gt; 0.02</f>
        <v>1</v>
      </c>
      <c r="D15" s="78" t="b">
        <f>'SFigure16-17-Data-1'!C16 &gt; 0.026</f>
        <v>0</v>
      </c>
      <c r="E15" s="77" t="b">
        <f>'SFigure16-17-Data-1'!D16 &gt; 0.022</f>
        <v>1</v>
      </c>
      <c r="F15" s="78" t="b">
        <f>'SFigure16-17-Data-1'!E16 &gt; 0.03</f>
        <v>0</v>
      </c>
      <c r="G15" s="77" t="b">
        <f>'SFigure16-17-Data-1'!F16 &gt; 0.022</f>
        <v>1</v>
      </c>
      <c r="H15" s="78" t="b">
        <f>'SFigure16-17-Data-1'!G16 &gt; 0.027</f>
        <v>0</v>
      </c>
      <c r="J15" s="1" t="s">
        <v>318</v>
      </c>
      <c r="K15" s="1">
        <v>5</v>
      </c>
    </row>
    <row r="16" spans="1:15" ht="15.75" customHeight="1">
      <c r="A16" s="1" t="s">
        <v>250</v>
      </c>
      <c r="B16" s="94" t="b">
        <f>'SFigure18-Data-1'!F17 &gt; 0.02</f>
        <v>1</v>
      </c>
      <c r="C16" s="77" t="b">
        <f>'SFigure16-17-Data-1'!B17 &gt; 0.02</f>
        <v>1</v>
      </c>
      <c r="D16" s="78" t="b">
        <f>'SFigure16-17-Data-1'!C17 &gt; 0.026</f>
        <v>0</v>
      </c>
      <c r="E16" s="77" t="b">
        <f>'SFigure16-17-Data-1'!D17 &gt; 0.022</f>
        <v>1</v>
      </c>
      <c r="F16" s="78" t="b">
        <f>'SFigure16-17-Data-1'!E17 &gt; 0.03</f>
        <v>0</v>
      </c>
      <c r="G16" s="77" t="b">
        <f>'SFigure16-17-Data-1'!F17 &gt; 0.022</f>
        <v>1</v>
      </c>
      <c r="H16" s="78" t="b">
        <f>'SFigure16-17-Data-1'!G17 &gt; 0.027</f>
        <v>0</v>
      </c>
      <c r="J16" s="1" t="s">
        <v>319</v>
      </c>
      <c r="K16" s="1">
        <v>19</v>
      </c>
    </row>
    <row r="17" spans="1:11" ht="15.75" customHeight="1">
      <c r="A17" s="1" t="s">
        <v>251</v>
      </c>
      <c r="B17" s="95" t="b">
        <f>'SFigure18-Data-1'!F18 &gt; 0.02</f>
        <v>0</v>
      </c>
      <c r="C17" s="78" t="b">
        <f>'SFigure16-17-Data-1'!B18 &gt; 0.02</f>
        <v>0</v>
      </c>
      <c r="D17" s="78" t="b">
        <f>'SFigure16-17-Data-1'!C18 &gt; 0.026</f>
        <v>0</v>
      </c>
      <c r="E17" s="78" t="b">
        <f>'SFigure16-17-Data-1'!D18 &gt; 0.022</f>
        <v>0</v>
      </c>
      <c r="F17" s="78" t="b">
        <f>'SFigure16-17-Data-1'!E18 &gt; 0.03</f>
        <v>0</v>
      </c>
      <c r="G17" s="78" t="b">
        <f>'SFigure16-17-Data-1'!F18 &gt; 0.022</f>
        <v>0</v>
      </c>
      <c r="H17" s="78" t="b">
        <f>'SFigure16-17-Data-1'!G18 &gt; 0.027</f>
        <v>0</v>
      </c>
      <c r="J17" s="1" t="s">
        <v>320</v>
      </c>
      <c r="K17" s="1">
        <v>0</v>
      </c>
    </row>
    <row r="18" spans="1:11" ht="15.75" customHeight="1">
      <c r="A18" s="1" t="s">
        <v>252</v>
      </c>
      <c r="B18" s="94" t="b">
        <f>'SFigure18-Data-1'!F19 &gt; 0.02</f>
        <v>1</v>
      </c>
      <c r="C18" s="77" t="b">
        <f>'SFigure16-17-Data-1'!B19 &gt; 0.02</f>
        <v>1</v>
      </c>
      <c r="D18" s="78" t="b">
        <f>'SFigure16-17-Data-1'!C19 &gt; 0.026</f>
        <v>0</v>
      </c>
      <c r="E18" s="77" t="b">
        <f>'SFigure16-17-Data-1'!D19 &gt; 0.022</f>
        <v>1</v>
      </c>
      <c r="F18" s="78" t="b">
        <f>'SFigure16-17-Data-1'!E19 &gt; 0.03</f>
        <v>0</v>
      </c>
      <c r="G18" s="78" t="b">
        <f>'SFigure16-17-Data-1'!F19 &gt; 0.022</f>
        <v>0</v>
      </c>
      <c r="H18" s="78" t="b">
        <f>'SFigure16-17-Data-1'!G19 &gt; 0.027</f>
        <v>0</v>
      </c>
      <c r="J18" s="1" t="s">
        <v>321</v>
      </c>
      <c r="K18" s="1">
        <v>15</v>
      </c>
    </row>
    <row r="19" spans="1:11" ht="15.75" customHeight="1">
      <c r="A19" s="1" t="s">
        <v>253</v>
      </c>
      <c r="B19" s="94" t="b">
        <f>'SFigure18-Data-1'!F20 &gt; 0.02</f>
        <v>1</v>
      </c>
      <c r="C19" s="77" t="b">
        <f>'SFigure16-17-Data-1'!B20 &gt; 0.02</f>
        <v>1</v>
      </c>
      <c r="D19" s="77" t="b">
        <f>'SFigure16-17-Data-1'!C20 &gt; 0.026</f>
        <v>1</v>
      </c>
      <c r="E19" s="77" t="b">
        <f>'SFigure16-17-Data-1'!D20 &gt; 0.022</f>
        <v>1</v>
      </c>
      <c r="F19" s="78" t="b">
        <f>'SFigure16-17-Data-1'!E20 &gt; 0.03</f>
        <v>0</v>
      </c>
      <c r="G19" s="77" t="b">
        <f>'SFigure16-17-Data-1'!F20 &gt; 0.022</f>
        <v>1</v>
      </c>
      <c r="H19" s="78" t="b">
        <f>'SFigure16-17-Data-1'!G20 &gt; 0.027</f>
        <v>0</v>
      </c>
      <c r="J19" s="1" t="s">
        <v>322</v>
      </c>
      <c r="K19" s="1">
        <v>0</v>
      </c>
    </row>
    <row r="20" spans="1:11" ht="15.75" customHeight="1">
      <c r="A20" s="1" t="s">
        <v>254</v>
      </c>
      <c r="B20" s="94" t="b">
        <f>'SFigure18-Data-1'!F21 &gt; 0.02</f>
        <v>1</v>
      </c>
      <c r="C20" s="77" t="b">
        <f>'SFigure16-17-Data-1'!B21 &gt; 0.02</f>
        <v>1</v>
      </c>
      <c r="D20" s="78" t="b">
        <f>'SFigure16-17-Data-1'!C21 &gt; 0.026</f>
        <v>0</v>
      </c>
      <c r="E20" s="77" t="b">
        <f>'SFigure16-17-Data-1'!D21 &gt; 0.022</f>
        <v>1</v>
      </c>
      <c r="F20" s="78" t="b">
        <f>'SFigure16-17-Data-1'!E21 &gt; 0.03</f>
        <v>0</v>
      </c>
      <c r="G20" s="77" t="b">
        <f>'SFigure16-17-Data-1'!F21 &gt; 0.022</f>
        <v>1</v>
      </c>
      <c r="H20" s="78" t="b">
        <f>'SFigure16-17-Data-1'!G21 &gt; 0.027</f>
        <v>0</v>
      </c>
    </row>
    <row r="21" spans="1:11" ht="15.75" customHeight="1">
      <c r="A21" s="1" t="s">
        <v>255</v>
      </c>
      <c r="B21" s="94" t="b">
        <f>'SFigure18-Data-1'!F22 &gt; 0.02</f>
        <v>1</v>
      </c>
      <c r="C21" s="77" t="b">
        <f>'SFigure16-17-Data-1'!B22 &gt; 0.02</f>
        <v>1</v>
      </c>
      <c r="D21" s="78" t="b">
        <f>'SFigure16-17-Data-1'!C22 &gt; 0.026</f>
        <v>0</v>
      </c>
      <c r="E21" s="78" t="b">
        <f>'SFigure16-17-Data-1'!D22 &gt; 0.022</f>
        <v>0</v>
      </c>
      <c r="F21" s="78" t="b">
        <f>'SFigure16-17-Data-1'!E22 &gt; 0.03</f>
        <v>0</v>
      </c>
      <c r="G21" s="78" t="b">
        <f>'SFigure16-17-Data-1'!F22 &gt; 0.022</f>
        <v>0</v>
      </c>
      <c r="H21" s="78" t="b">
        <f>'SFigure16-17-Data-1'!G22 &gt; 0.027</f>
        <v>0</v>
      </c>
    </row>
    <row r="22" spans="1:11" ht="15.75" customHeight="1">
      <c r="A22" s="1" t="s">
        <v>256</v>
      </c>
      <c r="B22" s="94" t="b">
        <f>'SFigure18-Data-1'!F23 &gt; 0.02</f>
        <v>1</v>
      </c>
      <c r="C22" s="77" t="b">
        <f>'SFigure16-17-Data-1'!B23 &gt; 0.02</f>
        <v>1</v>
      </c>
      <c r="D22" s="78" t="b">
        <f>'SFigure16-17-Data-1'!C23 &gt; 0.026</f>
        <v>0</v>
      </c>
      <c r="E22" s="77" t="b">
        <f>'SFigure16-17-Data-1'!D23 &gt; 0.022</f>
        <v>1</v>
      </c>
      <c r="F22" s="78" t="b">
        <f>'SFigure16-17-Data-1'!E23 &gt; 0.03</f>
        <v>0</v>
      </c>
      <c r="G22" s="78" t="b">
        <f>'SFigure16-17-Data-1'!F23 &gt; 0.022</f>
        <v>0</v>
      </c>
      <c r="H22" s="78" t="b">
        <f>'SFigure16-17-Data-1'!G23 &gt; 0.027</f>
        <v>0</v>
      </c>
    </row>
    <row r="23" spans="1:11" ht="15.75" customHeight="1">
      <c r="A23" s="1" t="s">
        <v>257</v>
      </c>
      <c r="B23" s="94" t="b">
        <f>'SFigure18-Data-1'!F24 &gt; 0.02</f>
        <v>1</v>
      </c>
      <c r="C23" s="77" t="b">
        <f>'SFigure16-17-Data-1'!B24 &gt; 0.02</f>
        <v>1</v>
      </c>
      <c r="D23" s="78" t="b">
        <f>'SFigure16-17-Data-1'!C24 &gt; 0.026</f>
        <v>0</v>
      </c>
      <c r="E23" s="77" t="b">
        <f>'SFigure16-17-Data-1'!D24 &gt; 0.022</f>
        <v>1</v>
      </c>
      <c r="F23" s="78" t="b">
        <f>'SFigure16-17-Data-1'!E24 &gt; 0.03</f>
        <v>0</v>
      </c>
      <c r="G23" s="77" t="b">
        <f>'SFigure16-17-Data-1'!F24 &gt; 0.022</f>
        <v>1</v>
      </c>
      <c r="H23" s="78" t="b">
        <f>'SFigure16-17-Data-1'!G24 &gt; 0.027</f>
        <v>0</v>
      </c>
      <c r="J23" s="1" t="s">
        <v>323</v>
      </c>
      <c r="K23" s="1" t="s">
        <v>325</v>
      </c>
    </row>
    <row r="24" spans="1:11" ht="15.75" customHeight="1">
      <c r="A24" s="1" t="s">
        <v>258</v>
      </c>
      <c r="B24" s="94" t="b">
        <f>'SFigure18-Data-1'!F25 &gt; 0.02</f>
        <v>1</v>
      </c>
      <c r="C24" s="77" t="b">
        <f>'SFigure16-17-Data-1'!B25 &gt; 0.02</f>
        <v>1</v>
      </c>
      <c r="D24" s="78" t="b">
        <f>'SFigure16-17-Data-1'!C25 &gt; 0.026</f>
        <v>0</v>
      </c>
      <c r="E24" s="77" t="b">
        <f>'SFigure16-17-Data-1'!D25 &gt; 0.022</f>
        <v>1</v>
      </c>
      <c r="F24" s="78" t="b">
        <f>'SFigure16-17-Data-1'!E25 &gt; 0.03</f>
        <v>0</v>
      </c>
      <c r="G24" s="77" t="b">
        <f>'SFigure16-17-Data-1'!F25 &gt; 0.022</f>
        <v>1</v>
      </c>
      <c r="H24" s="78" t="b">
        <f>'SFigure16-17-Data-1'!G25 &gt; 0.027</f>
        <v>0</v>
      </c>
      <c r="J24" s="16" t="s">
        <v>316</v>
      </c>
      <c r="K24" s="1">
        <v>24</v>
      </c>
    </row>
    <row r="25" spans="1:11" ht="15.75" customHeight="1">
      <c r="A25" s="1" t="s">
        <v>259</v>
      </c>
      <c r="B25" s="94" t="b">
        <f>'SFigure18-Data-1'!F26 &gt; 0.02</f>
        <v>1</v>
      </c>
      <c r="C25" s="77" t="b">
        <f>'SFigure16-17-Data-1'!B26 &gt; 0.02</f>
        <v>1</v>
      </c>
      <c r="D25" s="78" t="b">
        <f>'SFigure16-17-Data-1'!C26 &gt; 0.026</f>
        <v>0</v>
      </c>
      <c r="E25" s="77" t="b">
        <f>'SFigure16-17-Data-1'!D26 &gt; 0.022</f>
        <v>1</v>
      </c>
      <c r="F25" s="78" t="b">
        <f>'SFigure16-17-Data-1'!E26 &gt; 0.03</f>
        <v>0</v>
      </c>
      <c r="G25" s="77" t="b">
        <f>'SFigure16-17-Data-1'!F26 &gt; 0.022</f>
        <v>1</v>
      </c>
      <c r="H25" s="78" t="b">
        <f>'SFigure16-17-Data-1'!G26 &gt; 0.027</f>
        <v>0</v>
      </c>
      <c r="J25" s="1" t="s">
        <v>317</v>
      </c>
      <c r="K25" s="1">
        <v>24</v>
      </c>
    </row>
    <row r="26" spans="1:11" ht="15.75" customHeight="1">
      <c r="A26" s="1" t="s">
        <v>260</v>
      </c>
      <c r="B26" s="95" t="b">
        <f>'SFigure18-Data-1'!F27 &gt; 0.02</f>
        <v>0</v>
      </c>
      <c r="C26" s="78" t="b">
        <f>'SFigure16-17-Data-1'!B27 &gt; 0.02</f>
        <v>0</v>
      </c>
      <c r="D26" s="78" t="b">
        <f>'SFigure16-17-Data-1'!C27 &gt; 0.026</f>
        <v>0</v>
      </c>
      <c r="E26" s="78" t="b">
        <f>'SFigure16-17-Data-1'!D27 &gt; 0.022</f>
        <v>0</v>
      </c>
      <c r="F26" s="78" t="b">
        <f>'SFigure16-17-Data-1'!E27 &gt; 0.03</f>
        <v>0</v>
      </c>
      <c r="G26" s="78" t="b">
        <f>'SFigure16-17-Data-1'!F27 &gt; 0.022</f>
        <v>0</v>
      </c>
      <c r="H26" s="78" t="b">
        <f>'SFigure16-17-Data-1'!G27 &gt; 0.027</f>
        <v>0</v>
      </c>
      <c r="J26" s="1" t="s">
        <v>318</v>
      </c>
      <c r="K26" s="1">
        <v>11</v>
      </c>
    </row>
    <row r="27" spans="1:11" ht="15.75" customHeight="1">
      <c r="A27" s="1" t="s">
        <v>261</v>
      </c>
      <c r="B27" s="94" t="b">
        <f>'SFigure18-Data-1'!F28 &gt; 0.02</f>
        <v>1</v>
      </c>
      <c r="C27" s="77" t="b">
        <f>'SFigure16-17-Data-1'!B28 &gt; 0.02</f>
        <v>1</v>
      </c>
      <c r="D27" s="78" t="b">
        <f>'SFigure16-17-Data-1'!C28 &gt; 0.026</f>
        <v>0</v>
      </c>
      <c r="E27" s="78" t="b">
        <f>'SFigure16-17-Data-1'!D28 &gt; 0.022</f>
        <v>0</v>
      </c>
      <c r="F27" s="78" t="b">
        <f>'SFigure16-17-Data-1'!E28 &gt; 0.03</f>
        <v>0</v>
      </c>
      <c r="G27" s="78" t="b">
        <f>'SFigure16-17-Data-1'!F28 &gt; 0.022</f>
        <v>0</v>
      </c>
      <c r="H27" s="78" t="b">
        <f>'SFigure16-17-Data-1'!G28 &gt; 0.027</f>
        <v>0</v>
      </c>
      <c r="J27" s="1" t="s">
        <v>319</v>
      </c>
      <c r="K27" s="1">
        <v>22</v>
      </c>
    </row>
    <row r="28" spans="1:11" ht="15.75" customHeight="1">
      <c r="A28" s="1" t="s">
        <v>272</v>
      </c>
      <c r="B28" s="1">
        <f t="shared" ref="B28:H28" si="0">SUMPRODUCT(--(ABS(B3:B27) &gt; 0))</f>
        <v>23</v>
      </c>
      <c r="C28" s="1">
        <f t="shared" si="0"/>
        <v>22</v>
      </c>
      <c r="D28" s="1">
        <f t="shared" si="0"/>
        <v>5</v>
      </c>
      <c r="E28" s="1">
        <f t="shared" si="0"/>
        <v>19</v>
      </c>
      <c r="F28" s="1">
        <f t="shared" si="0"/>
        <v>0</v>
      </c>
      <c r="G28" s="1">
        <f t="shared" si="0"/>
        <v>15</v>
      </c>
      <c r="H28" s="1">
        <f t="shared" si="0"/>
        <v>0</v>
      </c>
      <c r="J28" s="1" t="s">
        <v>320</v>
      </c>
      <c r="K28" s="1">
        <v>4</v>
      </c>
    </row>
    <row r="29" spans="1:11" ht="15.75" customHeight="1">
      <c r="J29" s="1" t="s">
        <v>321</v>
      </c>
      <c r="K29" s="1">
        <v>20</v>
      </c>
    </row>
    <row r="30" spans="1:11" ht="15.75" customHeight="1">
      <c r="A30" s="1" t="s">
        <v>313</v>
      </c>
      <c r="B30" s="71" t="s">
        <v>326</v>
      </c>
      <c r="C30" s="5"/>
      <c r="D30" s="5"/>
      <c r="E30" s="5"/>
      <c r="F30" s="5"/>
      <c r="G30" s="5"/>
      <c r="J30" s="1" t="s">
        <v>322</v>
      </c>
      <c r="K30" s="1">
        <v>6</v>
      </c>
    </row>
    <row r="31" spans="1:11" ht="15.75" customHeight="1">
      <c r="A31" s="1" t="s">
        <v>231</v>
      </c>
      <c r="B31" s="16" t="s">
        <v>316</v>
      </c>
      <c r="C31" s="1" t="s">
        <v>39</v>
      </c>
      <c r="D31" s="1" t="s">
        <v>38</v>
      </c>
      <c r="E31" s="1" t="s">
        <v>263</v>
      </c>
      <c r="F31" s="1" t="s">
        <v>264</v>
      </c>
      <c r="G31" s="1" t="s">
        <v>63</v>
      </c>
      <c r="H31" s="1" t="s">
        <v>265</v>
      </c>
    </row>
    <row r="32" spans="1:11" ht="15.75" customHeight="1">
      <c r="A32" s="1" t="s">
        <v>237</v>
      </c>
      <c r="B32" s="94" t="b">
        <f>'SFigure18-Data-1'!F33 &gt; 0.02</f>
        <v>1</v>
      </c>
      <c r="C32" s="77" t="b">
        <f>'SFigure16-17-Data-1'!B36 &gt; 0.02</f>
        <v>1</v>
      </c>
      <c r="D32" s="77" t="b">
        <f>'SFigure16-17-Data-1'!C36 &gt; 0.026</f>
        <v>1</v>
      </c>
      <c r="E32" s="77" t="b">
        <f>'SFigure16-17-Data-1'!D36 &gt; 0.022</f>
        <v>1</v>
      </c>
      <c r="F32" s="77" t="b">
        <f>'SFigure16-17-Data-1'!E36 &gt; 0.03</f>
        <v>1</v>
      </c>
      <c r="G32" s="77" t="b">
        <f>'SFigure16-17-Data-1'!F36 &gt; 0.022</f>
        <v>1</v>
      </c>
      <c r="H32" s="77" t="b">
        <f>'SFigure16-17-Data-1'!G36 &gt; 0.027</f>
        <v>1</v>
      </c>
    </row>
    <row r="33" spans="1:8" ht="15.75" customHeight="1">
      <c r="A33" s="1" t="s">
        <v>238</v>
      </c>
      <c r="B33" s="94" t="b">
        <f>'SFigure18-Data-1'!F34 &gt; 0.02</f>
        <v>1</v>
      </c>
      <c r="C33" s="77" t="b">
        <f>'SFigure16-17-Data-1'!B37 &gt; 0.02</f>
        <v>1</v>
      </c>
      <c r="D33" s="77" t="b">
        <f>'SFigure16-17-Data-1'!C37 &gt; 0.026</f>
        <v>1</v>
      </c>
      <c r="E33" s="77" t="b">
        <f>'SFigure16-17-Data-1'!D37 &gt; 0.022</f>
        <v>1</v>
      </c>
      <c r="F33" s="77" t="b">
        <f>'SFigure16-17-Data-1'!E37 &gt; 0.03</f>
        <v>1</v>
      </c>
      <c r="G33" s="77" t="b">
        <f>'SFigure16-17-Data-1'!F37 &gt; 0.022</f>
        <v>1</v>
      </c>
      <c r="H33" s="77" t="b">
        <f>'SFigure16-17-Data-1'!G37 &gt; 0.027</f>
        <v>1</v>
      </c>
    </row>
    <row r="34" spans="1:8" ht="15.75" customHeight="1">
      <c r="A34" s="1" t="s">
        <v>239</v>
      </c>
      <c r="B34" s="94" t="b">
        <f>'SFigure18-Data-1'!F35 &gt; 0.02</f>
        <v>1</v>
      </c>
      <c r="C34" s="77" t="b">
        <f>'SFigure16-17-Data-1'!B38 &gt; 0.02</f>
        <v>1</v>
      </c>
      <c r="D34" s="77" t="b">
        <f>'SFigure16-17-Data-1'!C38 &gt; 0.026</f>
        <v>1</v>
      </c>
      <c r="E34" s="77" t="b">
        <f>'SFigure16-17-Data-1'!D38 &gt; 0.022</f>
        <v>1</v>
      </c>
      <c r="F34" s="78" t="b">
        <f>'SFigure16-17-Data-1'!E38 &gt; 0.03</f>
        <v>0</v>
      </c>
      <c r="G34" s="77" t="b">
        <f>'SFigure16-17-Data-1'!F38 &gt; 0.022</f>
        <v>1</v>
      </c>
      <c r="H34" s="77" t="b">
        <f>'SFigure16-17-Data-1'!G38 &gt; 0.027</f>
        <v>1</v>
      </c>
    </row>
    <row r="35" spans="1:8" ht="15.75" customHeight="1">
      <c r="A35" s="1" t="s">
        <v>240</v>
      </c>
      <c r="B35" s="94" t="b">
        <f>'SFigure18-Data-1'!F36 &gt; 0.02</f>
        <v>1</v>
      </c>
      <c r="C35" s="77" t="b">
        <f>'SFigure16-17-Data-1'!B39 &gt; 0.02</f>
        <v>1</v>
      </c>
      <c r="D35" s="77" t="b">
        <f>'SFigure16-17-Data-1'!C39 &gt; 0.026</f>
        <v>1</v>
      </c>
      <c r="E35" s="77" t="b">
        <f>'SFigure16-17-Data-1'!D39 &gt; 0.022</f>
        <v>1</v>
      </c>
      <c r="F35" s="77" t="b">
        <f>'SFigure16-17-Data-1'!E39 &gt; 0.03</f>
        <v>1</v>
      </c>
      <c r="G35" s="77" t="b">
        <f>'SFigure16-17-Data-1'!F39 &gt; 0.022</f>
        <v>1</v>
      </c>
      <c r="H35" s="77" t="b">
        <f>'SFigure16-17-Data-1'!G39 &gt; 0.027</f>
        <v>1</v>
      </c>
    </row>
    <row r="36" spans="1:8" ht="15.75" customHeight="1">
      <c r="A36" s="1" t="s">
        <v>241</v>
      </c>
      <c r="B36" s="94" t="b">
        <f>'SFigure18-Data-1'!F37 &gt; 0.02</f>
        <v>1</v>
      </c>
      <c r="C36" s="77" t="b">
        <f>'SFigure16-17-Data-1'!B40 &gt; 0.02</f>
        <v>1</v>
      </c>
      <c r="D36" s="77" t="b">
        <f>'SFigure16-17-Data-1'!C40 &gt; 0.026</f>
        <v>1</v>
      </c>
      <c r="E36" s="77" t="b">
        <f>'SFigure16-17-Data-1'!D40 &gt; 0.022</f>
        <v>1</v>
      </c>
      <c r="F36" s="78" t="b">
        <f>'SFigure16-17-Data-1'!E40 &gt; 0.03</f>
        <v>0</v>
      </c>
      <c r="G36" s="77" t="b">
        <f>'SFigure16-17-Data-1'!F40 &gt; 0.022</f>
        <v>1</v>
      </c>
      <c r="H36" s="78" t="b">
        <f>'SFigure16-17-Data-1'!G40 &gt; 0.027</f>
        <v>0</v>
      </c>
    </row>
    <row r="37" spans="1:8" ht="15.75" customHeight="1">
      <c r="A37" s="1" t="s">
        <v>242</v>
      </c>
      <c r="B37" s="94" t="b">
        <f>'SFigure18-Data-1'!F38 &gt; 0.02</f>
        <v>1</v>
      </c>
      <c r="C37" s="77" t="b">
        <f>'SFigure16-17-Data-1'!B41 &gt; 0.02</f>
        <v>1</v>
      </c>
      <c r="D37" s="78" t="b">
        <f>'SFigure16-17-Data-1'!C41 &gt; 0.026</f>
        <v>0</v>
      </c>
      <c r="E37" s="77" t="b">
        <f>'SFigure16-17-Data-1'!D41 &gt; 0.022</f>
        <v>1</v>
      </c>
      <c r="F37" s="78" t="b">
        <f>'SFigure16-17-Data-1'!E41 &gt; 0.03</f>
        <v>0</v>
      </c>
      <c r="G37" s="77" t="b">
        <f>'SFigure16-17-Data-1'!F41 &gt; 0.022</f>
        <v>1</v>
      </c>
      <c r="H37" s="78" t="b">
        <f>'SFigure16-17-Data-1'!G41 &gt; 0.027</f>
        <v>0</v>
      </c>
    </row>
    <row r="38" spans="1:8" ht="15.75" customHeight="1">
      <c r="A38" s="1" t="s">
        <v>243</v>
      </c>
      <c r="B38" s="94" t="b">
        <f>'SFigure18-Data-1'!F39 &gt; 0.02</f>
        <v>1</v>
      </c>
      <c r="C38" s="77" t="b">
        <f>'SFigure16-17-Data-1'!B42 &gt; 0.02</f>
        <v>1</v>
      </c>
      <c r="D38" s="77" t="b">
        <f>'SFigure16-17-Data-1'!C42 &gt; 0.026</f>
        <v>1</v>
      </c>
      <c r="E38" s="77" t="b">
        <f>'SFigure16-17-Data-1'!D42 &gt; 0.022</f>
        <v>1</v>
      </c>
      <c r="F38" s="78" t="b">
        <f>'SFigure16-17-Data-1'!E42 &gt; 0.03</f>
        <v>0</v>
      </c>
      <c r="G38" s="77" t="b">
        <f>'SFigure16-17-Data-1'!F42 &gt; 0.022</f>
        <v>1</v>
      </c>
      <c r="H38" s="78" t="b">
        <f>'SFigure16-17-Data-1'!G42 &gt; 0.027</f>
        <v>0</v>
      </c>
    </row>
    <row r="39" spans="1:8" ht="15.75" customHeight="1">
      <c r="A39" s="1" t="s">
        <v>244</v>
      </c>
      <c r="B39" s="94" t="b">
        <f>'SFigure18-Data-1'!F40 &gt; 0.02</f>
        <v>1</v>
      </c>
      <c r="C39" s="77" t="b">
        <f>'SFigure16-17-Data-1'!B43 &gt; 0.02</f>
        <v>1</v>
      </c>
      <c r="D39" s="78" t="b">
        <f>'SFigure16-17-Data-1'!C43 &gt; 0.026</f>
        <v>0</v>
      </c>
      <c r="E39" s="78" t="b">
        <f>'SFigure16-17-Data-1'!D43 &gt; 0.022</f>
        <v>0</v>
      </c>
      <c r="F39" s="78" t="b">
        <f>'SFigure16-17-Data-1'!E43 &gt; 0.03</f>
        <v>0</v>
      </c>
      <c r="G39" s="78" t="b">
        <f>'SFigure16-17-Data-1'!F43 &gt; 0.022</f>
        <v>0</v>
      </c>
      <c r="H39" s="78" t="b">
        <f>'SFigure16-17-Data-1'!G43 &gt; 0.027</f>
        <v>0</v>
      </c>
    </row>
    <row r="40" spans="1:8" ht="15.75" customHeight="1">
      <c r="A40" s="1" t="s">
        <v>245</v>
      </c>
      <c r="B40" s="94" t="b">
        <f>'SFigure18-Data-1'!F41 &gt; 0.02</f>
        <v>1</v>
      </c>
      <c r="C40" s="77" t="b">
        <f>'SFigure16-17-Data-1'!B44 &gt; 0.02</f>
        <v>1</v>
      </c>
      <c r="D40" s="78" t="b">
        <f>'SFigure16-17-Data-1'!C44 &gt; 0.026</f>
        <v>0</v>
      </c>
      <c r="E40" s="77" t="b">
        <f>'SFigure16-17-Data-1'!D44 &gt; 0.022</f>
        <v>1</v>
      </c>
      <c r="F40" s="78" t="b">
        <f>'SFigure16-17-Data-1'!E44 &gt; 0.03</f>
        <v>0</v>
      </c>
      <c r="G40" s="77" t="b">
        <f>'SFigure16-17-Data-1'!F44 &gt; 0.022</f>
        <v>1</v>
      </c>
      <c r="H40" s="78" t="b">
        <f>'SFigure16-17-Data-1'!G44 &gt; 0.027</f>
        <v>0</v>
      </c>
    </row>
    <row r="41" spans="1:8" ht="15.75" customHeight="1">
      <c r="A41" s="1" t="s">
        <v>246</v>
      </c>
      <c r="B41" s="94" t="b">
        <f>'SFigure18-Data-1'!F42 &gt; 0.02</f>
        <v>1</v>
      </c>
      <c r="C41" s="77" t="b">
        <f>'SFigure16-17-Data-1'!B45 &gt; 0.02</f>
        <v>1</v>
      </c>
      <c r="D41" s="77" t="b">
        <f>'SFigure16-17-Data-1'!C45 &gt; 0.026</f>
        <v>1</v>
      </c>
      <c r="E41" s="77" t="b">
        <f>'SFigure16-17-Data-1'!D45 &gt; 0.022</f>
        <v>1</v>
      </c>
      <c r="F41" s="78" t="b">
        <f>'SFigure16-17-Data-1'!E45 &gt; 0.03</f>
        <v>0</v>
      </c>
      <c r="G41" s="77" t="b">
        <f>'SFigure16-17-Data-1'!F45 &gt; 0.022</f>
        <v>1</v>
      </c>
      <c r="H41" s="78" t="b">
        <f>'SFigure16-17-Data-1'!G45 &gt; 0.027</f>
        <v>0</v>
      </c>
    </row>
    <row r="42" spans="1:8" ht="15.75" customHeight="1">
      <c r="A42" s="1" t="s">
        <v>247</v>
      </c>
      <c r="B42" s="94" t="b">
        <f>'SFigure18-Data-1'!F43 &gt; 0.02</f>
        <v>1</v>
      </c>
      <c r="C42" s="77" t="b">
        <f>'SFigure16-17-Data-1'!B46 &gt; 0.02</f>
        <v>1</v>
      </c>
      <c r="D42" s="78" t="b">
        <f>'SFigure16-17-Data-1'!C46 &gt; 0.026</f>
        <v>0</v>
      </c>
      <c r="E42" s="77" t="b">
        <f>'SFigure16-17-Data-1'!D46 &gt; 0.022</f>
        <v>1</v>
      </c>
      <c r="F42" s="78" t="b">
        <f>'SFigure16-17-Data-1'!E46 &gt; 0.03</f>
        <v>0</v>
      </c>
      <c r="G42" s="77" t="b">
        <f>'SFigure16-17-Data-1'!F46 &gt; 0.022</f>
        <v>1</v>
      </c>
      <c r="H42" s="78" t="b">
        <f>'SFigure16-17-Data-1'!G46 &gt; 0.027</f>
        <v>0</v>
      </c>
    </row>
    <row r="43" spans="1:8" ht="15.75" customHeight="1">
      <c r="A43" s="1" t="s">
        <v>248</v>
      </c>
      <c r="B43" s="94" t="b">
        <f>'SFigure18-Data-1'!F44 &gt; 0.02</f>
        <v>1</v>
      </c>
      <c r="C43" s="77" t="b">
        <f>'SFigure16-17-Data-1'!B47 &gt; 0.02</f>
        <v>1</v>
      </c>
      <c r="D43" s="78" t="b">
        <f>'SFigure16-17-Data-1'!C47 &gt; 0.026</f>
        <v>0</v>
      </c>
      <c r="E43" s="77" t="b">
        <f>'SFigure16-17-Data-1'!D47 &gt; 0.022</f>
        <v>1</v>
      </c>
      <c r="F43" s="78" t="b">
        <f>'SFigure16-17-Data-1'!E47 &gt; 0.03</f>
        <v>0</v>
      </c>
      <c r="G43" s="77" t="b">
        <f>'SFigure16-17-Data-1'!F47 &gt; 0.022</f>
        <v>1</v>
      </c>
      <c r="H43" s="78" t="b">
        <f>'SFigure16-17-Data-1'!G47 &gt; 0.027</f>
        <v>0</v>
      </c>
    </row>
    <row r="44" spans="1:8" ht="15.75" customHeight="1">
      <c r="A44" s="1" t="s">
        <v>249</v>
      </c>
      <c r="B44" s="94" t="b">
        <f>'SFigure18-Data-1'!F45 &gt; 0.02</f>
        <v>1</v>
      </c>
      <c r="C44" s="77" t="b">
        <f>'SFigure16-17-Data-1'!B48 &gt; 0.02</f>
        <v>1</v>
      </c>
      <c r="D44" s="77" t="b">
        <f>'SFigure16-17-Data-1'!C48 &gt; 0.026</f>
        <v>1</v>
      </c>
      <c r="E44" s="77" t="b">
        <f>'SFigure16-17-Data-1'!D48 &gt; 0.022</f>
        <v>1</v>
      </c>
      <c r="F44" s="94" t="b">
        <f>'SFigure16-17-Data-1'!E48 &gt; 0.03</f>
        <v>1</v>
      </c>
      <c r="G44" s="77" t="b">
        <f>'SFigure16-17-Data-1'!F48 &gt; 0.022</f>
        <v>1</v>
      </c>
      <c r="H44" s="77" t="b">
        <f>'SFigure16-17-Data-1'!G48 &gt; 0.027</f>
        <v>1</v>
      </c>
    </row>
    <row r="45" spans="1:8" ht="15.75" customHeight="1">
      <c r="A45" s="1" t="s">
        <v>250</v>
      </c>
      <c r="B45" s="94" t="b">
        <f>'SFigure18-Data-1'!F46 &gt; 0.02</f>
        <v>1</v>
      </c>
      <c r="C45" s="77" t="b">
        <f>'SFigure16-17-Data-1'!B49 &gt; 0.02</f>
        <v>1</v>
      </c>
      <c r="D45" s="77" t="b">
        <f>'SFigure16-17-Data-1'!C49 &gt; 0.026</f>
        <v>1</v>
      </c>
      <c r="E45" s="77" t="b">
        <f>'SFigure16-17-Data-1'!D49 &gt; 0.022</f>
        <v>1</v>
      </c>
      <c r="F45" s="78" t="b">
        <f>'SFigure16-17-Data-1'!E49 &gt; 0.03</f>
        <v>0</v>
      </c>
      <c r="G45" s="77" t="b">
        <f>'SFigure16-17-Data-1'!F49 &gt; 0.022</f>
        <v>1</v>
      </c>
      <c r="H45" s="78" t="b">
        <f>'SFigure16-17-Data-1'!G49 &gt; 0.027</f>
        <v>0</v>
      </c>
    </row>
    <row r="46" spans="1:8" ht="15.75" customHeight="1">
      <c r="A46" s="1" t="s">
        <v>251</v>
      </c>
      <c r="B46" s="94" t="b">
        <f>'SFigure18-Data-1'!F47 &gt; 0.02</f>
        <v>1</v>
      </c>
      <c r="C46" s="77" t="b">
        <f>'SFigure16-17-Data-1'!B50 &gt; 0.02</f>
        <v>1</v>
      </c>
      <c r="D46" s="78" t="b">
        <f>'SFigure16-17-Data-1'!C50 &gt; 0.026</f>
        <v>0</v>
      </c>
      <c r="E46" s="78" t="b">
        <f>'SFigure16-17-Data-1'!D50 &gt; 0.022</f>
        <v>0</v>
      </c>
      <c r="F46" s="78" t="b">
        <f>'SFigure16-17-Data-1'!E50 &gt; 0.03</f>
        <v>0</v>
      </c>
      <c r="G46" s="78" t="b">
        <f>'SFigure16-17-Data-1'!F50 &gt; 0.022</f>
        <v>0</v>
      </c>
      <c r="H46" s="78" t="b">
        <f>'SFigure16-17-Data-1'!G50 &gt; 0.027</f>
        <v>0</v>
      </c>
    </row>
    <row r="47" spans="1:8" ht="15.75" customHeight="1">
      <c r="A47" s="1" t="s">
        <v>252</v>
      </c>
      <c r="B47" s="94" t="b">
        <f>'SFigure18-Data-1'!F48 &gt; 0.02</f>
        <v>1</v>
      </c>
      <c r="C47" s="77" t="b">
        <f>'SFigure16-17-Data-1'!B51 &gt; 0.02</f>
        <v>1</v>
      </c>
      <c r="D47" s="78" t="b">
        <f>'SFigure16-17-Data-1'!C51 &gt; 0.026</f>
        <v>0</v>
      </c>
      <c r="E47" s="77" t="b">
        <f>'SFigure16-17-Data-1'!D51 &gt; 0.022</f>
        <v>1</v>
      </c>
      <c r="F47" s="78" t="b">
        <f>'SFigure16-17-Data-1'!E51 &gt; 0.03</f>
        <v>0</v>
      </c>
      <c r="G47" s="77" t="b">
        <f>'SFigure16-17-Data-1'!F51 &gt; 0.022</f>
        <v>1</v>
      </c>
      <c r="H47" s="78" t="b">
        <f>'SFigure16-17-Data-1'!G51 &gt; 0.027</f>
        <v>0</v>
      </c>
    </row>
    <row r="48" spans="1:8" ht="15.75" customHeight="1">
      <c r="A48" s="1" t="s">
        <v>253</v>
      </c>
      <c r="B48" s="94" t="b">
        <f>'SFigure18-Data-1'!F49 &gt; 0.02</f>
        <v>1</v>
      </c>
      <c r="C48" s="77" t="b">
        <f>'SFigure16-17-Data-1'!B52 &gt; 0.02</f>
        <v>1</v>
      </c>
      <c r="D48" s="77" t="b">
        <f>'SFigure16-17-Data-1'!C52 &gt; 0.026</f>
        <v>1</v>
      </c>
      <c r="E48" s="77" t="b">
        <f>'SFigure16-17-Data-1'!D52 &gt; 0.022</f>
        <v>1</v>
      </c>
      <c r="F48" s="78" t="b">
        <f>'SFigure16-17-Data-1'!E52 &gt; 0.03</f>
        <v>0</v>
      </c>
      <c r="G48" s="77" t="b">
        <f>'SFigure16-17-Data-1'!F52 &gt; 0.022</f>
        <v>1</v>
      </c>
      <c r="H48" s="77" t="b">
        <f>'SFigure16-17-Data-1'!G52 &gt; 0.027</f>
        <v>1</v>
      </c>
    </row>
    <row r="49" spans="1:15" ht="15.75" customHeight="1">
      <c r="A49" s="1" t="s">
        <v>254</v>
      </c>
      <c r="B49" s="94" t="b">
        <f>'SFigure18-Data-1'!F50 &gt; 0.02</f>
        <v>1</v>
      </c>
      <c r="C49" s="77" t="b">
        <f>'SFigure16-17-Data-1'!B53 &gt; 0.02</f>
        <v>1</v>
      </c>
      <c r="D49" s="78" t="b">
        <f>'SFigure16-17-Data-1'!C53 &gt; 0.026</f>
        <v>0</v>
      </c>
      <c r="E49" s="77" t="b">
        <f>'SFigure16-17-Data-1'!D53 &gt; 0.022</f>
        <v>1</v>
      </c>
      <c r="F49" s="78" t="b">
        <f>'SFigure16-17-Data-1'!E53 &gt; 0.03</f>
        <v>0</v>
      </c>
      <c r="G49" s="77" t="b">
        <f>'SFigure16-17-Data-1'!F53 &gt; 0.022</f>
        <v>1</v>
      </c>
      <c r="H49" s="78" t="b">
        <f>'SFigure16-17-Data-1'!G53 &gt; 0.027</f>
        <v>0</v>
      </c>
    </row>
    <row r="50" spans="1:15" ht="15.75" customHeight="1">
      <c r="A50" s="1" t="s">
        <v>255</v>
      </c>
      <c r="B50" s="94" t="b">
        <f>'SFigure18-Data-1'!F51 &gt; 0.02</f>
        <v>1</v>
      </c>
      <c r="C50" s="77" t="b">
        <f>'SFigure16-17-Data-1'!B54 &gt; 0.02</f>
        <v>1</v>
      </c>
      <c r="D50" s="78" t="b">
        <f>'SFigure16-17-Data-1'!C54 &gt; 0.026</f>
        <v>0</v>
      </c>
      <c r="E50" s="77" t="b">
        <f>'SFigure16-17-Data-1'!D54 &gt; 0.022</f>
        <v>1</v>
      </c>
      <c r="F50" s="78" t="b">
        <f>'SFigure16-17-Data-1'!E54 &gt; 0.03</f>
        <v>0</v>
      </c>
      <c r="G50" s="78" t="b">
        <f>'SFigure16-17-Data-1'!F54 &gt; 0.022</f>
        <v>0</v>
      </c>
      <c r="H50" s="78" t="b">
        <f>'SFigure16-17-Data-1'!G54 &gt; 0.027</f>
        <v>0</v>
      </c>
    </row>
    <row r="51" spans="1:15" ht="15.75" customHeight="1">
      <c r="A51" s="1" t="s">
        <v>256</v>
      </c>
      <c r="B51" s="94" t="b">
        <f>'SFigure18-Data-1'!F52 &gt; 0.02</f>
        <v>1</v>
      </c>
      <c r="C51" s="77" t="b">
        <f>'SFigure16-17-Data-1'!B55 &gt; 0.02</f>
        <v>1</v>
      </c>
      <c r="D51" s="78" t="b">
        <f>'SFigure16-17-Data-1'!C55 &gt; 0.026</f>
        <v>0</v>
      </c>
      <c r="E51" s="77" t="b">
        <f>'SFigure16-17-Data-1'!D55 &gt; 0.022</f>
        <v>1</v>
      </c>
      <c r="F51" s="78" t="b">
        <f>'SFigure16-17-Data-1'!E55 &gt; 0.03</f>
        <v>0</v>
      </c>
      <c r="G51" s="77" t="b">
        <f>'SFigure16-17-Data-1'!F55 &gt; 0.022</f>
        <v>1</v>
      </c>
      <c r="H51" s="78" t="b">
        <f>'SFigure16-17-Data-1'!G55 &gt; 0.027</f>
        <v>0</v>
      </c>
    </row>
    <row r="52" spans="1:15" ht="15.75" customHeight="1">
      <c r="A52" s="1" t="s">
        <v>257</v>
      </c>
      <c r="B52" s="94" t="b">
        <f>'SFigure18-Data-1'!F53 &gt; 0.02</f>
        <v>1</v>
      </c>
      <c r="C52" s="77" t="b">
        <f>'SFigure16-17-Data-1'!B56 &gt; 0.02</f>
        <v>1</v>
      </c>
      <c r="D52" s="78" t="b">
        <f>'SFigure16-17-Data-1'!C56 &gt; 0.026</f>
        <v>0</v>
      </c>
      <c r="E52" s="77" t="b">
        <f>'SFigure16-17-Data-1'!D56 &gt; 0.022</f>
        <v>1</v>
      </c>
      <c r="F52" s="78" t="b">
        <f>'SFigure16-17-Data-1'!E56 &gt; 0.03</f>
        <v>0</v>
      </c>
      <c r="G52" s="77" t="b">
        <f>'SFigure16-17-Data-1'!F56 &gt; 0.022</f>
        <v>1</v>
      </c>
      <c r="H52" s="78" t="b">
        <f>'SFigure16-17-Data-1'!G56 &gt; 0.027</f>
        <v>0</v>
      </c>
    </row>
    <row r="53" spans="1:15" ht="15.75" customHeight="1">
      <c r="A53" s="1" t="s">
        <v>258</v>
      </c>
      <c r="B53" s="94" t="b">
        <f>'SFigure18-Data-1'!F54 &gt; 0.02</f>
        <v>1</v>
      </c>
      <c r="C53" s="77" t="b">
        <f>'SFigure16-17-Data-1'!B57 &gt; 0.02</f>
        <v>1</v>
      </c>
      <c r="D53" s="77" t="b">
        <f>'SFigure16-17-Data-1'!C57 &gt; 0.026</f>
        <v>1</v>
      </c>
      <c r="E53" s="77" t="b">
        <f>'SFigure16-17-Data-1'!D57 &gt; 0.022</f>
        <v>1</v>
      </c>
      <c r="F53" s="78" t="b">
        <f>'SFigure16-17-Data-1'!E57 &gt; 0.03</f>
        <v>0</v>
      </c>
      <c r="G53" s="77" t="b">
        <f>'SFigure16-17-Data-1'!F57 &gt; 0.022</f>
        <v>1</v>
      </c>
      <c r="H53" s="78" t="b">
        <f>'SFigure16-17-Data-1'!G57 &gt; 0.027</f>
        <v>0</v>
      </c>
    </row>
    <row r="54" spans="1:15" ht="15.75" customHeight="1">
      <c r="A54" s="1" t="s">
        <v>259</v>
      </c>
      <c r="B54" s="94" t="b">
        <f>'SFigure18-Data-1'!F55 &gt; 0.02</f>
        <v>1</v>
      </c>
      <c r="C54" s="77" t="b">
        <f>'SFigure16-17-Data-1'!B58 &gt; 0.02</f>
        <v>1</v>
      </c>
      <c r="D54" s="78" t="b">
        <f>'SFigure16-17-Data-1'!C58 &gt; 0.026</f>
        <v>0</v>
      </c>
      <c r="E54" s="77" t="b">
        <f>'SFigure16-17-Data-1'!D58 &gt; 0.022</f>
        <v>1</v>
      </c>
      <c r="F54" s="78" t="b">
        <f>'SFigure16-17-Data-1'!E58 &gt; 0.03</f>
        <v>0</v>
      </c>
      <c r="G54" s="77" t="b">
        <f>'SFigure16-17-Data-1'!F58 &gt; 0.022</f>
        <v>1</v>
      </c>
      <c r="H54" s="78" t="b">
        <f>'SFigure16-17-Data-1'!G58 &gt; 0.027</f>
        <v>0</v>
      </c>
    </row>
    <row r="55" spans="1:15" ht="15.75" customHeight="1">
      <c r="A55" s="1" t="s">
        <v>260</v>
      </c>
      <c r="B55" s="95" t="b">
        <f>'SFigure18-Data-1'!F56 &gt; 0.02</f>
        <v>0</v>
      </c>
      <c r="C55" s="78" t="b">
        <f>'SFigure16-17-Data-1'!B59 &gt; 0.02</f>
        <v>0</v>
      </c>
      <c r="D55" s="78" t="b">
        <f>'SFigure16-17-Data-1'!C59 &gt; 0.026</f>
        <v>0</v>
      </c>
      <c r="E55" s="78" t="b">
        <f>'SFigure16-17-Data-1'!D59 &gt; 0.022</f>
        <v>0</v>
      </c>
      <c r="F55" s="78" t="b">
        <f>'SFigure16-17-Data-1'!E59 &gt; 0.03</f>
        <v>0</v>
      </c>
      <c r="G55" s="78" t="b">
        <f>'SFigure16-17-Data-1'!F59 &gt; 0.022</f>
        <v>0</v>
      </c>
      <c r="H55" s="78" t="b">
        <f>'SFigure16-17-Data-1'!G59 &gt; 0.027</f>
        <v>0</v>
      </c>
    </row>
    <row r="56" spans="1:15" ht="15.75" customHeight="1">
      <c r="A56" s="1" t="s">
        <v>261</v>
      </c>
      <c r="B56" s="94" t="b">
        <f>'SFigure18-Data-1'!F57 &gt; 0.02</f>
        <v>1</v>
      </c>
      <c r="C56" s="77" t="b">
        <f>'SFigure16-17-Data-1'!B60 &gt; 0.02</f>
        <v>1</v>
      </c>
      <c r="D56" s="78" t="b">
        <f>'SFigure16-17-Data-1'!C60 &gt; 0.026</f>
        <v>0</v>
      </c>
      <c r="E56" s="77" t="b">
        <f>'SFigure16-17-Data-1'!D60 &gt; 0.022</f>
        <v>1</v>
      </c>
      <c r="F56" s="78" t="b">
        <f>'SFigure16-17-Data-1'!E60 &gt; 0.03</f>
        <v>0</v>
      </c>
      <c r="G56" s="78" t="b">
        <f>'SFigure16-17-Data-1'!F60 &gt; 0.022</f>
        <v>0</v>
      </c>
      <c r="H56" s="78" t="b">
        <f>'SFigure16-17-Data-1'!G60 &gt; 0.027</f>
        <v>0</v>
      </c>
    </row>
    <row r="57" spans="1:15" ht="15.75" customHeight="1">
      <c r="A57" s="1" t="s">
        <v>272</v>
      </c>
      <c r="B57" s="1">
        <f t="shared" ref="B57:H57" si="1">SUMPRODUCT(--(ABS(B32:B56) &gt; 0))</f>
        <v>24</v>
      </c>
      <c r="C57" s="1">
        <f t="shared" si="1"/>
        <v>24</v>
      </c>
      <c r="D57" s="1">
        <f t="shared" si="1"/>
        <v>11</v>
      </c>
      <c r="E57" s="1">
        <f t="shared" si="1"/>
        <v>22</v>
      </c>
      <c r="F57" s="1">
        <f t="shared" si="1"/>
        <v>4</v>
      </c>
      <c r="G57" s="1">
        <f t="shared" si="1"/>
        <v>20</v>
      </c>
      <c r="H57" s="1">
        <f t="shared" si="1"/>
        <v>6</v>
      </c>
    </row>
    <row r="60" spans="1:15" ht="15.75" customHeight="1">
      <c r="A60" s="96"/>
      <c r="B60" s="96"/>
      <c r="C60" s="96"/>
      <c r="D60" s="96"/>
      <c r="E60" s="96"/>
      <c r="F60" s="96"/>
      <c r="G60" s="96"/>
      <c r="H60" s="96"/>
    </row>
    <row r="61" spans="1:15" ht="15.75" customHeight="1">
      <c r="L61" s="1" t="s">
        <v>327</v>
      </c>
    </row>
    <row r="62" spans="1:15" ht="15.75" customHeight="1">
      <c r="A62" s="1" t="s">
        <v>313</v>
      </c>
      <c r="B62" s="71" t="s">
        <v>328</v>
      </c>
      <c r="C62" s="5"/>
      <c r="D62" s="5"/>
      <c r="E62" s="5"/>
      <c r="F62" s="5"/>
      <c r="G62" s="5"/>
    </row>
    <row r="63" spans="1:15" ht="15.75" customHeight="1">
      <c r="A63" s="1" t="s">
        <v>231</v>
      </c>
      <c r="B63" s="16" t="s">
        <v>316</v>
      </c>
      <c r="C63" s="1" t="s">
        <v>39</v>
      </c>
      <c r="D63" s="1" t="s">
        <v>38</v>
      </c>
      <c r="E63" s="1" t="s">
        <v>263</v>
      </c>
      <c r="F63" s="1" t="s">
        <v>264</v>
      </c>
      <c r="G63" s="1" t="s">
        <v>63</v>
      </c>
      <c r="H63" s="1" t="s">
        <v>265</v>
      </c>
      <c r="K63" s="1" t="s">
        <v>309</v>
      </c>
      <c r="L63" s="1" t="s">
        <v>315</v>
      </c>
      <c r="M63" s="1" t="s">
        <v>310</v>
      </c>
      <c r="N63" s="1">
        <v>0.05</v>
      </c>
      <c r="O63" s="1" t="s">
        <v>312</v>
      </c>
    </row>
    <row r="64" spans="1:15" ht="15.75" customHeight="1">
      <c r="A64" s="1" t="s">
        <v>237</v>
      </c>
      <c r="B64" s="95" t="b">
        <f>'SFigure18-Data-1'!F4 &gt; 0.05</f>
        <v>0</v>
      </c>
      <c r="C64" s="78" t="b">
        <f>'SFigure16-17-Data-1'!B4 &gt; 0.051</f>
        <v>0</v>
      </c>
      <c r="D64" s="78" t="b">
        <f>'SFigure16-17-Data-1'!C4 &gt; 0.066</f>
        <v>0</v>
      </c>
      <c r="E64" s="78" t="b">
        <f>'SFigure16-17-Data-1'!D4 &gt; 0.054</f>
        <v>0</v>
      </c>
      <c r="F64" s="78" t="b">
        <f>'SFigure16-17-Data-1'!E4 &gt; 0.076</f>
        <v>0</v>
      </c>
      <c r="G64" s="78" t="b">
        <f>'SFigure16-17-Data-1'!F4 &gt; 0.055</f>
        <v>0</v>
      </c>
      <c r="H64" s="78" t="b">
        <f>'SFigure16-17-Data-1'!G4 &gt; 0.069</f>
        <v>0</v>
      </c>
      <c r="K64" s="1" t="s">
        <v>309</v>
      </c>
      <c r="L64" s="1" t="s">
        <v>317</v>
      </c>
      <c r="M64" s="1" t="s">
        <v>310</v>
      </c>
      <c r="N64" s="14">
        <v>5.0520833333333334E-2</v>
      </c>
      <c r="O64" s="1" t="s">
        <v>312</v>
      </c>
    </row>
    <row r="65" spans="1:15" ht="15.75" customHeight="1">
      <c r="A65" s="1" t="s">
        <v>238</v>
      </c>
      <c r="B65" s="95" t="b">
        <f>'SFigure18-Data-1'!F5 &gt; 0.05</f>
        <v>0</v>
      </c>
      <c r="C65" s="78" t="b">
        <f>'SFigure16-17-Data-1'!B5 &gt; 0.051</f>
        <v>0</v>
      </c>
      <c r="D65" s="78" t="b">
        <f>'SFigure16-17-Data-1'!C5 &gt; 0.066</f>
        <v>0</v>
      </c>
      <c r="E65" s="78" t="b">
        <f>'SFigure16-17-Data-1'!D5 &gt; 0.054</f>
        <v>0</v>
      </c>
      <c r="F65" s="78" t="b">
        <f>'SFigure16-17-Data-1'!E5 &gt; 0.076</f>
        <v>0</v>
      </c>
      <c r="G65" s="78" t="b">
        <f>'SFigure16-17-Data-1'!F5 &gt; 0.055</f>
        <v>0</v>
      </c>
      <c r="H65" s="78" t="b">
        <f>'SFigure16-17-Data-1'!G5 &gt; 0.069</f>
        <v>0</v>
      </c>
      <c r="K65" s="1" t="s">
        <v>309</v>
      </c>
      <c r="L65" s="1" t="s">
        <v>318</v>
      </c>
      <c r="M65" s="1" t="s">
        <v>310</v>
      </c>
      <c r="N65" s="14">
        <v>6.5950000000000009E-2</v>
      </c>
      <c r="O65" s="1" t="s">
        <v>312</v>
      </c>
    </row>
    <row r="66" spans="1:15" ht="15.75" customHeight="1">
      <c r="A66" s="1" t="s">
        <v>239</v>
      </c>
      <c r="B66" s="95" t="b">
        <f>'SFigure18-Data-1'!F6 &gt; 0.05</f>
        <v>0</v>
      </c>
      <c r="C66" s="78" t="b">
        <f>'SFigure16-17-Data-1'!B6 &gt; 0.051</f>
        <v>0</v>
      </c>
      <c r="D66" s="78" t="b">
        <f>'SFigure16-17-Data-1'!C6 &gt; 0.066</f>
        <v>0</v>
      </c>
      <c r="E66" s="78" t="b">
        <f>'SFigure16-17-Data-1'!D6 &gt; 0.054</f>
        <v>0</v>
      </c>
      <c r="F66" s="78" t="b">
        <f>'SFigure16-17-Data-1'!E6 &gt; 0.076</f>
        <v>0</v>
      </c>
      <c r="G66" s="78" t="b">
        <f>'SFigure16-17-Data-1'!F6 &gt; 0.055</f>
        <v>0</v>
      </c>
      <c r="H66" s="78" t="b">
        <f>'SFigure16-17-Data-1'!G6 &gt; 0.069</f>
        <v>0</v>
      </c>
      <c r="K66" s="1" t="s">
        <v>309</v>
      </c>
      <c r="L66" s="1" t="s">
        <v>319</v>
      </c>
      <c r="M66" s="1" t="s">
        <v>310</v>
      </c>
      <c r="N66" s="14">
        <v>5.4325396825396832E-2</v>
      </c>
      <c r="O66" s="1" t="s">
        <v>312</v>
      </c>
    </row>
    <row r="67" spans="1:15" ht="15.75" customHeight="1">
      <c r="A67" s="1" t="s">
        <v>240</v>
      </c>
      <c r="B67" s="95" t="b">
        <f>'SFigure18-Data-1'!F7 &gt; 0.05</f>
        <v>0</v>
      </c>
      <c r="C67" s="78" t="b">
        <f>'SFigure16-17-Data-1'!B7 &gt; 0.051</f>
        <v>0</v>
      </c>
      <c r="D67" s="78" t="b">
        <f>'SFigure16-17-Data-1'!C7 &gt; 0.066</f>
        <v>0</v>
      </c>
      <c r="E67" s="78" t="b">
        <f>'SFigure16-17-Data-1'!D7 &gt; 0.054</f>
        <v>0</v>
      </c>
      <c r="F67" s="78" t="b">
        <f>'SFigure16-17-Data-1'!E7 &gt; 0.076</f>
        <v>0</v>
      </c>
      <c r="G67" s="78" t="b">
        <f>'SFigure16-17-Data-1'!F7 &gt; 0.055</f>
        <v>0</v>
      </c>
      <c r="H67" s="78" t="b">
        <f>'SFigure16-17-Data-1'!G7 &gt; 0.069</f>
        <v>0</v>
      </c>
      <c r="K67" s="1" t="s">
        <v>309</v>
      </c>
      <c r="L67" s="1" t="s">
        <v>320</v>
      </c>
      <c r="M67" s="1" t="s">
        <v>310</v>
      </c>
      <c r="N67" s="14">
        <v>7.5732323232323234E-2</v>
      </c>
      <c r="O67" s="1" t="s">
        <v>312</v>
      </c>
    </row>
    <row r="68" spans="1:15" ht="15.75" customHeight="1">
      <c r="A68" s="1" t="s">
        <v>241</v>
      </c>
      <c r="B68" s="95" t="b">
        <f>'SFigure18-Data-1'!F8 &gt; 0.05</f>
        <v>0</v>
      </c>
      <c r="C68" s="78" t="b">
        <f>'SFigure16-17-Data-1'!B8 &gt; 0.051</f>
        <v>0</v>
      </c>
      <c r="D68" s="78" t="b">
        <f>'SFigure16-17-Data-1'!C8 &gt; 0.066</f>
        <v>0</v>
      </c>
      <c r="E68" s="78" t="b">
        <f>'SFigure16-17-Data-1'!D8 &gt; 0.054</f>
        <v>0</v>
      </c>
      <c r="F68" s="78" t="b">
        <f>'SFigure16-17-Data-1'!E8 &gt; 0.076</f>
        <v>0</v>
      </c>
      <c r="G68" s="78" t="b">
        <f>'SFigure16-17-Data-1'!F8 &gt; 0.055</f>
        <v>0</v>
      </c>
      <c r="H68" s="78" t="b">
        <f>'SFigure16-17-Data-1'!G8 &gt; 0.069</f>
        <v>0</v>
      </c>
      <c r="K68" s="1" t="s">
        <v>309</v>
      </c>
      <c r="L68" s="1" t="s">
        <v>321</v>
      </c>
      <c r="M68" s="1" t="s">
        <v>310</v>
      </c>
      <c r="N68" s="14">
        <v>5.4876910016977934E-2</v>
      </c>
      <c r="O68" s="1" t="s">
        <v>312</v>
      </c>
    </row>
    <row r="69" spans="1:15" ht="15.75" customHeight="1">
      <c r="A69" s="1" t="s">
        <v>242</v>
      </c>
      <c r="B69" s="95" t="b">
        <f>'SFigure18-Data-1'!F9 &gt; 0.05</f>
        <v>0</v>
      </c>
      <c r="C69" s="78" t="b">
        <f>'SFigure16-17-Data-1'!B9 &gt; 0.051</f>
        <v>0</v>
      </c>
      <c r="D69" s="78" t="b">
        <f>'SFigure16-17-Data-1'!C9 &gt; 0.066</f>
        <v>0</v>
      </c>
      <c r="E69" s="78" t="b">
        <f>'SFigure16-17-Data-1'!D9 &gt; 0.054</f>
        <v>0</v>
      </c>
      <c r="F69" s="78" t="b">
        <f>'SFigure16-17-Data-1'!E9 &gt; 0.076</f>
        <v>0</v>
      </c>
      <c r="G69" s="78" t="b">
        <f>'SFigure16-17-Data-1'!F9 &gt; 0.055</f>
        <v>0</v>
      </c>
      <c r="H69" s="78" t="b">
        <f>'SFigure16-17-Data-1'!G9 &gt; 0.069</f>
        <v>0</v>
      </c>
      <c r="K69" s="1" t="s">
        <v>309</v>
      </c>
      <c r="L69" s="1" t="s">
        <v>322</v>
      </c>
      <c r="M69" s="1" t="s">
        <v>310</v>
      </c>
      <c r="N69" s="14">
        <v>6.8744019138755982E-2</v>
      </c>
      <c r="O69" s="1" t="s">
        <v>312</v>
      </c>
    </row>
    <row r="70" spans="1:15" ht="15.75" customHeight="1">
      <c r="A70" s="1" t="s">
        <v>243</v>
      </c>
      <c r="B70" s="95" t="b">
        <f>'SFigure18-Data-1'!F10 &gt; 0.05</f>
        <v>0</v>
      </c>
      <c r="C70" s="78" t="b">
        <f>'SFigure16-17-Data-1'!B10 &gt; 0.051</f>
        <v>0</v>
      </c>
      <c r="D70" s="78" t="b">
        <f>'SFigure16-17-Data-1'!C10 &gt; 0.066</f>
        <v>0</v>
      </c>
      <c r="E70" s="78" t="b">
        <f>'SFigure16-17-Data-1'!D10 &gt; 0.054</f>
        <v>0</v>
      </c>
      <c r="F70" s="78" t="b">
        <f>'SFigure16-17-Data-1'!E10 &gt; 0.076</f>
        <v>0</v>
      </c>
      <c r="G70" s="78" t="b">
        <f>'SFigure16-17-Data-1'!F10 &gt; 0.055</f>
        <v>0</v>
      </c>
      <c r="H70" s="78" t="b">
        <f>'SFigure16-17-Data-1'!G10 &gt; 0.069</f>
        <v>0</v>
      </c>
    </row>
    <row r="71" spans="1:15" ht="15.75" customHeight="1">
      <c r="A71" s="1" t="s">
        <v>244</v>
      </c>
      <c r="B71" s="95" t="b">
        <f>'SFigure18-Data-1'!F11 &gt; 0.05</f>
        <v>0</v>
      </c>
      <c r="C71" s="78" t="b">
        <f>'SFigure16-17-Data-1'!B11 &gt; 0.051</f>
        <v>0</v>
      </c>
      <c r="D71" s="78" t="b">
        <f>'SFigure16-17-Data-1'!C11 &gt; 0.066</f>
        <v>0</v>
      </c>
      <c r="E71" s="78" t="b">
        <f>'SFigure16-17-Data-1'!D11 &gt; 0.054</f>
        <v>0</v>
      </c>
      <c r="F71" s="78" t="b">
        <f>'SFigure16-17-Data-1'!E11 &gt; 0.076</f>
        <v>0</v>
      </c>
      <c r="G71" s="78" t="b">
        <f>'SFigure16-17-Data-1'!F11 &gt; 0.055</f>
        <v>0</v>
      </c>
      <c r="H71" s="78" t="b">
        <f>'SFigure16-17-Data-1'!G11 &gt; 0.069</f>
        <v>0</v>
      </c>
    </row>
    <row r="72" spans="1:15" ht="15.75" customHeight="1">
      <c r="A72" s="1" t="s">
        <v>245</v>
      </c>
      <c r="B72" s="95" t="b">
        <f>'SFigure18-Data-1'!F12 &gt; 0.05</f>
        <v>0</v>
      </c>
      <c r="C72" s="78" t="b">
        <f>'SFigure16-17-Data-1'!B12 &gt; 0.051</f>
        <v>0</v>
      </c>
      <c r="D72" s="78" t="b">
        <f>'SFigure16-17-Data-1'!C12 &gt; 0.066</f>
        <v>0</v>
      </c>
      <c r="E72" s="78" t="b">
        <f>'SFigure16-17-Data-1'!D12 &gt; 0.054</f>
        <v>0</v>
      </c>
      <c r="F72" s="78" t="b">
        <f>'SFigure16-17-Data-1'!E12 &gt; 0.076</f>
        <v>0</v>
      </c>
      <c r="G72" s="78" t="b">
        <f>'SFigure16-17-Data-1'!F12 &gt; 0.055</f>
        <v>0</v>
      </c>
      <c r="H72" s="78" t="b">
        <f>'SFigure16-17-Data-1'!G12 &gt; 0.069</f>
        <v>0</v>
      </c>
    </row>
    <row r="73" spans="1:15" ht="15.75" customHeight="1">
      <c r="A73" s="1" t="s">
        <v>246</v>
      </c>
      <c r="B73" s="95" t="b">
        <f>'SFigure18-Data-1'!F13 &gt; 0.05</f>
        <v>0</v>
      </c>
      <c r="C73" s="78" t="b">
        <f>'SFigure16-17-Data-1'!B13 &gt; 0.051</f>
        <v>0</v>
      </c>
      <c r="D73" s="78" t="b">
        <f>'SFigure16-17-Data-1'!C13 &gt; 0.066</f>
        <v>0</v>
      </c>
      <c r="E73" s="78" t="b">
        <f>'SFigure16-17-Data-1'!D13 &gt; 0.054</f>
        <v>0</v>
      </c>
      <c r="F73" s="78" t="b">
        <f>'SFigure16-17-Data-1'!E13 &gt; 0.076</f>
        <v>0</v>
      </c>
      <c r="G73" s="78" t="b">
        <f>'SFigure16-17-Data-1'!F13 &gt; 0.055</f>
        <v>0</v>
      </c>
      <c r="H73" s="78" t="b">
        <f>'SFigure16-17-Data-1'!G13 &gt; 0.069</f>
        <v>0</v>
      </c>
    </row>
    <row r="74" spans="1:15" ht="15.75" customHeight="1">
      <c r="A74" s="1" t="s">
        <v>247</v>
      </c>
      <c r="B74" s="95" t="b">
        <f>'SFigure18-Data-1'!F14 &gt; 0.05</f>
        <v>0</v>
      </c>
      <c r="C74" s="78" t="b">
        <f>'SFigure16-17-Data-1'!B14 &gt; 0.051</f>
        <v>0</v>
      </c>
      <c r="D74" s="78" t="b">
        <f>'SFigure16-17-Data-1'!C14 &gt; 0.066</f>
        <v>0</v>
      </c>
      <c r="E74" s="78" t="b">
        <f>'SFigure16-17-Data-1'!D14 &gt; 0.054</f>
        <v>0</v>
      </c>
      <c r="F74" s="78" t="b">
        <f>'SFigure16-17-Data-1'!E14 &gt; 0.076</f>
        <v>0</v>
      </c>
      <c r="G74" s="78" t="b">
        <f>'SFigure16-17-Data-1'!F14 &gt; 0.055</f>
        <v>0</v>
      </c>
      <c r="H74" s="78" t="b">
        <f>'SFigure16-17-Data-1'!G14 &gt; 0.069</f>
        <v>0</v>
      </c>
    </row>
    <row r="75" spans="1:15" ht="15.75" customHeight="1">
      <c r="A75" s="1" t="s">
        <v>248</v>
      </c>
      <c r="B75" s="95" t="b">
        <f>'SFigure18-Data-1'!F15 &gt; 0.05</f>
        <v>0</v>
      </c>
      <c r="C75" s="78" t="b">
        <f>'SFigure16-17-Data-1'!B15 &gt; 0.051</f>
        <v>0</v>
      </c>
      <c r="D75" s="78" t="b">
        <f>'SFigure16-17-Data-1'!C15 &gt; 0.066</f>
        <v>0</v>
      </c>
      <c r="E75" s="78" t="b">
        <f>'SFigure16-17-Data-1'!D15 &gt; 0.054</f>
        <v>0</v>
      </c>
      <c r="F75" s="78" t="b">
        <f>'SFigure16-17-Data-1'!E15 &gt; 0.076</f>
        <v>0</v>
      </c>
      <c r="G75" s="78" t="b">
        <f>'SFigure16-17-Data-1'!F15 &gt; 0.055</f>
        <v>0</v>
      </c>
      <c r="H75" s="78" t="b">
        <f>'SFigure16-17-Data-1'!G15 &gt; 0.069</f>
        <v>0</v>
      </c>
    </row>
    <row r="76" spans="1:15" ht="15.75" customHeight="1">
      <c r="A76" s="1" t="s">
        <v>249</v>
      </c>
      <c r="B76" s="95" t="b">
        <f>'SFigure18-Data-1'!F16 &gt; 0.05</f>
        <v>0</v>
      </c>
      <c r="C76" s="78" t="b">
        <f>'SFigure16-17-Data-1'!B16 &gt; 0.051</f>
        <v>0</v>
      </c>
      <c r="D76" s="78" t="b">
        <f>'SFigure16-17-Data-1'!C16 &gt; 0.066</f>
        <v>0</v>
      </c>
      <c r="E76" s="78" t="b">
        <f>'SFigure16-17-Data-1'!D16 &gt; 0.054</f>
        <v>0</v>
      </c>
      <c r="F76" s="78" t="b">
        <f>'SFigure16-17-Data-1'!E16 &gt; 0.076</f>
        <v>0</v>
      </c>
      <c r="G76" s="78" t="b">
        <f>'SFigure16-17-Data-1'!F16 &gt; 0.055</f>
        <v>0</v>
      </c>
      <c r="H76" s="78" t="b">
        <f>'SFigure16-17-Data-1'!G16 &gt; 0.069</f>
        <v>0</v>
      </c>
    </row>
    <row r="77" spans="1:15" ht="15.75" customHeight="1">
      <c r="A77" s="1" t="s">
        <v>250</v>
      </c>
      <c r="B77" s="95" t="b">
        <f>'SFigure18-Data-1'!F17 &gt; 0.05</f>
        <v>0</v>
      </c>
      <c r="C77" s="78" t="b">
        <f>'SFigure16-17-Data-1'!B17 &gt; 0.051</f>
        <v>0</v>
      </c>
      <c r="D77" s="78" t="b">
        <f>'SFigure16-17-Data-1'!C17 &gt; 0.066</f>
        <v>0</v>
      </c>
      <c r="E77" s="78" t="b">
        <f>'SFigure16-17-Data-1'!D17 &gt; 0.054</f>
        <v>0</v>
      </c>
      <c r="F77" s="78" t="b">
        <f>'SFigure16-17-Data-1'!E17 &gt; 0.076</f>
        <v>0</v>
      </c>
      <c r="G77" s="78" t="b">
        <f>'SFigure16-17-Data-1'!F17 &gt; 0.055</f>
        <v>0</v>
      </c>
      <c r="H77" s="78" t="b">
        <f>'SFigure16-17-Data-1'!G17 &gt; 0.069</f>
        <v>0</v>
      </c>
    </row>
    <row r="78" spans="1:15" ht="15.75" customHeight="1">
      <c r="A78" s="1" t="s">
        <v>251</v>
      </c>
      <c r="B78" s="95" t="b">
        <f>'SFigure18-Data-1'!F18 &gt; 0.05</f>
        <v>0</v>
      </c>
      <c r="C78" s="78" t="b">
        <f>'SFigure16-17-Data-1'!B18 &gt; 0.051</f>
        <v>0</v>
      </c>
      <c r="D78" s="78" t="b">
        <f>'SFigure16-17-Data-1'!C18 &gt; 0.066</f>
        <v>0</v>
      </c>
      <c r="E78" s="78" t="b">
        <f>'SFigure16-17-Data-1'!D18 &gt; 0.054</f>
        <v>0</v>
      </c>
      <c r="F78" s="78" t="b">
        <f>'SFigure16-17-Data-1'!E18 &gt; 0.076</f>
        <v>0</v>
      </c>
      <c r="G78" s="78" t="b">
        <f>'SFigure16-17-Data-1'!F18 &gt; 0.055</f>
        <v>0</v>
      </c>
      <c r="H78" s="78" t="b">
        <f>'SFigure16-17-Data-1'!G18 &gt; 0.069</f>
        <v>0</v>
      </c>
    </row>
    <row r="79" spans="1:15" ht="15.75" customHeight="1">
      <c r="A79" s="1" t="s">
        <v>252</v>
      </c>
      <c r="B79" s="95" t="b">
        <f>'SFigure18-Data-1'!F19 &gt; 0.05</f>
        <v>0</v>
      </c>
      <c r="C79" s="78" t="b">
        <f>'SFigure16-17-Data-1'!B19 &gt; 0.051</f>
        <v>0</v>
      </c>
      <c r="D79" s="78" t="b">
        <f>'SFigure16-17-Data-1'!C19 &gt; 0.066</f>
        <v>0</v>
      </c>
      <c r="E79" s="78" t="b">
        <f>'SFigure16-17-Data-1'!D19 &gt; 0.054</f>
        <v>0</v>
      </c>
      <c r="F79" s="78" t="b">
        <f>'SFigure16-17-Data-1'!E19 &gt; 0.076</f>
        <v>0</v>
      </c>
      <c r="G79" s="78" t="b">
        <f>'SFigure16-17-Data-1'!F19 &gt; 0.055</f>
        <v>0</v>
      </c>
      <c r="H79" s="78" t="b">
        <f>'SFigure16-17-Data-1'!G19 &gt; 0.069</f>
        <v>0</v>
      </c>
    </row>
    <row r="80" spans="1:15" ht="15.75" customHeight="1">
      <c r="A80" s="1" t="s">
        <v>253</v>
      </c>
      <c r="B80" s="95" t="b">
        <f>'SFigure18-Data-1'!F20 &gt; 0.05</f>
        <v>0</v>
      </c>
      <c r="C80" s="78" t="b">
        <f>'SFigure16-17-Data-1'!B20 &gt; 0.051</f>
        <v>0</v>
      </c>
      <c r="D80" s="78" t="b">
        <f>'SFigure16-17-Data-1'!C20 &gt; 0.066</f>
        <v>0</v>
      </c>
      <c r="E80" s="78" t="b">
        <f>'SFigure16-17-Data-1'!D20 &gt; 0.054</f>
        <v>0</v>
      </c>
      <c r="F80" s="78" t="b">
        <f>'SFigure16-17-Data-1'!E20 &gt; 0.076</f>
        <v>0</v>
      </c>
      <c r="G80" s="78" t="b">
        <f>'SFigure16-17-Data-1'!F20 &gt; 0.055</f>
        <v>0</v>
      </c>
      <c r="H80" s="78" t="b">
        <f>'SFigure16-17-Data-1'!G20 &gt; 0.069</f>
        <v>0</v>
      </c>
    </row>
    <row r="81" spans="1:8" ht="15.75" customHeight="1">
      <c r="A81" s="1" t="s">
        <v>254</v>
      </c>
      <c r="B81" s="95" t="b">
        <f>'SFigure18-Data-1'!F21 &gt; 0.05</f>
        <v>0</v>
      </c>
      <c r="C81" s="78" t="b">
        <f>'SFigure16-17-Data-1'!B21 &gt; 0.051</f>
        <v>0</v>
      </c>
      <c r="D81" s="78" t="b">
        <f>'SFigure16-17-Data-1'!C21 &gt; 0.066</f>
        <v>0</v>
      </c>
      <c r="E81" s="78" t="b">
        <f>'SFigure16-17-Data-1'!D21 &gt; 0.054</f>
        <v>0</v>
      </c>
      <c r="F81" s="78" t="b">
        <f>'SFigure16-17-Data-1'!E21 &gt; 0.076</f>
        <v>0</v>
      </c>
      <c r="G81" s="78" t="b">
        <f>'SFigure16-17-Data-1'!F21 &gt; 0.055</f>
        <v>0</v>
      </c>
      <c r="H81" s="78" t="b">
        <f>'SFigure16-17-Data-1'!G21 &gt; 0.069</f>
        <v>0</v>
      </c>
    </row>
    <row r="82" spans="1:8" ht="15.75" customHeight="1">
      <c r="A82" s="1" t="s">
        <v>255</v>
      </c>
      <c r="B82" s="95" t="b">
        <f>'SFigure18-Data-1'!F22 &gt; 0.05</f>
        <v>0</v>
      </c>
      <c r="C82" s="78" t="b">
        <f>'SFigure16-17-Data-1'!B22 &gt; 0.051</f>
        <v>0</v>
      </c>
      <c r="D82" s="78" t="b">
        <f>'SFigure16-17-Data-1'!C22 &gt; 0.066</f>
        <v>0</v>
      </c>
      <c r="E82" s="78" t="b">
        <f>'SFigure16-17-Data-1'!D22 &gt; 0.054</f>
        <v>0</v>
      </c>
      <c r="F82" s="78" t="b">
        <f>'SFigure16-17-Data-1'!E22 &gt; 0.076</f>
        <v>0</v>
      </c>
      <c r="G82" s="78" t="b">
        <f>'SFigure16-17-Data-1'!F22 &gt; 0.055</f>
        <v>0</v>
      </c>
      <c r="H82" s="78" t="b">
        <f>'SFigure16-17-Data-1'!G22 &gt; 0.069</f>
        <v>0</v>
      </c>
    </row>
    <row r="83" spans="1:8" ht="15.75" customHeight="1">
      <c r="A83" s="1" t="s">
        <v>256</v>
      </c>
      <c r="B83" s="95" t="b">
        <f>'SFigure18-Data-1'!F23 &gt; 0.05</f>
        <v>0</v>
      </c>
      <c r="C83" s="78" t="b">
        <f>'SFigure16-17-Data-1'!B23 &gt; 0.051</f>
        <v>0</v>
      </c>
      <c r="D83" s="78" t="b">
        <f>'SFigure16-17-Data-1'!C23 &gt; 0.066</f>
        <v>0</v>
      </c>
      <c r="E83" s="78" t="b">
        <f>'SFigure16-17-Data-1'!D23 &gt; 0.054</f>
        <v>0</v>
      </c>
      <c r="F83" s="78" t="b">
        <f>'SFigure16-17-Data-1'!E23 &gt; 0.076</f>
        <v>0</v>
      </c>
      <c r="G83" s="78" t="b">
        <f>'SFigure16-17-Data-1'!F23 &gt; 0.055</f>
        <v>0</v>
      </c>
      <c r="H83" s="78" t="b">
        <f>'SFigure16-17-Data-1'!G23 &gt; 0.069</f>
        <v>0</v>
      </c>
    </row>
    <row r="84" spans="1:8" ht="15.75" customHeight="1">
      <c r="A84" s="1" t="s">
        <v>257</v>
      </c>
      <c r="B84" s="95" t="b">
        <f>'SFigure18-Data-1'!F24 &gt; 0.05</f>
        <v>0</v>
      </c>
      <c r="C84" s="78" t="b">
        <f>'SFigure16-17-Data-1'!B24 &gt; 0.051</f>
        <v>0</v>
      </c>
      <c r="D84" s="78" t="b">
        <f>'SFigure16-17-Data-1'!C24 &gt; 0.066</f>
        <v>0</v>
      </c>
      <c r="E84" s="78" t="b">
        <f>'SFigure16-17-Data-1'!D24 &gt; 0.054</f>
        <v>0</v>
      </c>
      <c r="F84" s="78" t="b">
        <f>'SFigure16-17-Data-1'!E24 &gt; 0.076</f>
        <v>0</v>
      </c>
      <c r="G84" s="78" t="b">
        <f>'SFigure16-17-Data-1'!F24 &gt; 0.055</f>
        <v>0</v>
      </c>
      <c r="H84" s="78" t="b">
        <f>'SFigure16-17-Data-1'!G24 &gt; 0.069</f>
        <v>0</v>
      </c>
    </row>
    <row r="85" spans="1:8" ht="15.75" customHeight="1">
      <c r="A85" s="1" t="s">
        <v>258</v>
      </c>
      <c r="B85" s="95" t="b">
        <f>'SFigure18-Data-1'!F25 &gt; 0.05</f>
        <v>0</v>
      </c>
      <c r="C85" s="78" t="b">
        <f>'SFigure16-17-Data-1'!B25 &gt; 0.051</f>
        <v>0</v>
      </c>
      <c r="D85" s="78" t="b">
        <f>'SFigure16-17-Data-1'!C25 &gt; 0.066</f>
        <v>0</v>
      </c>
      <c r="E85" s="78" t="b">
        <f>'SFigure16-17-Data-1'!D25 &gt; 0.054</f>
        <v>0</v>
      </c>
      <c r="F85" s="78" t="b">
        <f>'SFigure16-17-Data-1'!E25 &gt; 0.076</f>
        <v>0</v>
      </c>
      <c r="G85" s="78" t="b">
        <f>'SFigure16-17-Data-1'!F25 &gt; 0.055</f>
        <v>0</v>
      </c>
      <c r="H85" s="78" t="b">
        <f>'SFigure16-17-Data-1'!G25 &gt; 0.069</f>
        <v>0</v>
      </c>
    </row>
    <row r="86" spans="1:8" ht="15.75" customHeight="1">
      <c r="A86" s="1" t="s">
        <v>259</v>
      </c>
      <c r="B86" s="95" t="b">
        <f>'SFigure18-Data-1'!F26 &gt; 0.05</f>
        <v>0</v>
      </c>
      <c r="C86" s="78" t="b">
        <f>'SFigure16-17-Data-1'!B26 &gt; 0.051</f>
        <v>0</v>
      </c>
      <c r="D86" s="78" t="b">
        <f>'SFigure16-17-Data-1'!C26 &gt; 0.066</f>
        <v>0</v>
      </c>
      <c r="E86" s="78" t="b">
        <f>'SFigure16-17-Data-1'!D26 &gt; 0.054</f>
        <v>0</v>
      </c>
      <c r="F86" s="78" t="b">
        <f>'SFigure16-17-Data-1'!E26 &gt; 0.076</f>
        <v>0</v>
      </c>
      <c r="G86" s="78" t="b">
        <f>'SFigure16-17-Data-1'!F26 &gt; 0.055</f>
        <v>0</v>
      </c>
      <c r="H86" s="78" t="b">
        <f>'SFigure16-17-Data-1'!G26 &gt; 0.069</f>
        <v>0</v>
      </c>
    </row>
    <row r="87" spans="1:8" ht="15.75" customHeight="1">
      <c r="A87" s="1" t="s">
        <v>260</v>
      </c>
      <c r="B87" s="95" t="b">
        <f>'SFigure18-Data-1'!F27 &gt; 0.05</f>
        <v>0</v>
      </c>
      <c r="C87" s="78" t="b">
        <f>'SFigure16-17-Data-1'!B27 &gt; 0.051</f>
        <v>0</v>
      </c>
      <c r="D87" s="78" t="b">
        <f>'SFigure16-17-Data-1'!C27 &gt; 0.066</f>
        <v>0</v>
      </c>
      <c r="E87" s="78" t="b">
        <f>'SFigure16-17-Data-1'!D27 &gt; 0.054</f>
        <v>0</v>
      </c>
      <c r="F87" s="78" t="b">
        <f>'SFigure16-17-Data-1'!E27 &gt; 0.076</f>
        <v>0</v>
      </c>
      <c r="G87" s="78" t="b">
        <f>'SFigure16-17-Data-1'!F27 &gt; 0.055</f>
        <v>0</v>
      </c>
      <c r="H87" s="78" t="b">
        <f>'SFigure16-17-Data-1'!G27 &gt; 0.069</f>
        <v>0</v>
      </c>
    </row>
    <row r="88" spans="1:8" ht="15.75" customHeight="1">
      <c r="A88" s="1" t="s">
        <v>261</v>
      </c>
      <c r="B88" s="95" t="b">
        <f>'SFigure18-Data-1'!F28 &gt; 0.05</f>
        <v>0</v>
      </c>
      <c r="C88" s="78" t="b">
        <f>'SFigure16-17-Data-1'!B28 &gt; 0.051</f>
        <v>0</v>
      </c>
      <c r="D88" s="78" t="b">
        <f>'SFigure16-17-Data-1'!C28 &gt; 0.066</f>
        <v>0</v>
      </c>
      <c r="E88" s="78" t="b">
        <f>'SFigure16-17-Data-1'!D28 &gt; 0.054</f>
        <v>0</v>
      </c>
      <c r="F88" s="78" t="b">
        <f>'SFigure16-17-Data-1'!E28 &gt; 0.076</f>
        <v>0</v>
      </c>
      <c r="G88" s="78" t="b">
        <f>'SFigure16-17-Data-1'!F28 &gt; 0.055</f>
        <v>0</v>
      </c>
      <c r="H88" s="78" t="b">
        <f>'SFigure16-17-Data-1'!G28 &gt; 0.069</f>
        <v>0</v>
      </c>
    </row>
    <row r="89" spans="1:8" ht="15.75" customHeight="1">
      <c r="A89" s="1" t="s">
        <v>272</v>
      </c>
      <c r="B89" s="1">
        <f t="shared" ref="B89:H89" si="2">SUMPRODUCT(--(ABS(B64:B88) &gt; 0))</f>
        <v>0</v>
      </c>
      <c r="C89" s="1">
        <f t="shared" si="2"/>
        <v>0</v>
      </c>
      <c r="D89" s="1">
        <f t="shared" si="2"/>
        <v>0</v>
      </c>
      <c r="E89" s="1">
        <f t="shared" si="2"/>
        <v>0</v>
      </c>
      <c r="F89" s="1">
        <f t="shared" si="2"/>
        <v>0</v>
      </c>
      <c r="G89" s="1">
        <f t="shared" si="2"/>
        <v>0</v>
      </c>
      <c r="H89" s="1">
        <f t="shared" si="2"/>
        <v>0</v>
      </c>
    </row>
    <row r="91" spans="1:8" ht="15.75" customHeight="1">
      <c r="A91" s="1" t="s">
        <v>313</v>
      </c>
      <c r="B91" s="71" t="s">
        <v>329</v>
      </c>
      <c r="C91" s="5"/>
      <c r="D91" s="5"/>
      <c r="E91" s="5"/>
      <c r="F91" s="5"/>
      <c r="G91" s="5"/>
    </row>
    <row r="92" spans="1:8" ht="15.75" customHeight="1">
      <c r="A92" s="1" t="s">
        <v>231</v>
      </c>
      <c r="B92" s="16" t="s">
        <v>316</v>
      </c>
      <c r="C92" s="1" t="s">
        <v>39</v>
      </c>
      <c r="D92" s="1" t="s">
        <v>38</v>
      </c>
      <c r="E92" s="1" t="s">
        <v>263</v>
      </c>
      <c r="F92" s="1" t="s">
        <v>264</v>
      </c>
      <c r="G92" s="1" t="s">
        <v>63</v>
      </c>
      <c r="H92" s="1" t="s">
        <v>265</v>
      </c>
    </row>
    <row r="93" spans="1:8" ht="15.75" customHeight="1">
      <c r="A93" s="1" t="s">
        <v>237</v>
      </c>
      <c r="B93" s="95" t="b">
        <f>'SFigure18-Data-1'!F33 &gt; 0.05</f>
        <v>0</v>
      </c>
      <c r="C93" s="78" t="b">
        <f>'SFigure16-17-Data-1'!B36 &gt; 0.051</f>
        <v>0</v>
      </c>
      <c r="D93" s="78" t="b">
        <f>'SFigure16-17-Data-1'!C36 &gt; 0.066</f>
        <v>0</v>
      </c>
      <c r="E93" s="78" t="b">
        <f>'SFigure16-17-Data-1'!D36 &gt; 0.054</f>
        <v>0</v>
      </c>
      <c r="F93" s="78" t="b">
        <f>'SFigure16-17-Data-1'!E36 &gt; 0.076</f>
        <v>0</v>
      </c>
      <c r="G93" s="78" t="b">
        <f>'SFigure16-17-Data-1'!F36 &gt; 0.055</f>
        <v>0</v>
      </c>
      <c r="H93" s="78" t="b">
        <f>'SFigure16-17-Data-1'!G36 &gt; 0.069</f>
        <v>0</v>
      </c>
    </row>
    <row r="94" spans="1:8" ht="15.75" customHeight="1">
      <c r="A94" s="1" t="s">
        <v>238</v>
      </c>
      <c r="B94" s="95" t="b">
        <f>'SFigure18-Data-1'!F34 &gt; 0.05</f>
        <v>0</v>
      </c>
      <c r="C94" s="78" t="b">
        <f>'SFigure16-17-Data-1'!B37 &gt; 0.051</f>
        <v>0</v>
      </c>
      <c r="D94" s="78" t="b">
        <f>'SFigure16-17-Data-1'!C37 &gt; 0.066</f>
        <v>0</v>
      </c>
      <c r="E94" s="78" t="b">
        <f>'SFigure16-17-Data-1'!D37 &gt; 0.054</f>
        <v>0</v>
      </c>
      <c r="F94" s="78" t="b">
        <f>'SFigure16-17-Data-1'!E37 &gt; 0.076</f>
        <v>0</v>
      </c>
      <c r="G94" s="78" t="b">
        <f>'SFigure16-17-Data-1'!F37 &gt; 0.055</f>
        <v>0</v>
      </c>
      <c r="H94" s="78" t="b">
        <f>'SFigure16-17-Data-1'!G37 &gt; 0.069</f>
        <v>0</v>
      </c>
    </row>
    <row r="95" spans="1:8" ht="15.75" customHeight="1">
      <c r="A95" s="1" t="s">
        <v>239</v>
      </c>
      <c r="B95" s="95" t="b">
        <f>'SFigure18-Data-1'!F35 &gt; 0.05</f>
        <v>0</v>
      </c>
      <c r="C95" s="78" t="b">
        <f>'SFigure16-17-Data-1'!B38 &gt; 0.051</f>
        <v>0</v>
      </c>
      <c r="D95" s="78" t="b">
        <f>'SFigure16-17-Data-1'!C38 &gt; 0.066</f>
        <v>0</v>
      </c>
      <c r="E95" s="78" t="b">
        <f>'SFigure16-17-Data-1'!D38 &gt; 0.054</f>
        <v>0</v>
      </c>
      <c r="F95" s="78" t="b">
        <f>'SFigure16-17-Data-1'!E38 &gt; 0.076</f>
        <v>0</v>
      </c>
      <c r="G95" s="78" t="b">
        <f>'SFigure16-17-Data-1'!F38 &gt; 0.055</f>
        <v>0</v>
      </c>
      <c r="H95" s="78" t="b">
        <f>'SFigure16-17-Data-1'!G38 &gt; 0.069</f>
        <v>0</v>
      </c>
    </row>
    <row r="96" spans="1:8" ht="15.75" customHeight="1">
      <c r="A96" s="1" t="s">
        <v>240</v>
      </c>
      <c r="B96" s="95" t="b">
        <f>'SFigure18-Data-1'!F36 &gt; 0.05</f>
        <v>0</v>
      </c>
      <c r="C96" s="78" t="b">
        <f>'SFigure16-17-Data-1'!B39 &gt; 0.051</f>
        <v>0</v>
      </c>
      <c r="D96" s="78" t="b">
        <f>'SFigure16-17-Data-1'!C39 &gt; 0.066</f>
        <v>0</v>
      </c>
      <c r="E96" s="78" t="b">
        <f>'SFigure16-17-Data-1'!D39 &gt; 0.054</f>
        <v>0</v>
      </c>
      <c r="F96" s="78" t="b">
        <f>'SFigure16-17-Data-1'!E39 &gt; 0.076</f>
        <v>0</v>
      </c>
      <c r="G96" s="78" t="b">
        <f>'SFigure16-17-Data-1'!F39 &gt; 0.055</f>
        <v>0</v>
      </c>
      <c r="H96" s="78" t="b">
        <f>'SFigure16-17-Data-1'!G39 &gt; 0.069</f>
        <v>0</v>
      </c>
    </row>
    <row r="97" spans="1:8" ht="15.75" customHeight="1">
      <c r="A97" s="1" t="s">
        <v>241</v>
      </c>
      <c r="B97" s="95" t="b">
        <f>'SFigure18-Data-1'!F37 &gt; 0.05</f>
        <v>0</v>
      </c>
      <c r="C97" s="77" t="b">
        <f>'SFigure16-17-Data-1'!B40 &gt; 0.051</f>
        <v>1</v>
      </c>
      <c r="D97" s="78" t="b">
        <f>'SFigure16-17-Data-1'!C40 &gt; 0.066</f>
        <v>0</v>
      </c>
      <c r="E97" s="78" t="b">
        <f>'SFigure16-17-Data-1'!D40 &gt; 0.054</f>
        <v>0</v>
      </c>
      <c r="F97" s="78" t="b">
        <f>'SFigure16-17-Data-1'!E40 &gt; 0.076</f>
        <v>0</v>
      </c>
      <c r="G97" s="78" t="b">
        <f>'SFigure16-17-Data-1'!F40 &gt; 0.055</f>
        <v>0</v>
      </c>
      <c r="H97" s="78" t="b">
        <f>'SFigure16-17-Data-1'!G40 &gt; 0.069</f>
        <v>0</v>
      </c>
    </row>
    <row r="98" spans="1:8" ht="15.75" customHeight="1">
      <c r="A98" s="1" t="s">
        <v>242</v>
      </c>
      <c r="B98" s="95" t="b">
        <f>'SFigure18-Data-1'!F38 &gt; 0.05</f>
        <v>0</v>
      </c>
      <c r="C98" s="78" t="b">
        <f>'SFigure16-17-Data-1'!B41 &gt; 0.051</f>
        <v>0</v>
      </c>
      <c r="D98" s="78" t="b">
        <f>'SFigure16-17-Data-1'!C41 &gt; 0.066</f>
        <v>0</v>
      </c>
      <c r="E98" s="78" t="b">
        <f>'SFigure16-17-Data-1'!D41 &gt; 0.054</f>
        <v>0</v>
      </c>
      <c r="F98" s="78" t="b">
        <f>'SFigure16-17-Data-1'!E41 &gt; 0.076</f>
        <v>0</v>
      </c>
      <c r="G98" s="78" t="b">
        <f>'SFigure16-17-Data-1'!F41 &gt; 0.055</f>
        <v>0</v>
      </c>
      <c r="H98" s="78" t="b">
        <f>'SFigure16-17-Data-1'!G41 &gt; 0.069</f>
        <v>0</v>
      </c>
    </row>
    <row r="99" spans="1:8" ht="15.75" customHeight="1">
      <c r="A99" s="1" t="s">
        <v>243</v>
      </c>
      <c r="B99" s="95" t="b">
        <f>'SFigure18-Data-1'!F39 &gt; 0.05</f>
        <v>0</v>
      </c>
      <c r="C99" s="78" t="b">
        <f>'SFigure16-17-Data-1'!B42 &gt; 0.051</f>
        <v>0</v>
      </c>
      <c r="D99" s="78" t="b">
        <f>'SFigure16-17-Data-1'!C42 &gt; 0.066</f>
        <v>0</v>
      </c>
      <c r="E99" s="78" t="b">
        <f>'SFigure16-17-Data-1'!D42 &gt; 0.054</f>
        <v>0</v>
      </c>
      <c r="F99" s="78" t="b">
        <f>'SFigure16-17-Data-1'!E42 &gt; 0.076</f>
        <v>0</v>
      </c>
      <c r="G99" s="78" t="b">
        <f>'SFigure16-17-Data-1'!F42 &gt; 0.055</f>
        <v>0</v>
      </c>
      <c r="H99" s="78" t="b">
        <f>'SFigure16-17-Data-1'!G42 &gt; 0.069</f>
        <v>0</v>
      </c>
    </row>
    <row r="100" spans="1:8" ht="15.75" customHeight="1">
      <c r="A100" s="1" t="s">
        <v>244</v>
      </c>
      <c r="B100" s="95" t="b">
        <f>'SFigure18-Data-1'!F40 &gt; 0.05</f>
        <v>0</v>
      </c>
      <c r="C100" s="78" t="b">
        <f>'SFigure16-17-Data-1'!B43 &gt; 0.051</f>
        <v>0</v>
      </c>
      <c r="D100" s="78" t="b">
        <f>'SFigure16-17-Data-1'!C43 &gt; 0.066</f>
        <v>0</v>
      </c>
      <c r="E100" s="78" t="b">
        <f>'SFigure16-17-Data-1'!D43 &gt; 0.054</f>
        <v>0</v>
      </c>
      <c r="F100" s="78" t="b">
        <f>'SFigure16-17-Data-1'!E43 &gt; 0.076</f>
        <v>0</v>
      </c>
      <c r="G100" s="78" t="b">
        <f>'SFigure16-17-Data-1'!F43 &gt; 0.055</f>
        <v>0</v>
      </c>
      <c r="H100" s="78" t="b">
        <f>'SFigure16-17-Data-1'!G43 &gt; 0.069</f>
        <v>0</v>
      </c>
    </row>
    <row r="101" spans="1:8" ht="15.75" customHeight="1">
      <c r="A101" s="1" t="s">
        <v>245</v>
      </c>
      <c r="B101" s="95" t="b">
        <f>'SFigure18-Data-1'!F41 &gt; 0.05</f>
        <v>0</v>
      </c>
      <c r="C101" s="78" t="b">
        <f>'SFigure16-17-Data-1'!B44 &gt; 0.051</f>
        <v>0</v>
      </c>
      <c r="D101" s="78" t="b">
        <f>'SFigure16-17-Data-1'!C44 &gt; 0.066</f>
        <v>0</v>
      </c>
      <c r="E101" s="78" t="b">
        <f>'SFigure16-17-Data-1'!D44 &gt; 0.054</f>
        <v>0</v>
      </c>
      <c r="F101" s="78" t="b">
        <f>'SFigure16-17-Data-1'!E44 &gt; 0.076</f>
        <v>0</v>
      </c>
      <c r="G101" s="78" t="b">
        <f>'SFigure16-17-Data-1'!F44 &gt; 0.055</f>
        <v>0</v>
      </c>
      <c r="H101" s="78" t="b">
        <f>'SFigure16-17-Data-1'!G44 &gt; 0.069</f>
        <v>0</v>
      </c>
    </row>
    <row r="102" spans="1:8" ht="15.75" customHeight="1">
      <c r="A102" s="1" t="s">
        <v>246</v>
      </c>
      <c r="B102" s="95" t="b">
        <f>'SFigure18-Data-1'!F42 &gt; 0.05</f>
        <v>0</v>
      </c>
      <c r="C102" s="78" t="b">
        <f>'SFigure16-17-Data-1'!B45 &gt; 0.051</f>
        <v>0</v>
      </c>
      <c r="D102" s="78" t="b">
        <f>'SFigure16-17-Data-1'!C45 &gt; 0.066</f>
        <v>0</v>
      </c>
      <c r="E102" s="78" t="b">
        <f>'SFigure16-17-Data-1'!D45 &gt; 0.054</f>
        <v>0</v>
      </c>
      <c r="F102" s="78" t="b">
        <f>'SFigure16-17-Data-1'!E45 &gt; 0.076</f>
        <v>0</v>
      </c>
      <c r="G102" s="78" t="b">
        <f>'SFigure16-17-Data-1'!F45 &gt; 0.055</f>
        <v>0</v>
      </c>
      <c r="H102" s="78" t="b">
        <f>'SFigure16-17-Data-1'!G45 &gt; 0.069</f>
        <v>0</v>
      </c>
    </row>
    <row r="103" spans="1:8" ht="15.75" customHeight="1">
      <c r="A103" s="1" t="s">
        <v>247</v>
      </c>
      <c r="B103" s="95" t="b">
        <f>'SFigure18-Data-1'!F43 &gt; 0.05</f>
        <v>0</v>
      </c>
      <c r="C103" s="78" t="b">
        <f>'SFigure16-17-Data-1'!B46 &gt; 0.051</f>
        <v>0</v>
      </c>
      <c r="D103" s="78" t="b">
        <f>'SFigure16-17-Data-1'!C46 &gt; 0.066</f>
        <v>0</v>
      </c>
      <c r="E103" s="78" t="b">
        <f>'SFigure16-17-Data-1'!D46 &gt; 0.054</f>
        <v>0</v>
      </c>
      <c r="F103" s="78" t="b">
        <f>'SFigure16-17-Data-1'!E46 &gt; 0.076</f>
        <v>0</v>
      </c>
      <c r="G103" s="78" t="b">
        <f>'SFigure16-17-Data-1'!F46 &gt; 0.055</f>
        <v>0</v>
      </c>
      <c r="H103" s="78" t="b">
        <f>'SFigure16-17-Data-1'!G46 &gt; 0.069</f>
        <v>0</v>
      </c>
    </row>
    <row r="104" spans="1:8" ht="15.75" customHeight="1">
      <c r="A104" s="1" t="s">
        <v>248</v>
      </c>
      <c r="B104" s="95" t="b">
        <f>'SFigure18-Data-1'!F44 &gt; 0.05</f>
        <v>0</v>
      </c>
      <c r="C104" s="78" t="b">
        <f>'SFigure16-17-Data-1'!B47 &gt; 0.051</f>
        <v>0</v>
      </c>
      <c r="D104" s="78" t="b">
        <f>'SFigure16-17-Data-1'!C47 &gt; 0.066</f>
        <v>0</v>
      </c>
      <c r="E104" s="78" t="b">
        <f>'SFigure16-17-Data-1'!D47 &gt; 0.054</f>
        <v>0</v>
      </c>
      <c r="F104" s="78" t="b">
        <f>'SFigure16-17-Data-1'!E47 &gt; 0.076</f>
        <v>0</v>
      </c>
      <c r="G104" s="78" t="b">
        <f>'SFigure16-17-Data-1'!F47 &gt; 0.055</f>
        <v>0</v>
      </c>
      <c r="H104" s="78" t="b">
        <f>'SFigure16-17-Data-1'!G47 &gt; 0.069</f>
        <v>0</v>
      </c>
    </row>
    <row r="105" spans="1:8" ht="15.75" customHeight="1">
      <c r="A105" s="1" t="s">
        <v>249</v>
      </c>
      <c r="B105" s="94" t="b">
        <f>'SFigure18-Data-1'!F45 &gt; 0.05</f>
        <v>1</v>
      </c>
      <c r="C105" s="78" t="b">
        <f>'SFigure16-17-Data-1'!B48 &gt; 0.051</f>
        <v>0</v>
      </c>
      <c r="D105" s="78" t="b">
        <f>'SFigure16-17-Data-1'!C48 &gt; 0.066</f>
        <v>0</v>
      </c>
      <c r="E105" s="78" t="b">
        <f>'SFigure16-17-Data-1'!D48 &gt; 0.054</f>
        <v>0</v>
      </c>
      <c r="F105" s="78" t="b">
        <f>'SFigure16-17-Data-1'!E48 &gt; 0.076</f>
        <v>0</v>
      </c>
      <c r="G105" s="78" t="b">
        <f>'SFigure16-17-Data-1'!F48 &gt; 0.055</f>
        <v>0</v>
      </c>
      <c r="H105" s="78" t="b">
        <f>'SFigure16-17-Data-1'!G48 &gt; 0.069</f>
        <v>0</v>
      </c>
    </row>
    <row r="106" spans="1:8" ht="15.75" customHeight="1">
      <c r="A106" s="1" t="s">
        <v>250</v>
      </c>
      <c r="B106" s="95" t="b">
        <f>'SFigure18-Data-1'!F46 &gt; 0.05</f>
        <v>0</v>
      </c>
      <c r="C106" s="78" t="b">
        <f>'SFigure16-17-Data-1'!B49 &gt; 0.051</f>
        <v>0</v>
      </c>
      <c r="D106" s="78" t="b">
        <f>'SFigure16-17-Data-1'!C49 &gt; 0.066</f>
        <v>0</v>
      </c>
      <c r="E106" s="78" t="b">
        <f>'SFigure16-17-Data-1'!D49 &gt; 0.054</f>
        <v>0</v>
      </c>
      <c r="F106" s="78" t="b">
        <f>'SFigure16-17-Data-1'!E49 &gt; 0.076</f>
        <v>0</v>
      </c>
      <c r="G106" s="78" t="b">
        <f>'SFigure16-17-Data-1'!F49 &gt; 0.055</f>
        <v>0</v>
      </c>
      <c r="H106" s="78" t="b">
        <f>'SFigure16-17-Data-1'!G49 &gt; 0.069</f>
        <v>0</v>
      </c>
    </row>
    <row r="107" spans="1:8" ht="15.75" customHeight="1">
      <c r="A107" s="1" t="s">
        <v>251</v>
      </c>
      <c r="B107" s="95" t="b">
        <f>'SFigure18-Data-1'!F47 &gt; 0.05</f>
        <v>0</v>
      </c>
      <c r="C107" s="78" t="b">
        <f>'SFigure16-17-Data-1'!B50 &gt; 0.051</f>
        <v>0</v>
      </c>
      <c r="D107" s="78" t="b">
        <f>'SFigure16-17-Data-1'!C50 &gt; 0.066</f>
        <v>0</v>
      </c>
      <c r="E107" s="78" t="b">
        <f>'SFigure16-17-Data-1'!D50 &gt; 0.054</f>
        <v>0</v>
      </c>
      <c r="F107" s="78" t="b">
        <f>'SFigure16-17-Data-1'!E50 &gt; 0.076</f>
        <v>0</v>
      </c>
      <c r="G107" s="78" t="b">
        <f>'SFigure16-17-Data-1'!F50 &gt; 0.055</f>
        <v>0</v>
      </c>
      <c r="H107" s="78" t="b">
        <f>'SFigure16-17-Data-1'!G50 &gt; 0.069</f>
        <v>0</v>
      </c>
    </row>
    <row r="108" spans="1:8" ht="15.75" customHeight="1">
      <c r="A108" s="1" t="s">
        <v>252</v>
      </c>
      <c r="B108" s="95" t="b">
        <f>'SFigure18-Data-1'!F48 &gt; 0.05</f>
        <v>0</v>
      </c>
      <c r="C108" s="78" t="b">
        <f>'SFigure16-17-Data-1'!B51 &gt; 0.051</f>
        <v>0</v>
      </c>
      <c r="D108" s="78" t="b">
        <f>'SFigure16-17-Data-1'!C51 &gt; 0.066</f>
        <v>0</v>
      </c>
      <c r="E108" s="78" t="b">
        <f>'SFigure16-17-Data-1'!D51 &gt; 0.054</f>
        <v>0</v>
      </c>
      <c r="F108" s="78" t="b">
        <f>'SFigure16-17-Data-1'!E51 &gt; 0.076</f>
        <v>0</v>
      </c>
      <c r="G108" s="78" t="b">
        <f>'SFigure16-17-Data-1'!F51 &gt; 0.055</f>
        <v>0</v>
      </c>
      <c r="H108" s="78" t="b">
        <f>'SFigure16-17-Data-1'!G51 &gt; 0.069</f>
        <v>0</v>
      </c>
    </row>
    <row r="109" spans="1:8" ht="15.75" customHeight="1">
      <c r="A109" s="1" t="s">
        <v>253</v>
      </c>
      <c r="B109" s="94" t="b">
        <f>'SFigure18-Data-1'!F49 &gt; 0.05</f>
        <v>1</v>
      </c>
      <c r="C109" s="78" t="b">
        <f>'SFigure16-17-Data-1'!B52 &gt; 0.051</f>
        <v>0</v>
      </c>
      <c r="D109" s="78" t="b">
        <f>'SFigure16-17-Data-1'!C52 &gt; 0.066</f>
        <v>0</v>
      </c>
      <c r="E109" s="78" t="b">
        <f>'SFigure16-17-Data-1'!D52 &gt; 0.054</f>
        <v>0</v>
      </c>
      <c r="F109" s="78" t="b">
        <f>'SFigure16-17-Data-1'!E52 &gt; 0.076</f>
        <v>0</v>
      </c>
      <c r="G109" s="78" t="b">
        <f>'SFigure16-17-Data-1'!F52 &gt; 0.055</f>
        <v>0</v>
      </c>
      <c r="H109" s="78" t="b">
        <f>'SFigure16-17-Data-1'!G52 &gt; 0.069</f>
        <v>0</v>
      </c>
    </row>
    <row r="110" spans="1:8" ht="15.75" customHeight="1">
      <c r="A110" s="1" t="s">
        <v>254</v>
      </c>
      <c r="B110" s="94" t="b">
        <f>'SFigure18-Data-1'!F50 &gt; 0.05</f>
        <v>1</v>
      </c>
      <c r="C110" s="78" t="b">
        <f>'SFigure16-17-Data-1'!B53 &gt; 0.051</f>
        <v>0</v>
      </c>
      <c r="D110" s="78" t="b">
        <f>'SFigure16-17-Data-1'!C53 &gt; 0.066</f>
        <v>0</v>
      </c>
      <c r="E110" s="78" t="b">
        <f>'SFigure16-17-Data-1'!D53 &gt; 0.054</f>
        <v>0</v>
      </c>
      <c r="F110" s="78" t="b">
        <f>'SFigure16-17-Data-1'!E53 &gt; 0.076</f>
        <v>0</v>
      </c>
      <c r="G110" s="78" t="b">
        <f>'SFigure16-17-Data-1'!F53 &gt; 0.055</f>
        <v>0</v>
      </c>
      <c r="H110" s="78" t="b">
        <f>'SFigure16-17-Data-1'!G53 &gt; 0.069</f>
        <v>0</v>
      </c>
    </row>
    <row r="111" spans="1:8" ht="15.75" customHeight="1">
      <c r="A111" s="1" t="s">
        <v>255</v>
      </c>
      <c r="B111" s="95" t="b">
        <f>'SFigure18-Data-1'!F51 &gt; 0.05</f>
        <v>0</v>
      </c>
      <c r="C111" s="78" t="b">
        <f>'SFigure16-17-Data-1'!B54 &gt; 0.051</f>
        <v>0</v>
      </c>
      <c r="D111" s="78" t="b">
        <f>'SFigure16-17-Data-1'!C54 &gt; 0.066</f>
        <v>0</v>
      </c>
      <c r="E111" s="78" t="b">
        <f>'SFigure16-17-Data-1'!D54 &gt; 0.054</f>
        <v>0</v>
      </c>
      <c r="F111" s="78" t="b">
        <f>'SFigure16-17-Data-1'!E54 &gt; 0.076</f>
        <v>0</v>
      </c>
      <c r="G111" s="78" t="b">
        <f>'SFigure16-17-Data-1'!F54 &gt; 0.055</f>
        <v>0</v>
      </c>
      <c r="H111" s="78" t="b">
        <f>'SFigure16-17-Data-1'!G54 &gt; 0.069</f>
        <v>0</v>
      </c>
    </row>
    <row r="112" spans="1:8" ht="15.75" customHeight="1">
      <c r="A112" s="1" t="s">
        <v>256</v>
      </c>
      <c r="B112" s="95" t="b">
        <f>'SFigure18-Data-1'!F52 &gt; 0.05</f>
        <v>0</v>
      </c>
      <c r="C112" s="78" t="b">
        <f>'SFigure16-17-Data-1'!B55 &gt; 0.051</f>
        <v>0</v>
      </c>
      <c r="D112" s="78" t="b">
        <f>'SFigure16-17-Data-1'!C55 &gt; 0.066</f>
        <v>0</v>
      </c>
      <c r="E112" s="78" t="b">
        <f>'SFigure16-17-Data-1'!D55 &gt; 0.054</f>
        <v>0</v>
      </c>
      <c r="F112" s="78" t="b">
        <f>'SFigure16-17-Data-1'!E55 &gt; 0.076</f>
        <v>0</v>
      </c>
      <c r="G112" s="78" t="b">
        <f>'SFigure16-17-Data-1'!F55 &gt; 0.055</f>
        <v>0</v>
      </c>
      <c r="H112" s="78" t="b">
        <f>'SFigure16-17-Data-1'!G55 &gt; 0.069</f>
        <v>0</v>
      </c>
    </row>
    <row r="113" spans="1:8" ht="15.75" customHeight="1">
      <c r="A113" s="1" t="s">
        <v>257</v>
      </c>
      <c r="B113" s="95" t="b">
        <f>'SFigure18-Data-1'!F53 &gt; 0.05</f>
        <v>0</v>
      </c>
      <c r="C113" s="78" t="b">
        <f>'SFigure16-17-Data-1'!B56 &gt; 0.051</f>
        <v>0</v>
      </c>
      <c r="D113" s="78" t="b">
        <f>'SFigure16-17-Data-1'!C56 &gt; 0.066</f>
        <v>0</v>
      </c>
      <c r="E113" s="78" t="b">
        <f>'SFigure16-17-Data-1'!D56 &gt; 0.054</f>
        <v>0</v>
      </c>
      <c r="F113" s="78" t="b">
        <f>'SFigure16-17-Data-1'!E56 &gt; 0.076</f>
        <v>0</v>
      </c>
      <c r="G113" s="78" t="b">
        <f>'SFigure16-17-Data-1'!F56 &gt; 0.055</f>
        <v>0</v>
      </c>
      <c r="H113" s="78" t="b">
        <f>'SFigure16-17-Data-1'!G56 &gt; 0.069</f>
        <v>0</v>
      </c>
    </row>
    <row r="114" spans="1:8" ht="15.75" customHeight="1">
      <c r="A114" s="1" t="s">
        <v>258</v>
      </c>
      <c r="B114" s="95" t="b">
        <f>'SFigure18-Data-1'!F54 &gt; 0.05</f>
        <v>0</v>
      </c>
      <c r="C114" s="78" t="b">
        <f>'SFigure16-17-Data-1'!B57 &gt; 0.051</f>
        <v>0</v>
      </c>
      <c r="D114" s="78" t="b">
        <f>'SFigure16-17-Data-1'!C57 &gt; 0.066</f>
        <v>0</v>
      </c>
      <c r="E114" s="78" t="b">
        <f>'SFigure16-17-Data-1'!D57 &gt; 0.054</f>
        <v>0</v>
      </c>
      <c r="F114" s="78" t="b">
        <f>'SFigure16-17-Data-1'!E57 &gt; 0.076</f>
        <v>0</v>
      </c>
      <c r="G114" s="78" t="b">
        <f>'SFigure16-17-Data-1'!F57 &gt; 0.055</f>
        <v>0</v>
      </c>
      <c r="H114" s="78" t="b">
        <f>'SFigure16-17-Data-1'!G57 &gt; 0.069</f>
        <v>0</v>
      </c>
    </row>
    <row r="115" spans="1:8" ht="15.75" customHeight="1">
      <c r="A115" s="1" t="s">
        <v>259</v>
      </c>
      <c r="B115" s="95" t="b">
        <f>'SFigure18-Data-1'!F55 &gt; 0.05</f>
        <v>0</v>
      </c>
      <c r="C115" s="78" t="b">
        <f>'SFigure16-17-Data-1'!B58 &gt; 0.051</f>
        <v>0</v>
      </c>
      <c r="D115" s="78" t="b">
        <f>'SFigure16-17-Data-1'!C58 &gt; 0.066</f>
        <v>0</v>
      </c>
      <c r="E115" s="78" t="b">
        <f>'SFigure16-17-Data-1'!D58 &gt; 0.054</f>
        <v>0</v>
      </c>
      <c r="F115" s="78" t="b">
        <f>'SFigure16-17-Data-1'!E58 &gt; 0.076</f>
        <v>0</v>
      </c>
      <c r="G115" s="78" t="b">
        <f>'SFigure16-17-Data-1'!F58 &gt; 0.055</f>
        <v>0</v>
      </c>
      <c r="H115" s="78" t="b">
        <f>'SFigure16-17-Data-1'!G58 &gt; 0.069</f>
        <v>0</v>
      </c>
    </row>
    <row r="116" spans="1:8" ht="15.75" customHeight="1">
      <c r="A116" s="1" t="s">
        <v>260</v>
      </c>
      <c r="B116" s="95" t="b">
        <f>'SFigure18-Data-1'!F56 &gt; 0.05</f>
        <v>0</v>
      </c>
      <c r="C116" s="78" t="b">
        <f>'SFigure16-17-Data-1'!B59 &gt; 0.051</f>
        <v>0</v>
      </c>
      <c r="D116" s="78" t="b">
        <f>'SFigure16-17-Data-1'!C59 &gt; 0.066</f>
        <v>0</v>
      </c>
      <c r="E116" s="78" t="b">
        <f>'SFigure16-17-Data-1'!D59 &gt; 0.054</f>
        <v>0</v>
      </c>
      <c r="F116" s="78" t="b">
        <f>'SFigure16-17-Data-1'!E59 &gt; 0.076</f>
        <v>0</v>
      </c>
      <c r="G116" s="78" t="b">
        <f>'SFigure16-17-Data-1'!F59 &gt; 0.055</f>
        <v>0</v>
      </c>
      <c r="H116" s="78" t="b">
        <f>'SFigure16-17-Data-1'!G59 &gt; 0.069</f>
        <v>0</v>
      </c>
    </row>
    <row r="117" spans="1:8" ht="15.75" customHeight="1">
      <c r="A117" s="1" t="s">
        <v>261</v>
      </c>
      <c r="B117" s="95" t="b">
        <f>'SFigure18-Data-1'!F57 &gt; 0.05</f>
        <v>0</v>
      </c>
      <c r="C117" s="78" t="b">
        <f>'SFigure16-17-Data-1'!B60 &gt; 0.051</f>
        <v>0</v>
      </c>
      <c r="D117" s="78" t="b">
        <f>'SFigure16-17-Data-1'!C60 &gt; 0.066</f>
        <v>0</v>
      </c>
      <c r="E117" s="78" t="b">
        <f>'SFigure16-17-Data-1'!D60 &gt; 0.054</f>
        <v>0</v>
      </c>
      <c r="F117" s="78" t="b">
        <f>'SFigure16-17-Data-1'!E60 &gt; 0.076</f>
        <v>0</v>
      </c>
      <c r="G117" s="78" t="b">
        <f>'SFigure16-17-Data-1'!F60 &gt; 0.055</f>
        <v>0</v>
      </c>
      <c r="H117" s="78" t="b">
        <f>'SFigure16-17-Data-1'!G60 &gt; 0.069</f>
        <v>0</v>
      </c>
    </row>
    <row r="118" spans="1:8" ht="15.75" customHeight="1">
      <c r="A118" s="1" t="s">
        <v>272</v>
      </c>
      <c r="B118" s="1">
        <f t="shared" ref="B118:H118" si="3">SUMPRODUCT(--(ABS(B93:B117) &gt; 0))</f>
        <v>3</v>
      </c>
      <c r="C118" s="1">
        <f t="shared" si="3"/>
        <v>1</v>
      </c>
      <c r="D118" s="1">
        <f t="shared" si="3"/>
        <v>0</v>
      </c>
      <c r="E118" s="1">
        <f t="shared" si="3"/>
        <v>0</v>
      </c>
      <c r="F118" s="1">
        <f t="shared" si="3"/>
        <v>0</v>
      </c>
      <c r="G118" s="1">
        <f t="shared" si="3"/>
        <v>0</v>
      </c>
      <c r="H118" s="1">
        <f t="shared" si="3"/>
        <v>0</v>
      </c>
    </row>
  </sheetData>
  <mergeCells count="4">
    <mergeCell ref="B1:G1"/>
    <mergeCell ref="B30:G30"/>
    <mergeCell ref="B62:G62"/>
    <mergeCell ref="B91:G9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621-3ACA-4091-BD9B-027AF4A947C8}">
  <sheetPr>
    <outlinePr summaryBelow="0" summaryRight="0"/>
  </sheetPr>
  <dimension ref="A1:U94"/>
  <sheetViews>
    <sheetView workbookViewId="0"/>
  </sheetViews>
  <sheetFormatPr defaultColWidth="12.6640625" defaultRowHeight="15.75" customHeight="1"/>
  <cols>
    <col min="1" max="16384" width="12.6640625" style="2"/>
  </cols>
  <sheetData>
    <row r="1" spans="1:21" ht="15.75" customHeight="1">
      <c r="D1" s="1" t="s">
        <v>330</v>
      </c>
      <c r="K1" s="1" t="s">
        <v>331</v>
      </c>
      <c r="R1" s="1" t="s">
        <v>331</v>
      </c>
    </row>
    <row r="2" spans="1:21" ht="15.75" customHeight="1">
      <c r="B2" s="1" t="s">
        <v>274</v>
      </c>
      <c r="I2" s="1" t="s">
        <v>274</v>
      </c>
      <c r="P2" s="1" t="s">
        <v>332</v>
      </c>
    </row>
    <row r="3" spans="1:21" ht="15.75" customHeight="1">
      <c r="A3" s="1" t="s">
        <v>231</v>
      </c>
      <c r="B3" s="1" t="s">
        <v>39</v>
      </c>
      <c r="C3" s="1" t="s">
        <v>38</v>
      </c>
      <c r="D3" s="1" t="s">
        <v>40</v>
      </c>
      <c r="E3" s="1" t="s">
        <v>63</v>
      </c>
      <c r="F3" s="1" t="s">
        <v>265</v>
      </c>
      <c r="I3" s="1" t="s">
        <v>231</v>
      </c>
      <c r="J3" s="1" t="s">
        <v>39</v>
      </c>
      <c r="K3" s="1" t="s">
        <v>38</v>
      </c>
      <c r="L3" s="1" t="s">
        <v>40</v>
      </c>
      <c r="M3" s="1" t="s">
        <v>63</v>
      </c>
      <c r="N3" s="1" t="s">
        <v>265</v>
      </c>
      <c r="P3" s="1" t="s">
        <v>231</v>
      </c>
      <c r="Q3" s="1" t="s">
        <v>39</v>
      </c>
      <c r="R3" s="1" t="s">
        <v>38</v>
      </c>
      <c r="S3" s="1" t="s">
        <v>40</v>
      </c>
      <c r="T3" s="1" t="s">
        <v>63</v>
      </c>
      <c r="U3" s="1" t="s">
        <v>265</v>
      </c>
    </row>
    <row r="4" spans="1:21" ht="15.75" customHeight="1">
      <c r="A4" s="1" t="s">
        <v>41</v>
      </c>
      <c r="B4" s="14">
        <v>4.1989760000000001E-2</v>
      </c>
      <c r="C4" s="14">
        <v>3.4789939999999998E-2</v>
      </c>
      <c r="D4" s="14">
        <v>3.9509620000000002E-2</v>
      </c>
      <c r="E4" s="14">
        <v>3.514602E-2</v>
      </c>
      <c r="F4" s="14">
        <v>2.8503440000000001E-2</v>
      </c>
      <c r="G4" s="27"/>
      <c r="I4" s="1" t="s">
        <v>41</v>
      </c>
      <c r="J4" s="14">
        <v>0.16998864</v>
      </c>
      <c r="K4" s="14">
        <v>5.319045E-2</v>
      </c>
      <c r="L4" s="14">
        <v>0.1276419</v>
      </c>
      <c r="M4" s="14">
        <v>4.9291260000000003E-2</v>
      </c>
      <c r="N4" s="14">
        <v>4.274526E-2</v>
      </c>
      <c r="O4" s="27"/>
      <c r="P4" s="1" t="s">
        <v>41</v>
      </c>
      <c r="Q4" s="27">
        <v>0.48663310599999998</v>
      </c>
      <c r="R4" s="27">
        <v>1.012909007</v>
      </c>
      <c r="S4" s="27">
        <v>0.78242830900000004</v>
      </c>
      <c r="T4" s="27">
        <v>1.0224185180000001</v>
      </c>
      <c r="U4" s="27">
        <v>1.0276004030000001</v>
      </c>
    </row>
    <row r="5" spans="1:21" ht="15.75" customHeight="1">
      <c r="A5" s="1" t="s">
        <v>72</v>
      </c>
      <c r="B5" s="14">
        <v>4.077679E-2</v>
      </c>
      <c r="C5" s="14">
        <v>3.2225539999999997E-2</v>
      </c>
      <c r="D5" s="14">
        <v>3.9237809999999998E-2</v>
      </c>
      <c r="E5" s="14">
        <v>3.3002700000000003E-2</v>
      </c>
      <c r="F5" s="14">
        <v>2.39458E-2</v>
      </c>
      <c r="G5" s="27"/>
      <c r="I5" s="1" t="s">
        <v>72</v>
      </c>
      <c r="J5" s="14">
        <v>4.0776470000000002E-2</v>
      </c>
      <c r="K5" s="14">
        <v>4.0476409999999997E-2</v>
      </c>
      <c r="L5" s="14">
        <v>4.3232600000000003E-2</v>
      </c>
      <c r="M5" s="14">
        <v>3.1410229999999997E-2</v>
      </c>
      <c r="N5" s="14">
        <v>0.15351502</v>
      </c>
      <c r="O5" s="27"/>
      <c r="P5" s="1" t="s">
        <v>72</v>
      </c>
      <c r="Q5" s="27">
        <v>0</v>
      </c>
      <c r="R5" s="27">
        <v>4.9142300999999999E-2</v>
      </c>
      <c r="S5" s="27">
        <v>7.1838623000000004E-2</v>
      </c>
      <c r="T5" s="27">
        <v>0.17002752300000001</v>
      </c>
      <c r="U5" s="27">
        <v>0.15346441599999999</v>
      </c>
    </row>
    <row r="6" spans="1:21" ht="15.75" customHeight="1">
      <c r="A6" s="1" t="s">
        <v>43</v>
      </c>
      <c r="B6" s="14">
        <v>3.6784669999999998E-2</v>
      </c>
      <c r="C6" s="14">
        <v>2.747194E-2</v>
      </c>
      <c r="D6" s="14">
        <v>3.093106E-2</v>
      </c>
      <c r="E6" s="14">
        <v>2.6252089999999999E-2</v>
      </c>
      <c r="F6" s="14">
        <v>1.9992309999999999E-2</v>
      </c>
      <c r="G6" s="27"/>
      <c r="I6" s="1" t="s">
        <v>43</v>
      </c>
      <c r="J6" s="14">
        <v>0.10401198</v>
      </c>
      <c r="K6" s="14">
        <v>0.11459887000000001</v>
      </c>
      <c r="L6" s="14">
        <v>8.0225519999999995E-2</v>
      </c>
      <c r="M6" s="14">
        <v>5.608465E-2</v>
      </c>
      <c r="N6" s="14">
        <v>7.1171949999999998E-2</v>
      </c>
      <c r="O6" s="27"/>
      <c r="P6" s="1" t="s">
        <v>43</v>
      </c>
      <c r="Q6" s="27">
        <v>0.73710242299999995</v>
      </c>
      <c r="R6" s="27">
        <v>0.76725207799999995</v>
      </c>
      <c r="S6" s="27">
        <v>0.88975342400000001</v>
      </c>
      <c r="T6" s="27">
        <v>1.0322317599999999</v>
      </c>
      <c r="U6" s="27">
        <v>1.0808460950000001</v>
      </c>
    </row>
    <row r="7" spans="1:21" ht="15.75" customHeight="1">
      <c r="A7" s="1" t="s">
        <v>68</v>
      </c>
      <c r="B7" s="14">
        <v>2.545569E-2</v>
      </c>
      <c r="C7" s="14">
        <v>1.7206570000000001E-2</v>
      </c>
      <c r="D7" s="14">
        <v>1.9594480000000001E-2</v>
      </c>
      <c r="E7" s="14">
        <v>1.6188089999999999E-2</v>
      </c>
      <c r="F7" s="14">
        <v>1.271304E-2</v>
      </c>
      <c r="G7" s="27"/>
      <c r="I7" s="1" t="s">
        <v>68</v>
      </c>
      <c r="J7" s="14">
        <v>4.2267659999999999E-2</v>
      </c>
      <c r="K7" s="14">
        <v>3.064886E-2</v>
      </c>
      <c r="L7" s="14">
        <v>2.2728439999999999E-2</v>
      </c>
      <c r="M7" s="14">
        <v>1.7336379999999998E-2</v>
      </c>
      <c r="N7" s="14">
        <v>1.452026E-2</v>
      </c>
      <c r="O7" s="27"/>
      <c r="P7" s="1" t="s">
        <v>68</v>
      </c>
      <c r="Q7" s="27">
        <v>0.55011307099999995</v>
      </c>
      <c r="R7" s="27">
        <v>0.58421864999999995</v>
      </c>
      <c r="S7" s="27">
        <v>0.65621234799999995</v>
      </c>
      <c r="T7" s="27">
        <v>0.74440757999999996</v>
      </c>
      <c r="U7" s="27">
        <v>0.74398347799999998</v>
      </c>
    </row>
    <row r="8" spans="1:21" ht="15.75" customHeight="1">
      <c r="A8" s="1" t="s">
        <v>333</v>
      </c>
      <c r="B8" s="14">
        <v>2.6068839999999999E-2</v>
      </c>
      <c r="C8" s="14">
        <v>1.5481099999999999E-2</v>
      </c>
      <c r="D8" s="14">
        <v>1.689858E-2</v>
      </c>
      <c r="E8" s="14">
        <v>1.4293230000000001E-2</v>
      </c>
      <c r="F8" s="14">
        <v>1.2066260000000001E-2</v>
      </c>
      <c r="G8" s="27"/>
      <c r="I8" s="1" t="s">
        <v>333</v>
      </c>
      <c r="J8" s="14">
        <v>2.6068930000000001E-2</v>
      </c>
      <c r="K8" s="14">
        <v>1.548131E-2</v>
      </c>
      <c r="L8" s="14">
        <v>1.6899129999999998E-2</v>
      </c>
      <c r="M8" s="14">
        <v>1.429336E-2</v>
      </c>
      <c r="N8" s="14">
        <v>1.206657E-2</v>
      </c>
      <c r="O8" s="27"/>
      <c r="P8" s="1" t="s">
        <v>333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21" ht="15.75" customHeight="1">
      <c r="A9" s="1" t="s">
        <v>76</v>
      </c>
      <c r="B9" s="14">
        <v>4.1462609999999997E-2</v>
      </c>
      <c r="C9" s="14">
        <v>3.3029240000000001E-2</v>
      </c>
      <c r="D9" s="14">
        <v>3.728252E-2</v>
      </c>
      <c r="E9" s="14">
        <v>3.2352930000000002E-2</v>
      </c>
      <c r="F9" s="14">
        <v>2.5991940000000002E-2</v>
      </c>
      <c r="G9" s="27"/>
      <c r="I9" s="1" t="s">
        <v>76</v>
      </c>
      <c r="J9" s="14">
        <v>0.11842555</v>
      </c>
      <c r="K9" s="14">
        <v>0.12212061</v>
      </c>
      <c r="L9" s="14">
        <v>9.3504729999999994E-2</v>
      </c>
      <c r="M9" s="14">
        <v>8.3600750000000001E-2</v>
      </c>
      <c r="N9" s="14">
        <v>6.5847269999999999E-2</v>
      </c>
      <c r="O9" s="27"/>
      <c r="P9" s="1" t="s">
        <v>76</v>
      </c>
      <c r="Q9" s="27">
        <v>0.61569850699999995</v>
      </c>
      <c r="R9" s="27">
        <v>0.953972759</v>
      </c>
      <c r="S9" s="27">
        <v>0.79810192999999996</v>
      </c>
      <c r="T9" s="27">
        <v>0.93696944599999998</v>
      </c>
      <c r="U9" s="27">
        <v>1.0789332920000001</v>
      </c>
    </row>
    <row r="10" spans="1:21" ht="15.75" customHeight="1">
      <c r="A10" s="1" t="s">
        <v>334</v>
      </c>
      <c r="B10" s="14">
        <v>1.8266230000000001E-2</v>
      </c>
      <c r="C10" s="14">
        <v>1.3475849999999999E-2</v>
      </c>
      <c r="D10" s="14">
        <v>1.469584E-2</v>
      </c>
      <c r="E10" s="14">
        <v>1.155077E-2</v>
      </c>
      <c r="F10" s="14">
        <v>8.4034399999999999E-3</v>
      </c>
      <c r="G10" s="27"/>
      <c r="I10" s="1" t="s">
        <v>334</v>
      </c>
      <c r="J10" s="14">
        <v>1.8266230000000001E-2</v>
      </c>
      <c r="K10" s="14">
        <v>1.347594E-2</v>
      </c>
      <c r="L10" s="14">
        <v>1.469585E-2</v>
      </c>
      <c r="M10" s="14">
        <v>1.155075E-2</v>
      </c>
      <c r="N10" s="14">
        <v>8.4034799999999996E-3</v>
      </c>
      <c r="O10" s="27"/>
      <c r="P10" s="1" t="s">
        <v>334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</row>
    <row r="11" spans="1:21" ht="15.75" customHeight="1">
      <c r="A11" s="1" t="s">
        <v>70</v>
      </c>
      <c r="B11" s="14">
        <v>3.4539830000000001E-2</v>
      </c>
      <c r="C11" s="14">
        <v>2.4564869999999999E-2</v>
      </c>
      <c r="D11" s="14">
        <v>2.9918779999999999E-2</v>
      </c>
      <c r="E11" s="14">
        <v>2.596298E-2</v>
      </c>
      <c r="F11" s="14">
        <v>1.9575499999999999E-2</v>
      </c>
      <c r="G11" s="27"/>
      <c r="I11" s="1" t="s">
        <v>70</v>
      </c>
      <c r="J11" s="14">
        <v>3.663139E-2</v>
      </c>
      <c r="K11" s="14">
        <v>2.5392999999999999E-2</v>
      </c>
      <c r="L11" s="14">
        <v>2.9528410000000001E-2</v>
      </c>
      <c r="M11" s="14">
        <v>2.3933960000000001E-2</v>
      </c>
      <c r="N11" s="14">
        <v>1.7780359999999999E-2</v>
      </c>
      <c r="O11" s="27"/>
      <c r="P11" s="1" t="s">
        <v>70</v>
      </c>
      <c r="Q11" s="27">
        <v>1.0013827689999999</v>
      </c>
      <c r="R11" s="27">
        <v>1.0042738360000001</v>
      </c>
      <c r="S11" s="27">
        <v>1.003586018</v>
      </c>
      <c r="T11" s="27">
        <v>1.0066181350000001</v>
      </c>
      <c r="U11" s="27">
        <v>1.0079824180000001</v>
      </c>
    </row>
    <row r="12" spans="1:21" ht="15.75" customHeight="1">
      <c r="A12" s="1" t="s">
        <v>80</v>
      </c>
      <c r="B12" s="14">
        <v>2.1474980000000001E-2</v>
      </c>
      <c r="C12" s="14">
        <v>1.499867E-2</v>
      </c>
      <c r="D12" s="14">
        <v>1.6621380000000002E-2</v>
      </c>
      <c r="E12" s="14">
        <v>1.2716E-2</v>
      </c>
      <c r="F12" s="14">
        <v>9.7566700000000003E-3</v>
      </c>
      <c r="G12" s="27"/>
      <c r="I12" s="1" t="s">
        <v>80</v>
      </c>
      <c r="J12" s="14">
        <v>2.4210820000000001E-2</v>
      </c>
      <c r="K12" s="14">
        <v>1.6446390000000002E-2</v>
      </c>
      <c r="L12" s="14">
        <v>1.6686360000000001E-2</v>
      </c>
      <c r="M12" s="14">
        <v>1.2163709999999999E-2</v>
      </c>
      <c r="N12" s="14">
        <v>9.37144E-3</v>
      </c>
      <c r="O12" s="27"/>
      <c r="P12" s="1" t="s">
        <v>80</v>
      </c>
      <c r="Q12" s="27">
        <v>1.0014654080000001</v>
      </c>
      <c r="R12" s="27">
        <v>1.003601172</v>
      </c>
      <c r="S12" s="27">
        <v>1.0038752559999999</v>
      </c>
      <c r="T12" s="27">
        <v>1.0067746209999999</v>
      </c>
      <c r="U12" s="27">
        <v>1.007209577</v>
      </c>
    </row>
    <row r="13" spans="1:21" ht="15.75" customHeight="1">
      <c r="A13" s="1" t="s">
        <v>77</v>
      </c>
      <c r="B13" s="14">
        <v>2.4517939999999998E-2</v>
      </c>
      <c r="C13" s="14">
        <v>1.7611849999999998E-2</v>
      </c>
      <c r="D13" s="14">
        <v>2.0572360000000001E-2</v>
      </c>
      <c r="E13" s="14">
        <v>1.796321E-2</v>
      </c>
      <c r="F13" s="14">
        <v>1.3449829999999999E-2</v>
      </c>
      <c r="G13" s="27"/>
      <c r="I13" s="1" t="s">
        <v>77</v>
      </c>
      <c r="J13" s="14">
        <v>2.684017E-2</v>
      </c>
      <c r="K13" s="14">
        <v>1.9036560000000001E-2</v>
      </c>
      <c r="L13" s="14">
        <v>2.1749859999999999E-2</v>
      </c>
      <c r="M13" s="14">
        <v>1.8046929999999999E-2</v>
      </c>
      <c r="N13" s="14">
        <v>1.341234E-2</v>
      </c>
      <c r="O13" s="27"/>
      <c r="P13" s="1" t="s">
        <v>77</v>
      </c>
      <c r="Q13" s="27">
        <v>1.0010821270000001</v>
      </c>
      <c r="R13" s="27">
        <v>1.004911535</v>
      </c>
      <c r="S13" s="27">
        <v>1.0025591730000001</v>
      </c>
      <c r="T13" s="27">
        <v>1.0054754020000001</v>
      </c>
      <c r="U13" s="27">
        <v>1.0090411189999999</v>
      </c>
    </row>
    <row r="14" spans="1:21" ht="15.75" customHeight="1">
      <c r="B14" s="14"/>
      <c r="C14" s="14"/>
      <c r="D14" s="14"/>
      <c r="E14" s="14"/>
      <c r="F14" s="14"/>
      <c r="G14" s="27"/>
      <c r="J14" s="14"/>
      <c r="K14" s="14"/>
      <c r="L14" s="14"/>
      <c r="M14" s="14"/>
      <c r="N14" s="14"/>
      <c r="O14" s="27"/>
      <c r="Q14" s="27"/>
      <c r="R14" s="27"/>
      <c r="S14" s="27"/>
      <c r="T14" s="27"/>
      <c r="U14" s="27"/>
    </row>
    <row r="15" spans="1:21" ht="15.75" customHeight="1">
      <c r="A15" s="1" t="s">
        <v>276</v>
      </c>
      <c r="B15" s="14">
        <f t="shared" ref="B15:F15" si="0">AVERAGE(B4:B13)</f>
        <v>3.1133733999999996E-2</v>
      </c>
      <c r="C15" s="14">
        <f t="shared" si="0"/>
        <v>2.3085557E-2</v>
      </c>
      <c r="D15" s="14">
        <f t="shared" si="0"/>
        <v>2.6526242999999998E-2</v>
      </c>
      <c r="E15" s="14">
        <f t="shared" si="0"/>
        <v>2.2542802000000001E-2</v>
      </c>
      <c r="F15" s="14">
        <f t="shared" si="0"/>
        <v>1.7439823E-2</v>
      </c>
      <c r="G15" s="27"/>
      <c r="I15" s="1" t="s">
        <v>276</v>
      </c>
      <c r="J15" s="14">
        <f t="shared" ref="J15:N15" si="1">AVERAGE(J4:J13)</f>
        <v>6.0748784000000014E-2</v>
      </c>
      <c r="K15" s="14">
        <f t="shared" si="1"/>
        <v>4.5086840000000003E-2</v>
      </c>
      <c r="L15" s="14">
        <f t="shared" si="1"/>
        <v>4.668928E-2</v>
      </c>
      <c r="M15" s="14">
        <f t="shared" si="1"/>
        <v>3.1771197999999994E-2</v>
      </c>
      <c r="N15" s="14">
        <f t="shared" si="1"/>
        <v>4.0883395000000003E-2</v>
      </c>
      <c r="O15" s="27"/>
      <c r="P15" s="1" t="s">
        <v>276</v>
      </c>
      <c r="Q15" s="27">
        <f t="shared" ref="Q15:U15" si="2">AVERAGE(Q4:Q13)</f>
        <v>0.53934774109999994</v>
      </c>
      <c r="R15" s="27">
        <f t="shared" si="2"/>
        <v>0.63802813380000001</v>
      </c>
      <c r="S15" s="27">
        <f t="shared" si="2"/>
        <v>0.62083550809999999</v>
      </c>
      <c r="T15" s="27">
        <f t="shared" si="2"/>
        <v>0.69249229850000005</v>
      </c>
      <c r="U15" s="27">
        <f t="shared" si="2"/>
        <v>0.71090607980000009</v>
      </c>
    </row>
    <row r="16" spans="1:21" ht="15.75" customHeight="1">
      <c r="B16" s="27"/>
      <c r="C16" s="27"/>
      <c r="D16" s="27"/>
      <c r="E16" s="27"/>
      <c r="F16" s="27"/>
      <c r="G16" s="27"/>
      <c r="J16" s="27"/>
      <c r="K16" s="27"/>
      <c r="L16" s="27"/>
      <c r="M16" s="27"/>
      <c r="N16" s="27" t="s">
        <v>335</v>
      </c>
      <c r="O16" s="27"/>
      <c r="R16" s="27"/>
      <c r="S16" s="27"/>
    </row>
    <row r="17" spans="1:19" ht="15.75" customHeight="1">
      <c r="D17" s="1" t="s">
        <v>336</v>
      </c>
      <c r="G17" s="27"/>
      <c r="J17" s="27"/>
      <c r="K17" s="27"/>
      <c r="L17" s="27"/>
      <c r="M17" s="27"/>
      <c r="N17" s="27"/>
      <c r="O17" s="27"/>
      <c r="R17" s="27"/>
      <c r="S17" s="27"/>
    </row>
    <row r="18" spans="1:19" ht="15.75" customHeight="1">
      <c r="B18" s="1" t="s">
        <v>274</v>
      </c>
      <c r="G18" s="27"/>
      <c r="J18" s="27"/>
      <c r="K18" s="27" t="s">
        <v>337</v>
      </c>
      <c r="L18" s="27"/>
      <c r="M18" s="27"/>
      <c r="N18" s="27"/>
      <c r="O18" s="27"/>
      <c r="R18" s="27"/>
      <c r="S18" s="27"/>
    </row>
    <row r="19" spans="1:19" ht="15.75" customHeight="1">
      <c r="A19" s="1" t="s">
        <v>231</v>
      </c>
      <c r="B19" s="1" t="s">
        <v>39</v>
      </c>
      <c r="C19" s="1" t="s">
        <v>38</v>
      </c>
      <c r="D19" s="1" t="s">
        <v>40</v>
      </c>
      <c r="E19" s="1" t="s">
        <v>63</v>
      </c>
      <c r="F19" s="1" t="s">
        <v>265</v>
      </c>
      <c r="G19" s="27"/>
      <c r="H19" s="1"/>
      <c r="J19" s="27"/>
      <c r="K19" s="27"/>
      <c r="L19" s="27"/>
      <c r="M19" s="27"/>
      <c r="N19" s="27"/>
      <c r="O19" s="27"/>
      <c r="R19" s="27"/>
      <c r="S19" s="27"/>
    </row>
    <row r="20" spans="1:19" ht="15.75" customHeight="1">
      <c r="A20" s="1" t="s">
        <v>41</v>
      </c>
      <c r="B20" s="14">
        <v>3.8540499999999998E-2</v>
      </c>
      <c r="C20" s="14">
        <v>2.849281E-2</v>
      </c>
      <c r="D20" s="14">
        <v>3.2832859999999998E-2</v>
      </c>
      <c r="E20" s="14">
        <v>2.6068190000000001E-2</v>
      </c>
      <c r="F20" s="14">
        <v>2.0188190000000002E-2</v>
      </c>
      <c r="G20" s="27"/>
      <c r="H20" s="27"/>
      <c r="J20" s="27"/>
      <c r="K20" s="27"/>
      <c r="L20" s="27"/>
      <c r="M20" s="27"/>
      <c r="N20" s="27"/>
      <c r="O20" s="27"/>
      <c r="R20" s="27"/>
      <c r="S20" s="27"/>
    </row>
    <row r="21" spans="1:19" ht="15.75" customHeight="1">
      <c r="A21" s="1" t="s">
        <v>72</v>
      </c>
      <c r="B21" s="14">
        <v>3.1478649999999997E-2</v>
      </c>
      <c r="C21" s="14">
        <v>2.2314029999999999E-2</v>
      </c>
      <c r="D21" s="14">
        <v>2.6700580000000002E-2</v>
      </c>
      <c r="E21" s="14">
        <v>2.1631350000000001E-2</v>
      </c>
      <c r="F21" s="14">
        <v>1.677085E-2</v>
      </c>
      <c r="G21" s="27"/>
      <c r="H21" s="27"/>
      <c r="J21" s="27"/>
      <c r="K21" s="27"/>
      <c r="L21" s="27"/>
      <c r="M21" s="27"/>
      <c r="N21" s="27"/>
      <c r="O21" s="27"/>
      <c r="R21" s="27"/>
      <c r="S21" s="27"/>
    </row>
    <row r="22" spans="1:19" ht="15.75" customHeight="1">
      <c r="A22" s="1" t="s">
        <v>43</v>
      </c>
      <c r="B22" s="14">
        <v>2.4468409999999999E-2</v>
      </c>
      <c r="C22" s="14">
        <v>1.8415040000000001E-2</v>
      </c>
      <c r="D22" s="14">
        <v>1.9949870000000001E-2</v>
      </c>
      <c r="E22" s="14">
        <v>1.7648819999999999E-2</v>
      </c>
      <c r="F22" s="14">
        <v>1.509199E-2</v>
      </c>
      <c r="G22" s="97"/>
      <c r="H22" s="27"/>
      <c r="J22" s="27"/>
      <c r="K22" s="27"/>
      <c r="L22" s="27"/>
      <c r="M22" s="27"/>
      <c r="N22" s="27"/>
      <c r="O22" s="27"/>
      <c r="R22" s="27"/>
      <c r="S22" s="27"/>
    </row>
    <row r="23" spans="1:19" ht="15.75" customHeight="1">
      <c r="A23" s="1" t="s">
        <v>68</v>
      </c>
      <c r="B23" s="14">
        <v>2.8138920000000001E-2</v>
      </c>
      <c r="C23" s="14">
        <v>1.975909E-2</v>
      </c>
      <c r="D23" s="14">
        <v>1.9272629999999999E-2</v>
      </c>
      <c r="E23" s="14">
        <v>1.452756E-2</v>
      </c>
      <c r="F23" s="14">
        <v>1.2225730000000001E-2</v>
      </c>
      <c r="G23" s="27"/>
      <c r="H23" s="27"/>
      <c r="J23" s="27"/>
      <c r="K23" s="27"/>
      <c r="L23" s="27"/>
      <c r="M23" s="27"/>
      <c r="N23" s="27"/>
      <c r="O23" s="27"/>
      <c r="R23" s="27"/>
      <c r="S23" s="27"/>
    </row>
    <row r="24" spans="1:19" ht="15.75" customHeight="1">
      <c r="A24" s="1" t="s">
        <v>333</v>
      </c>
      <c r="B24" s="14">
        <v>2.339432E-2</v>
      </c>
      <c r="C24" s="14">
        <v>4.5596829999999998E-2</v>
      </c>
      <c r="D24" s="14">
        <v>4.4827890000000002E-2</v>
      </c>
      <c r="E24" s="14">
        <v>3.9593540000000003E-2</v>
      </c>
      <c r="F24" s="14">
        <v>3.409152E-2</v>
      </c>
      <c r="G24" s="27"/>
      <c r="H24" s="27"/>
      <c r="J24" s="27"/>
      <c r="K24" s="27"/>
      <c r="L24" s="27"/>
      <c r="M24" s="27"/>
      <c r="N24" s="27"/>
      <c r="O24" s="27"/>
      <c r="R24" s="27"/>
      <c r="S24" s="27"/>
    </row>
    <row r="25" spans="1:19" ht="15.75" customHeight="1">
      <c r="A25" s="1" t="s">
        <v>76</v>
      </c>
      <c r="B25" s="14">
        <v>4.8714800000000003E-2</v>
      </c>
      <c r="C25" s="14">
        <v>3.7881520000000002E-2</v>
      </c>
      <c r="D25" s="14">
        <v>4.2369560000000001E-2</v>
      </c>
      <c r="E25" s="14">
        <v>3.254286E-2</v>
      </c>
      <c r="F25" s="14">
        <v>2.5085639999999999E-2</v>
      </c>
      <c r="G25" s="27"/>
      <c r="H25" s="27"/>
      <c r="J25" s="27"/>
      <c r="K25" s="27"/>
      <c r="L25" s="27"/>
      <c r="M25" s="27"/>
      <c r="N25" s="27"/>
      <c r="O25" s="27"/>
      <c r="R25" s="27"/>
      <c r="S25" s="27"/>
    </row>
    <row r="26" spans="1:19" ht="15.75" customHeight="1">
      <c r="A26" s="1" t="s">
        <v>334</v>
      </c>
      <c r="B26" s="14">
        <v>2.070309E-2</v>
      </c>
      <c r="C26" s="14">
        <v>1.6392980000000001E-2</v>
      </c>
      <c r="D26" s="14">
        <v>1.7868430000000001E-2</v>
      </c>
      <c r="E26" s="14">
        <v>1.5176500000000001E-2</v>
      </c>
      <c r="F26" s="14">
        <v>1.184694E-2</v>
      </c>
      <c r="G26" s="27"/>
      <c r="H26" s="27"/>
      <c r="J26" s="27"/>
      <c r="K26" s="27"/>
      <c r="L26" s="27"/>
      <c r="M26" s="27"/>
      <c r="N26" s="27"/>
      <c r="O26" s="27"/>
      <c r="R26" s="27"/>
      <c r="S26" s="27"/>
    </row>
    <row r="27" spans="1:19" ht="15.75" customHeight="1">
      <c r="A27" s="1" t="s">
        <v>70</v>
      </c>
      <c r="B27" s="14">
        <v>3.4437660000000002E-2</v>
      </c>
      <c r="C27" s="14">
        <v>2.520294E-2</v>
      </c>
      <c r="D27" s="14">
        <v>2.9584289999999999E-2</v>
      </c>
      <c r="E27" s="14">
        <v>2.4055610000000002E-2</v>
      </c>
      <c r="F27" s="14">
        <v>1.772663E-2</v>
      </c>
      <c r="G27" s="27"/>
      <c r="H27" s="27"/>
      <c r="J27" s="27"/>
      <c r="K27" s="27"/>
      <c r="L27" s="27"/>
      <c r="M27" s="27"/>
      <c r="N27" s="27"/>
      <c r="O27" s="27"/>
      <c r="R27" s="27"/>
      <c r="S27" s="27"/>
    </row>
    <row r="28" spans="1:19" ht="15.75" customHeight="1">
      <c r="A28" s="1" t="s">
        <v>80</v>
      </c>
      <c r="B28" s="14">
        <v>1.9335629999999999E-2</v>
      </c>
      <c r="C28" s="14">
        <v>1.370829E-2</v>
      </c>
      <c r="D28" s="14">
        <v>1.4527780000000001E-2</v>
      </c>
      <c r="E28" s="14">
        <v>1.0990679999999999E-2</v>
      </c>
      <c r="F28" s="14">
        <v>8.2262499999999992E-3</v>
      </c>
      <c r="G28" s="27"/>
      <c r="H28" s="27"/>
      <c r="J28" s="27"/>
      <c r="K28" s="27"/>
      <c r="L28" s="27"/>
      <c r="M28" s="27"/>
      <c r="N28" s="27"/>
      <c r="O28" s="27"/>
      <c r="R28" s="27"/>
      <c r="S28" s="27"/>
    </row>
    <row r="29" spans="1:19" ht="15.75" customHeight="1">
      <c r="A29" s="1" t="s">
        <v>77</v>
      </c>
      <c r="B29" s="14">
        <v>1.7000169999999998E-2</v>
      </c>
      <c r="C29" s="14">
        <v>1.284977E-2</v>
      </c>
      <c r="D29" s="14">
        <v>1.3493969999999999E-2</v>
      </c>
      <c r="E29" s="14">
        <v>1.234421E-2</v>
      </c>
      <c r="F29" s="14">
        <v>9.0916599999999997E-3</v>
      </c>
      <c r="G29" s="27"/>
    </row>
    <row r="30" spans="1:19" ht="15.75" customHeight="1">
      <c r="B30" s="14"/>
      <c r="C30" s="14"/>
      <c r="D30" s="14"/>
      <c r="E30" s="14"/>
      <c r="F30" s="14"/>
      <c r="G30" s="27"/>
    </row>
    <row r="31" spans="1:19" ht="15.75" customHeight="1">
      <c r="A31" s="1" t="s">
        <v>276</v>
      </c>
      <c r="B31" s="14">
        <f t="shared" ref="B31:F31" si="3">AVERAGE(B20:B29)</f>
        <v>2.8621214999999998E-2</v>
      </c>
      <c r="C31" s="14">
        <f t="shared" si="3"/>
        <v>2.4061330000000002E-2</v>
      </c>
      <c r="D31" s="14">
        <f t="shared" si="3"/>
        <v>2.6142786000000001E-2</v>
      </c>
      <c r="E31" s="14">
        <f t="shared" si="3"/>
        <v>2.1457932000000002E-2</v>
      </c>
      <c r="F31" s="14">
        <f t="shared" si="3"/>
        <v>1.7034539999999997E-2</v>
      </c>
    </row>
    <row r="33" spans="1:19" ht="15.75" customHeight="1">
      <c r="D33" s="1" t="s">
        <v>279</v>
      </c>
      <c r="L33" s="1" t="s">
        <v>338</v>
      </c>
    </row>
    <row r="34" spans="1:19" ht="15.75" customHeight="1">
      <c r="B34" s="1" t="s">
        <v>280</v>
      </c>
      <c r="J34" s="1" t="s">
        <v>280</v>
      </c>
    </row>
    <row r="35" spans="1:19" ht="15.75" customHeight="1">
      <c r="A35" s="1" t="s">
        <v>231</v>
      </c>
      <c r="B35" s="1" t="s">
        <v>39</v>
      </c>
      <c r="C35" s="1" t="s">
        <v>38</v>
      </c>
      <c r="D35" s="1" t="s">
        <v>40</v>
      </c>
      <c r="E35" s="1" t="s">
        <v>63</v>
      </c>
      <c r="F35" s="1" t="s">
        <v>265</v>
      </c>
      <c r="I35" s="1" t="s">
        <v>231</v>
      </c>
      <c r="J35" s="1" t="s">
        <v>39</v>
      </c>
      <c r="K35" s="1" t="s">
        <v>38</v>
      </c>
      <c r="L35" s="1" t="s">
        <v>40</v>
      </c>
      <c r="M35" s="1" t="s">
        <v>63</v>
      </c>
      <c r="N35" s="1" t="s">
        <v>265</v>
      </c>
    </row>
    <row r="36" spans="1:19" ht="15.75" customHeight="1">
      <c r="A36" s="1" t="s">
        <v>41</v>
      </c>
      <c r="B36" s="14">
        <f t="shared" ref="B36:F45" si="4">ABS(B20-B4)</f>
        <v>3.4492600000000026E-3</v>
      </c>
      <c r="C36" s="14">
        <f t="shared" si="4"/>
        <v>6.297129999999998E-3</v>
      </c>
      <c r="D36" s="14">
        <f t="shared" si="4"/>
        <v>6.6767600000000038E-3</v>
      </c>
      <c r="E36" s="14">
        <f t="shared" si="4"/>
        <v>9.0778299999999985E-3</v>
      </c>
      <c r="F36" s="14">
        <f t="shared" si="4"/>
        <v>8.3152499999999997E-3</v>
      </c>
      <c r="G36" s="27"/>
      <c r="I36" s="1" t="s">
        <v>41</v>
      </c>
      <c r="J36" s="14">
        <f t="shared" ref="J36:N45" si="5">ABS(B20-J4)</f>
        <v>0.13144813999999999</v>
      </c>
      <c r="K36" s="14">
        <f t="shared" si="5"/>
        <v>2.469764E-2</v>
      </c>
      <c r="L36" s="14">
        <f t="shared" si="5"/>
        <v>9.4809040000000011E-2</v>
      </c>
      <c r="M36" s="14">
        <f t="shared" si="5"/>
        <v>2.3223070000000002E-2</v>
      </c>
      <c r="N36" s="14">
        <f t="shared" si="5"/>
        <v>2.2557069999999999E-2</v>
      </c>
      <c r="O36" s="27"/>
    </row>
    <row r="37" spans="1:19" ht="15.75" customHeight="1">
      <c r="A37" s="1" t="s">
        <v>72</v>
      </c>
      <c r="B37" s="14">
        <f t="shared" si="4"/>
        <v>9.2981400000000033E-3</v>
      </c>
      <c r="C37" s="14">
        <f t="shared" si="4"/>
        <v>9.9115099999999984E-3</v>
      </c>
      <c r="D37" s="14">
        <f t="shared" si="4"/>
        <v>1.2537229999999996E-2</v>
      </c>
      <c r="E37" s="14">
        <f t="shared" si="4"/>
        <v>1.1371350000000002E-2</v>
      </c>
      <c r="F37" s="14">
        <f t="shared" si="4"/>
        <v>7.1749499999999994E-3</v>
      </c>
      <c r="G37" s="27"/>
      <c r="I37" s="1" t="s">
        <v>72</v>
      </c>
      <c r="J37" s="14">
        <f t="shared" si="5"/>
        <v>9.2978200000000052E-3</v>
      </c>
      <c r="K37" s="14">
        <f t="shared" si="5"/>
        <v>1.8162379999999999E-2</v>
      </c>
      <c r="L37" s="14">
        <f t="shared" si="5"/>
        <v>1.6532020000000001E-2</v>
      </c>
      <c r="M37" s="14">
        <f t="shared" si="5"/>
        <v>9.7788799999999967E-3</v>
      </c>
      <c r="N37" s="14">
        <f t="shared" si="5"/>
        <v>0.13674417</v>
      </c>
      <c r="O37" s="27"/>
    </row>
    <row r="38" spans="1:19" ht="15.75" customHeight="1">
      <c r="A38" s="1" t="s">
        <v>43</v>
      </c>
      <c r="B38" s="14">
        <f t="shared" si="4"/>
        <v>1.2316259999999999E-2</v>
      </c>
      <c r="C38" s="14">
        <f t="shared" si="4"/>
        <v>9.0568999999999997E-3</v>
      </c>
      <c r="D38" s="14">
        <f t="shared" si="4"/>
        <v>1.0981189999999998E-2</v>
      </c>
      <c r="E38" s="14">
        <f t="shared" si="4"/>
        <v>8.6032699999999997E-3</v>
      </c>
      <c r="F38" s="14">
        <f t="shared" si="4"/>
        <v>4.9003199999999997E-3</v>
      </c>
      <c r="G38" s="27"/>
      <c r="I38" s="1" t="s">
        <v>43</v>
      </c>
      <c r="J38" s="14">
        <f t="shared" si="5"/>
        <v>7.9543570000000008E-2</v>
      </c>
      <c r="K38" s="14">
        <f t="shared" si="5"/>
        <v>9.6183829999999998E-2</v>
      </c>
      <c r="L38" s="14">
        <f t="shared" si="5"/>
        <v>6.0275649999999993E-2</v>
      </c>
      <c r="M38" s="14">
        <f t="shared" si="5"/>
        <v>3.8435830000000004E-2</v>
      </c>
      <c r="N38" s="14">
        <f t="shared" si="5"/>
        <v>5.6079959999999998E-2</v>
      </c>
      <c r="O38" s="27"/>
    </row>
    <row r="39" spans="1:19" ht="15.75" customHeight="1">
      <c r="A39" s="1" t="s">
        <v>68</v>
      </c>
      <c r="B39" s="14">
        <f t="shared" si="4"/>
        <v>2.6832300000000017E-3</v>
      </c>
      <c r="C39" s="14">
        <f t="shared" si="4"/>
        <v>2.5525199999999991E-3</v>
      </c>
      <c r="D39" s="14">
        <f t="shared" si="4"/>
        <v>3.21850000000002E-4</v>
      </c>
      <c r="E39" s="14">
        <f t="shared" si="4"/>
        <v>1.6605299999999986E-3</v>
      </c>
      <c r="F39" s="14">
        <f t="shared" si="4"/>
        <v>4.8730999999999948E-4</v>
      </c>
      <c r="G39" s="27"/>
      <c r="I39" s="1" t="s">
        <v>68</v>
      </c>
      <c r="J39" s="14">
        <f t="shared" si="5"/>
        <v>1.4128739999999997E-2</v>
      </c>
      <c r="K39" s="14">
        <f t="shared" si="5"/>
        <v>1.088977E-2</v>
      </c>
      <c r="L39" s="14">
        <f t="shared" si="5"/>
        <v>3.4558100000000001E-3</v>
      </c>
      <c r="M39" s="14">
        <f t="shared" si="5"/>
        <v>2.8088199999999983E-3</v>
      </c>
      <c r="N39" s="14">
        <f t="shared" si="5"/>
        <v>2.2945299999999995E-3</v>
      </c>
      <c r="O39" s="27"/>
    </row>
    <row r="40" spans="1:19" ht="15.75" customHeight="1">
      <c r="A40" s="1" t="s">
        <v>333</v>
      </c>
      <c r="B40" s="14">
        <f t="shared" si="4"/>
        <v>2.6745199999999997E-3</v>
      </c>
      <c r="C40" s="14">
        <f t="shared" si="4"/>
        <v>3.011573E-2</v>
      </c>
      <c r="D40" s="14">
        <f t="shared" si="4"/>
        <v>2.7929310000000002E-2</v>
      </c>
      <c r="E40" s="14">
        <f t="shared" si="4"/>
        <v>2.5300310000000003E-2</v>
      </c>
      <c r="F40" s="14">
        <f t="shared" si="4"/>
        <v>2.2025259999999998E-2</v>
      </c>
      <c r="G40" s="27"/>
      <c r="I40" s="1" t="s">
        <v>333</v>
      </c>
      <c r="J40" s="14">
        <f t="shared" si="5"/>
        <v>2.6746100000000009E-3</v>
      </c>
      <c r="K40" s="14">
        <f t="shared" si="5"/>
        <v>3.011552E-2</v>
      </c>
      <c r="L40" s="14">
        <f t="shared" si="5"/>
        <v>2.7928760000000004E-2</v>
      </c>
      <c r="M40" s="14">
        <f t="shared" si="5"/>
        <v>2.5300180000000005E-2</v>
      </c>
      <c r="N40" s="14">
        <f t="shared" si="5"/>
        <v>2.2024950000000001E-2</v>
      </c>
      <c r="O40" s="27"/>
    </row>
    <row r="41" spans="1:19" ht="15.75" customHeight="1">
      <c r="A41" s="1" t="s">
        <v>76</v>
      </c>
      <c r="B41" s="14">
        <f t="shared" si="4"/>
        <v>7.2521900000000056E-3</v>
      </c>
      <c r="C41" s="14">
        <f t="shared" si="4"/>
        <v>4.8522800000000005E-3</v>
      </c>
      <c r="D41" s="14">
        <f t="shared" si="4"/>
        <v>5.087040000000001E-3</v>
      </c>
      <c r="E41" s="14">
        <f t="shared" si="4"/>
        <v>1.8992999999999788E-4</v>
      </c>
      <c r="F41" s="14">
        <f t="shared" si="4"/>
        <v>9.0630000000000224E-4</v>
      </c>
      <c r="G41" s="27"/>
      <c r="I41" s="1" t="s">
        <v>76</v>
      </c>
      <c r="J41" s="14">
        <f t="shared" si="5"/>
        <v>6.9710750000000002E-2</v>
      </c>
      <c r="K41" s="14">
        <f t="shared" si="5"/>
        <v>8.4239090000000003E-2</v>
      </c>
      <c r="L41" s="14">
        <f t="shared" si="5"/>
        <v>5.1135169999999994E-2</v>
      </c>
      <c r="M41" s="14">
        <f t="shared" si="5"/>
        <v>5.1057890000000002E-2</v>
      </c>
      <c r="N41" s="14">
        <f t="shared" si="5"/>
        <v>4.076163E-2</v>
      </c>
      <c r="O41" s="27"/>
    </row>
    <row r="42" spans="1:19" ht="15.75" customHeight="1">
      <c r="A42" s="1" t="s">
        <v>334</v>
      </c>
      <c r="B42" s="14">
        <f t="shared" si="4"/>
        <v>2.436859999999999E-3</v>
      </c>
      <c r="C42" s="14">
        <f t="shared" si="4"/>
        <v>2.9171300000000022E-3</v>
      </c>
      <c r="D42" s="14">
        <f t="shared" si="4"/>
        <v>3.1725900000000012E-3</v>
      </c>
      <c r="E42" s="14">
        <f t="shared" si="4"/>
        <v>3.6257300000000006E-3</v>
      </c>
      <c r="F42" s="14">
        <f t="shared" si="4"/>
        <v>3.4435000000000004E-3</v>
      </c>
      <c r="G42" s="27"/>
      <c r="I42" s="1" t="s">
        <v>334</v>
      </c>
      <c r="J42" s="14">
        <f t="shared" si="5"/>
        <v>2.436859999999999E-3</v>
      </c>
      <c r="K42" s="14">
        <f t="shared" si="5"/>
        <v>2.917040000000001E-3</v>
      </c>
      <c r="L42" s="14">
        <f t="shared" si="5"/>
        <v>3.1725800000000012E-3</v>
      </c>
      <c r="M42" s="14">
        <f t="shared" si="5"/>
        <v>3.6257500000000005E-3</v>
      </c>
      <c r="N42" s="14">
        <f t="shared" si="5"/>
        <v>3.4434600000000006E-3</v>
      </c>
      <c r="O42" s="27"/>
    </row>
    <row r="43" spans="1:19" ht="15.75" customHeight="1">
      <c r="A43" s="1" t="s">
        <v>70</v>
      </c>
      <c r="B43" s="14">
        <f t="shared" si="4"/>
        <v>1.0216999999999865E-4</v>
      </c>
      <c r="C43" s="14">
        <f t="shared" si="4"/>
        <v>6.38070000000001E-4</v>
      </c>
      <c r="D43" s="14">
        <f t="shared" si="4"/>
        <v>3.3448999999999979E-4</v>
      </c>
      <c r="E43" s="14">
        <f t="shared" si="4"/>
        <v>1.9073699999999985E-3</v>
      </c>
      <c r="F43" s="14">
        <f t="shared" si="4"/>
        <v>1.848869999999999E-3</v>
      </c>
      <c r="G43" s="27"/>
      <c r="I43" s="1" t="s">
        <v>70</v>
      </c>
      <c r="J43" s="14">
        <f t="shared" si="5"/>
        <v>2.1937299999999979E-3</v>
      </c>
      <c r="K43" s="14">
        <f t="shared" si="5"/>
        <v>1.9005999999999884E-4</v>
      </c>
      <c r="L43" s="14">
        <f t="shared" si="5"/>
        <v>5.5879999999997737E-5</v>
      </c>
      <c r="M43" s="14">
        <f t="shared" si="5"/>
        <v>1.2165000000000092E-4</v>
      </c>
      <c r="N43" s="14">
        <f t="shared" si="5"/>
        <v>5.3729999999998362E-5</v>
      </c>
      <c r="O43" s="27"/>
      <c r="R43" s="27"/>
      <c r="S43" s="27"/>
    </row>
    <row r="44" spans="1:19" ht="15.75" customHeight="1">
      <c r="A44" s="1" t="s">
        <v>80</v>
      </c>
      <c r="B44" s="14">
        <f t="shared" si="4"/>
        <v>2.1393500000000017E-3</v>
      </c>
      <c r="C44" s="14">
        <f t="shared" si="4"/>
        <v>1.2903800000000007E-3</v>
      </c>
      <c r="D44" s="14">
        <f t="shared" si="4"/>
        <v>2.093600000000001E-3</v>
      </c>
      <c r="E44" s="14">
        <f t="shared" si="4"/>
        <v>1.7253200000000007E-3</v>
      </c>
      <c r="F44" s="14">
        <f t="shared" si="4"/>
        <v>1.5304200000000011E-3</v>
      </c>
      <c r="G44" s="27"/>
      <c r="I44" s="1" t="s">
        <v>80</v>
      </c>
      <c r="J44" s="14">
        <f t="shared" si="5"/>
        <v>4.8751900000000015E-3</v>
      </c>
      <c r="K44" s="14">
        <f t="shared" si="5"/>
        <v>2.738100000000002E-3</v>
      </c>
      <c r="L44" s="14">
        <f t="shared" si="5"/>
        <v>2.1585800000000002E-3</v>
      </c>
      <c r="M44" s="14">
        <f t="shared" si="5"/>
        <v>1.1730300000000003E-3</v>
      </c>
      <c r="N44" s="14">
        <f t="shared" si="5"/>
        <v>1.1451900000000008E-3</v>
      </c>
      <c r="O44" s="27"/>
      <c r="R44" s="27"/>
      <c r="S44" s="27"/>
    </row>
    <row r="45" spans="1:19" ht="15.75" customHeight="1">
      <c r="A45" s="1" t="s">
        <v>77</v>
      </c>
      <c r="B45" s="14">
        <f t="shared" si="4"/>
        <v>7.51777E-3</v>
      </c>
      <c r="C45" s="14">
        <f t="shared" si="4"/>
        <v>4.7620799999999984E-3</v>
      </c>
      <c r="D45" s="14">
        <f t="shared" si="4"/>
        <v>7.0783900000000021E-3</v>
      </c>
      <c r="E45" s="14">
        <f t="shared" si="4"/>
        <v>5.6190000000000007E-3</v>
      </c>
      <c r="F45" s="14">
        <f t="shared" si="4"/>
        <v>4.3581699999999998E-3</v>
      </c>
      <c r="G45" s="27"/>
      <c r="I45" s="1" t="s">
        <v>77</v>
      </c>
      <c r="J45" s="14">
        <f t="shared" si="5"/>
        <v>9.8400000000000015E-3</v>
      </c>
      <c r="K45" s="14">
        <f t="shared" si="5"/>
        <v>6.186790000000001E-3</v>
      </c>
      <c r="L45" s="14">
        <f t="shared" si="5"/>
        <v>8.2558900000000001E-3</v>
      </c>
      <c r="M45" s="14">
        <f t="shared" si="5"/>
        <v>5.7027199999999997E-3</v>
      </c>
      <c r="N45" s="14">
        <f t="shared" si="5"/>
        <v>4.3206800000000004E-3</v>
      </c>
      <c r="O45" s="27"/>
      <c r="R45" s="27"/>
      <c r="S45" s="27"/>
    </row>
    <row r="46" spans="1:19" ht="15.75" customHeight="1">
      <c r="B46" s="14"/>
      <c r="C46" s="14"/>
      <c r="D46" s="14"/>
      <c r="E46" s="14"/>
      <c r="F46" s="14"/>
      <c r="J46" s="14"/>
      <c r="K46" s="14"/>
      <c r="L46" s="14"/>
      <c r="M46" s="14"/>
      <c r="N46" s="14"/>
      <c r="O46" s="27"/>
      <c r="R46" s="27"/>
      <c r="S46" s="27"/>
    </row>
    <row r="47" spans="1:19" ht="15.75" customHeight="1">
      <c r="A47" s="1" t="s">
        <v>276</v>
      </c>
      <c r="B47" s="14">
        <f t="shared" ref="B47:F47" si="6">AVERAGE(B36:B45)</f>
        <v>4.9869750000000011E-3</v>
      </c>
      <c r="C47" s="14">
        <f t="shared" si="6"/>
        <v>7.2393730000000021E-3</v>
      </c>
      <c r="D47" s="14">
        <f t="shared" si="6"/>
        <v>7.6212450000000004E-3</v>
      </c>
      <c r="E47" s="14">
        <f t="shared" si="6"/>
        <v>6.9080640000000002E-3</v>
      </c>
      <c r="F47" s="14">
        <f t="shared" si="6"/>
        <v>5.4990350000000011E-3</v>
      </c>
      <c r="I47" s="1" t="s">
        <v>276</v>
      </c>
      <c r="J47" s="14">
        <f t="shared" ref="J47:N47" si="7">AVERAGE(J36:J45)</f>
        <v>3.2614941000000001E-2</v>
      </c>
      <c r="K47" s="14">
        <f t="shared" si="7"/>
        <v>2.7632021999999999E-2</v>
      </c>
      <c r="L47" s="14">
        <f t="shared" si="7"/>
        <v>2.6777938000000001E-2</v>
      </c>
      <c r="M47" s="14">
        <f t="shared" si="7"/>
        <v>1.6122782000000002E-2</v>
      </c>
      <c r="N47" s="14">
        <f t="shared" si="7"/>
        <v>2.8942537000000001E-2</v>
      </c>
      <c r="O47" s="27"/>
      <c r="R47" s="27"/>
      <c r="S47" s="27"/>
    </row>
    <row r="48" spans="1:19" ht="15.75" customHeight="1">
      <c r="J48" s="27"/>
      <c r="K48" s="27"/>
      <c r="L48" s="27"/>
      <c r="M48" s="27"/>
      <c r="N48" s="27"/>
      <c r="O48" s="27"/>
      <c r="R48" s="27"/>
      <c r="S48" s="27"/>
    </row>
    <row r="49" spans="2:15" ht="15.75" customHeight="1">
      <c r="J49" s="27"/>
      <c r="K49" s="27"/>
      <c r="L49" s="27"/>
      <c r="M49" s="27"/>
      <c r="N49" s="27"/>
      <c r="O49" s="27"/>
    </row>
    <row r="50" spans="2:15" ht="15.75" customHeight="1">
      <c r="B50" s="27"/>
      <c r="C50" s="27"/>
      <c r="D50" s="27"/>
      <c r="E50" s="27"/>
      <c r="F50" s="27"/>
      <c r="G50" s="27"/>
      <c r="J50" s="27"/>
      <c r="K50" s="27"/>
      <c r="L50" s="27"/>
      <c r="M50" s="27"/>
      <c r="N50" s="27"/>
      <c r="O50" s="27"/>
    </row>
    <row r="51" spans="2:15" ht="15.75" customHeight="1">
      <c r="B51" s="27"/>
      <c r="C51" s="27"/>
      <c r="D51" s="27"/>
      <c r="E51" s="27"/>
      <c r="F51" s="27"/>
      <c r="G51" s="27"/>
      <c r="J51" s="27"/>
      <c r="K51" s="27"/>
      <c r="L51" s="27"/>
      <c r="M51" s="27"/>
      <c r="N51" s="27"/>
      <c r="O51" s="27"/>
    </row>
    <row r="52" spans="2:15" ht="15.75" customHeight="1">
      <c r="B52" s="27"/>
      <c r="C52" s="27"/>
      <c r="D52" s="27"/>
      <c r="E52" s="27"/>
      <c r="F52" s="27"/>
      <c r="G52" s="27"/>
      <c r="J52" s="27"/>
      <c r="K52" s="27"/>
      <c r="L52" s="27"/>
      <c r="M52" s="27"/>
      <c r="N52" s="27"/>
      <c r="O52" s="27"/>
    </row>
    <row r="53" spans="2:15" ht="15.75" customHeight="1">
      <c r="B53" s="27"/>
      <c r="C53" s="27"/>
      <c r="D53" s="27"/>
      <c r="E53" s="27"/>
      <c r="F53" s="27"/>
      <c r="G53" s="27"/>
      <c r="J53" s="27"/>
      <c r="K53" s="27"/>
      <c r="L53" s="27"/>
      <c r="M53" s="27"/>
      <c r="N53" s="27"/>
      <c r="O53" s="27"/>
    </row>
    <row r="54" spans="2:15" ht="15.75" customHeight="1">
      <c r="B54" s="27"/>
      <c r="C54" s="27"/>
      <c r="D54" s="27"/>
      <c r="E54" s="27"/>
      <c r="F54" s="27"/>
      <c r="G54" s="27"/>
      <c r="J54" s="27"/>
      <c r="K54" s="27"/>
      <c r="L54" s="27"/>
      <c r="M54" s="27"/>
      <c r="N54" s="27"/>
      <c r="O54" s="27"/>
    </row>
    <row r="55" spans="2:15" ht="15.75" customHeight="1">
      <c r="B55" s="27"/>
      <c r="C55" s="27"/>
      <c r="D55" s="27"/>
      <c r="E55" s="27"/>
      <c r="F55" s="27"/>
      <c r="G55" s="27"/>
      <c r="J55" s="27"/>
      <c r="K55" s="27"/>
      <c r="L55" s="27"/>
      <c r="M55" s="27"/>
      <c r="N55" s="27"/>
      <c r="O55" s="27"/>
    </row>
    <row r="56" spans="2:15" ht="15.75" customHeight="1">
      <c r="B56" s="27"/>
      <c r="C56" s="27"/>
      <c r="D56" s="27"/>
      <c r="E56" s="27"/>
      <c r="F56" s="27"/>
      <c r="G56" s="27"/>
      <c r="J56" s="27"/>
      <c r="K56" s="27"/>
      <c r="L56" s="27"/>
      <c r="M56" s="27"/>
      <c r="N56" s="27"/>
      <c r="O56" s="27"/>
    </row>
    <row r="57" spans="2:15" ht="15.75" customHeight="1">
      <c r="B57" s="27"/>
      <c r="C57" s="27"/>
      <c r="D57" s="27"/>
      <c r="E57" s="27"/>
      <c r="F57" s="27"/>
      <c r="G57" s="27"/>
      <c r="J57" s="27"/>
      <c r="K57" s="27"/>
      <c r="L57" s="27"/>
      <c r="M57" s="27"/>
      <c r="N57" s="27"/>
      <c r="O57" s="27"/>
    </row>
    <row r="58" spans="2:15" ht="15.75" customHeight="1">
      <c r="B58" s="27"/>
      <c r="C58" s="27"/>
      <c r="D58" s="27"/>
      <c r="E58" s="27"/>
      <c r="F58" s="27"/>
      <c r="G58" s="27"/>
      <c r="J58" s="27"/>
      <c r="K58" s="27"/>
      <c r="L58" s="27"/>
      <c r="M58" s="27"/>
      <c r="N58" s="27"/>
      <c r="O58" s="27"/>
    </row>
    <row r="59" spans="2:15" ht="15.75" customHeight="1">
      <c r="B59" s="27"/>
      <c r="C59" s="27"/>
      <c r="D59" s="27"/>
      <c r="E59" s="27"/>
      <c r="F59" s="27"/>
      <c r="G59" s="27"/>
      <c r="J59" s="27"/>
      <c r="K59" s="27"/>
      <c r="L59" s="27"/>
      <c r="M59" s="27"/>
      <c r="N59" s="27"/>
      <c r="O59" s="27"/>
    </row>
    <row r="60" spans="2:15" ht="15.75" customHeight="1">
      <c r="B60" s="27"/>
      <c r="C60" s="27"/>
      <c r="D60" s="27"/>
      <c r="E60" s="27"/>
      <c r="F60" s="27"/>
      <c r="G60" s="27"/>
      <c r="J60" s="27"/>
      <c r="K60" s="27"/>
      <c r="L60" s="27"/>
      <c r="M60" s="27"/>
      <c r="N60" s="27"/>
      <c r="O60" s="27"/>
    </row>
    <row r="61" spans="2:15" ht="15.75" customHeight="1">
      <c r="B61" s="27"/>
      <c r="C61" s="27"/>
      <c r="D61" s="27"/>
      <c r="E61" s="27"/>
      <c r="F61" s="27"/>
      <c r="G61" s="27"/>
    </row>
    <row r="62" spans="2:15" ht="15.75" customHeight="1">
      <c r="G62" s="27"/>
      <c r="I62" s="1" t="s">
        <v>276</v>
      </c>
      <c r="J62" s="27">
        <f t="shared" ref="J62:O62" si="8">AVERAGE(J36:J60)</f>
        <v>3.2614941000000001E-2</v>
      </c>
      <c r="K62" s="27">
        <f t="shared" si="8"/>
        <v>2.7632021999999999E-2</v>
      </c>
      <c r="L62" s="27">
        <f t="shared" si="8"/>
        <v>2.6777938000000001E-2</v>
      </c>
      <c r="M62" s="27">
        <f t="shared" si="8"/>
        <v>1.6122782000000002E-2</v>
      </c>
      <c r="N62" s="27">
        <f t="shared" si="8"/>
        <v>2.8942537000000001E-2</v>
      </c>
      <c r="O62" s="27" t="e">
        <f t="shared" si="8"/>
        <v>#DIV/0!</v>
      </c>
    </row>
    <row r="63" spans="2:15" ht="15.75" customHeight="1">
      <c r="B63" s="27"/>
      <c r="C63" s="27"/>
      <c r="D63" s="27"/>
      <c r="E63" s="27"/>
      <c r="F63" s="27"/>
      <c r="G63" s="27"/>
    </row>
    <row r="64" spans="2:15" ht="15.75" customHeight="1">
      <c r="I64" s="27"/>
      <c r="J64" s="27"/>
      <c r="K64" s="27"/>
      <c r="L64" s="27"/>
      <c r="M64" s="27"/>
      <c r="N64" s="27"/>
      <c r="O64" s="1" t="s">
        <v>339</v>
      </c>
    </row>
    <row r="65" spans="2:15" ht="15.75" customHeight="1">
      <c r="O65" s="1" t="s">
        <v>340</v>
      </c>
    </row>
    <row r="68" spans="2:15" ht="15.75" customHeight="1">
      <c r="J68" s="74"/>
    </row>
    <row r="69" spans="2:15" ht="15.75" customHeight="1">
      <c r="J69" s="74"/>
    </row>
    <row r="70" spans="2:15" ht="15.75" customHeight="1">
      <c r="J70" s="74"/>
    </row>
    <row r="71" spans="2:15" ht="15.75" customHeight="1">
      <c r="J71" s="74"/>
    </row>
    <row r="72" spans="2:15" ht="15.75" customHeight="1">
      <c r="J72" s="74"/>
    </row>
    <row r="73" spans="2:15" ht="15.75" customHeight="1">
      <c r="J73" s="74"/>
    </row>
    <row r="74" spans="2:15" ht="15.75" customHeight="1">
      <c r="J74" s="74"/>
    </row>
    <row r="78" spans="2:15" ht="15.75" customHeight="1">
      <c r="B78" s="27"/>
      <c r="C78" s="27"/>
      <c r="D78" s="27"/>
      <c r="E78" s="27"/>
      <c r="F78" s="27"/>
      <c r="G78" s="27"/>
    </row>
    <row r="79" spans="2:15" ht="15.75" customHeight="1">
      <c r="B79" s="27"/>
      <c r="C79" s="27"/>
      <c r="D79" s="27"/>
      <c r="E79" s="27"/>
      <c r="F79" s="27"/>
      <c r="G79" s="27"/>
      <c r="J79" s="27"/>
      <c r="K79" s="27"/>
      <c r="L79" s="27"/>
      <c r="M79" s="27"/>
      <c r="N79" s="27"/>
      <c r="O79" s="27"/>
    </row>
    <row r="80" spans="2:15" ht="15.75" customHeight="1">
      <c r="B80" s="27"/>
      <c r="C80" s="27"/>
      <c r="D80" s="27"/>
      <c r="E80" s="27"/>
      <c r="F80" s="27"/>
      <c r="G80" s="27"/>
      <c r="I80" s="74"/>
      <c r="J80" s="27"/>
    </row>
    <row r="81" spans="2:10" ht="15.75" customHeight="1">
      <c r="B81" s="27"/>
      <c r="C81" s="27"/>
      <c r="D81" s="27"/>
      <c r="E81" s="27"/>
      <c r="F81" s="27"/>
      <c r="G81" s="27"/>
      <c r="I81" s="74"/>
      <c r="J81" s="27"/>
    </row>
    <row r="82" spans="2:10" ht="15.75" customHeight="1">
      <c r="B82" s="27"/>
      <c r="C82" s="27"/>
      <c r="D82" s="27"/>
      <c r="E82" s="27"/>
      <c r="F82" s="27"/>
      <c r="G82" s="27"/>
      <c r="I82" s="74"/>
      <c r="J82" s="27"/>
    </row>
    <row r="83" spans="2:10" ht="15.75" customHeight="1">
      <c r="B83" s="27"/>
      <c r="C83" s="27"/>
      <c r="D83" s="27"/>
      <c r="E83" s="27"/>
      <c r="F83" s="27"/>
      <c r="G83" s="27"/>
      <c r="I83" s="74"/>
      <c r="J83" s="27"/>
    </row>
    <row r="84" spans="2:10" ht="15.75" customHeight="1">
      <c r="B84" s="27"/>
      <c r="C84" s="27"/>
      <c r="D84" s="27"/>
      <c r="E84" s="27"/>
      <c r="F84" s="27"/>
      <c r="G84" s="27"/>
      <c r="I84" s="74"/>
      <c r="J84" s="27"/>
    </row>
    <row r="85" spans="2:10" ht="15.75" customHeight="1">
      <c r="B85" s="27"/>
      <c r="C85" s="27"/>
      <c r="D85" s="27"/>
      <c r="E85" s="27"/>
      <c r="F85" s="27"/>
      <c r="G85" s="27"/>
      <c r="I85" s="74"/>
      <c r="J85" s="27"/>
    </row>
    <row r="86" spans="2:10" ht="15.75" customHeight="1">
      <c r="B86" s="27"/>
      <c r="C86" s="27"/>
      <c r="D86" s="27"/>
      <c r="E86" s="27"/>
      <c r="F86" s="27"/>
      <c r="G86" s="27"/>
    </row>
    <row r="87" spans="2:10" ht="15.75" customHeight="1">
      <c r="B87" s="27"/>
      <c r="C87" s="27"/>
      <c r="D87" s="27"/>
      <c r="E87" s="27"/>
      <c r="F87" s="27"/>
      <c r="G87" s="27"/>
    </row>
    <row r="88" spans="2:10" ht="15.75" customHeight="1">
      <c r="B88" s="27"/>
      <c r="C88" s="27"/>
      <c r="D88" s="27"/>
      <c r="E88" s="27"/>
      <c r="F88" s="27"/>
      <c r="G88" s="27"/>
    </row>
    <row r="89" spans="2:10" ht="15.75" customHeight="1">
      <c r="B89" s="27"/>
      <c r="C89" s="27"/>
      <c r="D89" s="27"/>
      <c r="E89" s="27"/>
      <c r="F89" s="27"/>
      <c r="G89" s="27"/>
    </row>
    <row r="90" spans="2:10" ht="15.75" customHeight="1">
      <c r="B90" s="27"/>
      <c r="C90" s="27"/>
      <c r="D90" s="27"/>
      <c r="E90" s="27"/>
      <c r="F90" s="27"/>
      <c r="G90" s="27"/>
    </row>
    <row r="91" spans="2:10" ht="15.75" customHeight="1">
      <c r="B91" s="27"/>
      <c r="C91" s="27"/>
      <c r="D91" s="27"/>
      <c r="E91" s="27"/>
      <c r="F91" s="27"/>
      <c r="G91" s="27"/>
    </row>
    <row r="92" spans="2:10" ht="15.75" customHeight="1">
      <c r="B92" s="27"/>
      <c r="C92" s="27"/>
      <c r="D92" s="27"/>
      <c r="E92" s="27"/>
      <c r="F92" s="27"/>
      <c r="G92" s="27"/>
    </row>
    <row r="93" spans="2:10" ht="15.75" customHeight="1">
      <c r="B93" s="27"/>
      <c r="C93" s="27"/>
      <c r="D93" s="27"/>
      <c r="E93" s="27"/>
      <c r="F93" s="27"/>
      <c r="G93" s="27"/>
    </row>
    <row r="94" spans="2:10" ht="15.75" customHeight="1">
      <c r="B94" s="27"/>
      <c r="C94" s="27"/>
      <c r="D94" s="27"/>
      <c r="E94" s="27"/>
      <c r="F94" s="27"/>
      <c r="G94" s="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AAD0-A392-4BDF-91A1-1B7615FB3A30}">
  <sheetPr>
    <outlinePr summaryBelow="0" summaryRight="0"/>
  </sheetPr>
  <dimension ref="A2:R43"/>
  <sheetViews>
    <sheetView workbookViewId="0"/>
  </sheetViews>
  <sheetFormatPr defaultColWidth="12.6640625" defaultRowHeight="15.75" customHeight="1"/>
  <cols>
    <col min="1" max="16384" width="12.6640625" style="2"/>
  </cols>
  <sheetData>
    <row r="2" spans="1:18" ht="15.75" customHeight="1">
      <c r="L2" s="1" t="s">
        <v>273</v>
      </c>
      <c r="M2" s="1" t="s">
        <v>278</v>
      </c>
      <c r="N2" s="1" t="s">
        <v>281</v>
      </c>
    </row>
    <row r="3" spans="1:18" ht="15.75" customHeight="1">
      <c r="L3" s="1" t="s">
        <v>283</v>
      </c>
      <c r="M3" s="1" t="s">
        <v>284</v>
      </c>
      <c r="N3" s="9" t="s">
        <v>285</v>
      </c>
    </row>
    <row r="4" spans="1:18" ht="15.75" customHeight="1">
      <c r="A4" s="1" t="s">
        <v>273</v>
      </c>
      <c r="B4" s="1" t="s">
        <v>282</v>
      </c>
      <c r="C4" s="1" t="s">
        <v>331</v>
      </c>
      <c r="D4" s="1" t="s">
        <v>282</v>
      </c>
      <c r="K4" s="1" t="s">
        <v>39</v>
      </c>
      <c r="L4" s="27">
        <v>3.1133733999999996E-2</v>
      </c>
      <c r="M4" s="27">
        <v>2.8621214999999998E-2</v>
      </c>
      <c r="N4" s="28">
        <v>4.9869750000000011E-3</v>
      </c>
    </row>
    <row r="5" spans="1:18" ht="15.75" customHeight="1">
      <c r="A5" s="1" t="s">
        <v>39</v>
      </c>
      <c r="B5" s="27">
        <v>3.1133733999999996E-2</v>
      </c>
      <c r="C5" s="74" t="s">
        <v>39</v>
      </c>
      <c r="D5" s="27">
        <v>6.0748784000000014E-2</v>
      </c>
      <c r="K5" s="1" t="s">
        <v>38</v>
      </c>
      <c r="L5" s="27">
        <v>2.3085557E-2</v>
      </c>
      <c r="M5" s="27">
        <v>2.4061330000000002E-2</v>
      </c>
      <c r="N5" s="28">
        <v>7.2393730000000021E-3</v>
      </c>
    </row>
    <row r="6" spans="1:18" ht="15.75" customHeight="1">
      <c r="A6" s="1" t="s">
        <v>38</v>
      </c>
      <c r="B6" s="27">
        <v>2.3085557E-2</v>
      </c>
      <c r="C6" s="74" t="s">
        <v>38</v>
      </c>
      <c r="D6" s="27">
        <v>4.5086840000000003E-2</v>
      </c>
      <c r="K6" s="1" t="s">
        <v>40</v>
      </c>
      <c r="L6" s="27">
        <v>2.6526242999999998E-2</v>
      </c>
      <c r="M6" s="27">
        <v>2.6142786000000001E-2</v>
      </c>
      <c r="N6" s="28">
        <v>7.6212450000000004E-3</v>
      </c>
    </row>
    <row r="7" spans="1:18" ht="15.75" customHeight="1">
      <c r="A7" s="1" t="s">
        <v>40</v>
      </c>
      <c r="B7" s="27">
        <v>2.6526242999999998E-2</v>
      </c>
      <c r="C7" s="74" t="s">
        <v>40</v>
      </c>
      <c r="D7" s="27">
        <v>4.668928E-2</v>
      </c>
      <c r="K7" s="1" t="s">
        <v>63</v>
      </c>
      <c r="L7" s="27">
        <v>2.2542802000000001E-2</v>
      </c>
      <c r="M7" s="27">
        <v>2.1457932000000002E-2</v>
      </c>
      <c r="N7" s="28">
        <v>6.9080640000000002E-3</v>
      </c>
    </row>
    <row r="8" spans="1:18" ht="15.75" customHeight="1">
      <c r="A8" s="1" t="s">
        <v>63</v>
      </c>
      <c r="B8" s="27">
        <v>2.2542802000000001E-2</v>
      </c>
      <c r="C8" s="74" t="s">
        <v>63</v>
      </c>
      <c r="D8" s="27">
        <v>3.1771197999999994E-2</v>
      </c>
      <c r="K8" s="1" t="s">
        <v>265</v>
      </c>
      <c r="L8" s="27">
        <v>1.7439823E-2</v>
      </c>
      <c r="M8" s="27">
        <v>1.7034539999999997E-2</v>
      </c>
      <c r="N8" s="28">
        <v>5.4990350000000011E-3</v>
      </c>
    </row>
    <row r="9" spans="1:18" ht="15.75" customHeight="1">
      <c r="A9" s="1" t="s">
        <v>265</v>
      </c>
      <c r="B9" s="27">
        <v>1.7439823E-2</v>
      </c>
      <c r="C9" s="74" t="s">
        <v>265</v>
      </c>
      <c r="D9" s="27">
        <v>4.0883395000000003E-2</v>
      </c>
      <c r="K9" s="27"/>
    </row>
    <row r="10" spans="1:18" ht="15.75" customHeight="1">
      <c r="C10" s="74"/>
      <c r="K10" s="27"/>
      <c r="L10" s="27"/>
      <c r="M10" s="27"/>
      <c r="N10" s="27"/>
      <c r="O10" s="27"/>
      <c r="P10" s="27"/>
      <c r="Q10" s="27"/>
      <c r="R10" s="27"/>
    </row>
    <row r="11" spans="1:18" ht="15.75" customHeight="1">
      <c r="C11" s="74"/>
    </row>
    <row r="13" spans="1:18" ht="15.75" customHeight="1">
      <c r="A13" s="1" t="s">
        <v>278</v>
      </c>
      <c r="B13" s="1" t="s">
        <v>282</v>
      </c>
    </row>
    <row r="14" spans="1:18" ht="15.75" customHeight="1">
      <c r="A14" s="1" t="s">
        <v>39</v>
      </c>
      <c r="B14" s="27">
        <v>2.8621214999999998E-2</v>
      </c>
    </row>
    <row r="15" spans="1:18" ht="15.75" customHeight="1">
      <c r="A15" s="1" t="s">
        <v>38</v>
      </c>
      <c r="B15" s="27">
        <v>2.4061330000000002E-2</v>
      </c>
      <c r="C15" s="74"/>
    </row>
    <row r="16" spans="1:18" ht="15.75" customHeight="1">
      <c r="A16" s="1" t="s">
        <v>40</v>
      </c>
      <c r="B16" s="27">
        <v>2.6142786000000001E-2</v>
      </c>
      <c r="C16" s="74"/>
    </row>
    <row r="17" spans="1:5" ht="15.75" customHeight="1">
      <c r="A17" s="1" t="s">
        <v>63</v>
      </c>
      <c r="B17" s="27">
        <v>2.1457932000000002E-2</v>
      </c>
      <c r="C17" s="74"/>
    </row>
    <row r="18" spans="1:5" ht="15.75" customHeight="1">
      <c r="A18" s="1" t="s">
        <v>265</v>
      </c>
      <c r="B18" s="27">
        <v>1.7034539999999997E-2</v>
      </c>
      <c r="C18" s="74"/>
    </row>
    <row r="19" spans="1:5" ht="15.75" customHeight="1">
      <c r="C19" s="74"/>
    </row>
    <row r="20" spans="1:5" ht="15.75" customHeight="1">
      <c r="C20" s="74"/>
    </row>
    <row r="21" spans="1:5" ht="15.75" customHeight="1">
      <c r="A21" s="27"/>
      <c r="B21" s="27"/>
      <c r="C21" s="27"/>
      <c r="D21" s="27"/>
      <c r="E21" s="27"/>
    </row>
    <row r="23" spans="1:5" ht="15.75" customHeight="1">
      <c r="B23" s="74"/>
      <c r="C23" s="74"/>
    </row>
    <row r="24" spans="1:5" ht="15.75" customHeight="1">
      <c r="B24" s="74"/>
      <c r="C24" s="74"/>
    </row>
    <row r="25" spans="1:5" ht="15.75" customHeight="1">
      <c r="C25" s="74"/>
    </row>
    <row r="26" spans="1:5" ht="15.75" customHeight="1">
      <c r="B26" s="74"/>
      <c r="C26" s="74"/>
    </row>
    <row r="27" spans="1:5" ht="15.75" customHeight="1">
      <c r="B27" s="74"/>
      <c r="C27" s="74"/>
    </row>
    <row r="28" spans="1:5" ht="15.75" customHeight="1">
      <c r="B28" s="74"/>
      <c r="C28" s="74"/>
    </row>
    <row r="29" spans="1:5" ht="15.75" customHeight="1">
      <c r="B29" s="74"/>
      <c r="C29" s="74"/>
    </row>
    <row r="32" spans="1:5" ht="15.75" customHeight="1">
      <c r="A32" s="27"/>
      <c r="B32" s="27"/>
      <c r="C32" s="27"/>
      <c r="D32" s="27"/>
      <c r="E32" s="27"/>
    </row>
    <row r="33" spans="1:15" ht="15.75" customHeight="1">
      <c r="L33" s="1" t="s">
        <v>331</v>
      </c>
      <c r="M33" s="1" t="s">
        <v>278</v>
      </c>
      <c r="N33" s="1" t="s">
        <v>281</v>
      </c>
    </row>
    <row r="34" spans="1:15" ht="15.75" customHeight="1">
      <c r="L34" s="1" t="s">
        <v>283</v>
      </c>
      <c r="M34" s="1" t="s">
        <v>284</v>
      </c>
      <c r="N34" s="1" t="s">
        <v>285</v>
      </c>
    </row>
    <row r="35" spans="1:15" ht="15.75" customHeight="1">
      <c r="K35" s="1" t="s">
        <v>39</v>
      </c>
      <c r="L35" s="27">
        <v>6.0748784000000014E-2</v>
      </c>
      <c r="M35" s="27">
        <v>2.8621214999999998E-2</v>
      </c>
      <c r="N35" s="27">
        <v>3.2614941000000001E-2</v>
      </c>
    </row>
    <row r="36" spans="1:15" ht="15.75" customHeight="1">
      <c r="K36" s="1" t="s">
        <v>38</v>
      </c>
      <c r="L36" s="27">
        <v>4.5086840000000003E-2</v>
      </c>
      <c r="M36" s="27">
        <v>2.4061330000000002E-2</v>
      </c>
      <c r="N36" s="27">
        <v>2.7632021999999999E-2</v>
      </c>
    </row>
    <row r="37" spans="1:15" ht="15.75" customHeight="1">
      <c r="K37" s="1" t="s">
        <v>40</v>
      </c>
      <c r="L37" s="27">
        <v>4.668928E-2</v>
      </c>
      <c r="M37" s="27">
        <v>2.6142786000000001E-2</v>
      </c>
      <c r="N37" s="27">
        <v>2.6777938000000001E-2</v>
      </c>
    </row>
    <row r="38" spans="1:15" ht="15.75" customHeight="1">
      <c r="K38" s="1" t="s">
        <v>63</v>
      </c>
      <c r="L38" s="27">
        <v>3.1771197999999994E-2</v>
      </c>
      <c r="M38" s="27">
        <v>2.1457932000000002E-2</v>
      </c>
      <c r="N38" s="27">
        <v>1.6122782000000002E-2</v>
      </c>
    </row>
    <row r="39" spans="1:15" ht="15.75" customHeight="1">
      <c r="A39" s="27"/>
      <c r="B39" s="27"/>
      <c r="C39" s="27"/>
      <c r="D39" s="27"/>
      <c r="E39" s="27"/>
      <c r="K39" s="1" t="s">
        <v>265</v>
      </c>
      <c r="L39" s="27">
        <v>4.0883395000000003E-2</v>
      </c>
      <c r="M39" s="27">
        <v>2.3286822999999998E-2</v>
      </c>
      <c r="N39" s="27">
        <v>2.8942537000000001E-2</v>
      </c>
    </row>
    <row r="43" spans="1:15" ht="15.75" customHeight="1">
      <c r="K43" s="27"/>
      <c r="L43" s="27"/>
      <c r="M43" s="27"/>
      <c r="N43" s="27"/>
      <c r="O43" s="2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4EB9-A135-4D0A-953A-D1AF985E7B82}">
  <sheetPr>
    <outlinePr summaryBelow="0" summaryRight="0"/>
  </sheetPr>
  <dimension ref="A1:Q45"/>
  <sheetViews>
    <sheetView workbookViewId="0"/>
  </sheetViews>
  <sheetFormatPr defaultColWidth="12.6640625" defaultRowHeight="15.75" customHeight="1"/>
  <cols>
    <col min="1" max="1" width="15.109375" style="2" customWidth="1"/>
    <col min="2" max="8" width="12.6640625" style="2"/>
    <col min="9" max="9" width="22.77734375" style="2" customWidth="1"/>
    <col min="10" max="16384" width="12.6640625" style="2"/>
  </cols>
  <sheetData>
    <row r="1" spans="1:14" ht="15.75" customHeight="1">
      <c r="A1" s="1" t="s">
        <v>341</v>
      </c>
      <c r="C1" s="71" t="s">
        <v>314</v>
      </c>
      <c r="D1" s="5"/>
      <c r="E1" s="5"/>
      <c r="F1" s="5"/>
      <c r="G1" s="5"/>
      <c r="H1" s="5"/>
    </row>
    <row r="2" spans="1:14" ht="15.75" customHeight="1">
      <c r="A2" s="1" t="s">
        <v>342</v>
      </c>
      <c r="B2" s="1" t="s">
        <v>315</v>
      </c>
      <c r="C2" s="1" t="s">
        <v>343</v>
      </c>
      <c r="D2" s="1" t="s">
        <v>344</v>
      </c>
      <c r="E2" s="98" t="s">
        <v>345</v>
      </c>
      <c r="F2" s="1" t="s">
        <v>346</v>
      </c>
      <c r="G2" s="1" t="s">
        <v>347</v>
      </c>
      <c r="J2" s="1" t="s">
        <v>309</v>
      </c>
      <c r="K2" s="1" t="s">
        <v>315</v>
      </c>
      <c r="L2" s="1" t="s">
        <v>310</v>
      </c>
      <c r="M2" s="1">
        <v>0.02</v>
      </c>
      <c r="N2" s="1" t="s">
        <v>311</v>
      </c>
    </row>
    <row r="3" spans="1:14" ht="15.75" customHeight="1">
      <c r="A3" s="1" t="s">
        <v>41</v>
      </c>
      <c r="B3" s="77" t="b">
        <f>'SFigure26-Data-4-T1-repeat'!B5 &gt; 0.02</f>
        <v>1</v>
      </c>
      <c r="C3" s="77" t="b">
        <f>'SFigure26-Data-4-T1-repeat'!C5 &gt; 0.02</f>
        <v>1</v>
      </c>
      <c r="D3" s="77" t="b">
        <f>'SFigure26-Data-4-T1-repeat'!D5 &gt; 0.026</f>
        <v>1</v>
      </c>
      <c r="E3" s="77" t="b">
        <f>'SFigure26-Data-4-T1-repeat'!E5 &gt; 0.022</f>
        <v>1</v>
      </c>
      <c r="F3" s="77" t="b">
        <f>'SFigure26-Data-4-T1-repeat'!F5 &gt; 0.022</f>
        <v>1</v>
      </c>
      <c r="G3" s="77" t="b">
        <f>'SFigure26-Data-4-T1-repeat'!G5 &gt; 0.027</f>
        <v>1</v>
      </c>
      <c r="J3" s="1" t="s">
        <v>309</v>
      </c>
      <c r="K3" s="1" t="s">
        <v>317</v>
      </c>
      <c r="L3" s="1" t="s">
        <v>310</v>
      </c>
      <c r="M3" s="14">
        <v>2.0208333333333335E-2</v>
      </c>
      <c r="N3" s="1" t="s">
        <v>311</v>
      </c>
    </row>
    <row r="4" spans="1:14" ht="15.75" customHeight="1">
      <c r="A4" s="1" t="s">
        <v>43</v>
      </c>
      <c r="B4" s="77" t="b">
        <f>'SFigure26-Data-4-T1-repeat'!B6 &gt; 0.02</f>
        <v>1</v>
      </c>
      <c r="C4" s="77" t="b">
        <f>'SFigure26-Data-4-T1-repeat'!C6 &gt; 0.02</f>
        <v>1</v>
      </c>
      <c r="D4" s="78" t="b">
        <f>'SFigure26-Data-4-T1-repeat'!D6 &gt; 0.026</f>
        <v>0</v>
      </c>
      <c r="E4" s="77" t="b">
        <f>'SFigure26-Data-4-T1-repeat'!E6 &gt; 0.022</f>
        <v>1</v>
      </c>
      <c r="F4" s="78" t="b">
        <f>'SFigure26-Data-4-T1-repeat'!F6 &gt; 0.022</f>
        <v>0</v>
      </c>
      <c r="G4" s="77" t="b">
        <f>'SFigure26-Data-4-T1-repeat'!G6 &gt; 0.027</f>
        <v>0</v>
      </c>
      <c r="H4" s="1" t="s">
        <v>348</v>
      </c>
      <c r="J4" s="1" t="s">
        <v>309</v>
      </c>
      <c r="K4" s="1" t="s">
        <v>318</v>
      </c>
      <c r="L4" s="1" t="s">
        <v>310</v>
      </c>
      <c r="M4" s="14">
        <v>2.6380000000000001E-2</v>
      </c>
      <c r="N4" s="1" t="s">
        <v>311</v>
      </c>
    </row>
    <row r="5" spans="1:14" ht="15.75" customHeight="1">
      <c r="A5" s="1" t="s">
        <v>72</v>
      </c>
      <c r="B5" s="77" t="b">
        <f>'SFigure26-Data-4-T1-repeat'!B9 &gt; 0.02</f>
        <v>1</v>
      </c>
      <c r="C5" s="78" t="b">
        <f>'SFigure26-Data-4-T1-repeat'!C9 &gt; 0.02</f>
        <v>0</v>
      </c>
      <c r="D5" s="78" t="b">
        <f>'SFigure26-Data-4-T1-repeat'!D9 &gt; 0.026</f>
        <v>0</v>
      </c>
      <c r="E5" s="78" t="b">
        <f>'SFigure26-Data-4-T1-repeat'!E9 &gt; 0.022</f>
        <v>0</v>
      </c>
      <c r="F5" s="78" t="b">
        <f>'SFigure26-Data-4-T1-repeat'!F9 &gt; 0.022</f>
        <v>0</v>
      </c>
      <c r="G5" s="78" t="b">
        <f>'SFigure26-Data-4-T1-repeat'!G9 &gt; 0.027</f>
        <v>0</v>
      </c>
      <c r="J5" s="1" t="s">
        <v>309</v>
      </c>
      <c r="K5" s="1" t="s">
        <v>319</v>
      </c>
      <c r="L5" s="1" t="s">
        <v>310</v>
      </c>
      <c r="M5" s="14">
        <v>2.1730158730158732E-2</v>
      </c>
      <c r="N5" s="1" t="s">
        <v>311</v>
      </c>
    </row>
    <row r="6" spans="1:14" ht="15.75" customHeight="1">
      <c r="A6" s="1" t="s">
        <v>76</v>
      </c>
      <c r="B6" s="77" t="b">
        <f>'SFigure26-Data-4-T1-repeat'!B10 &gt; 0.02</f>
        <v>1</v>
      </c>
      <c r="C6" s="77" t="b">
        <f>'SFigure26-Data-4-T1-repeat'!C10 &gt; 0.02</f>
        <v>1</v>
      </c>
      <c r="D6" s="77" t="b">
        <f>'SFigure26-Data-4-T1-repeat'!D10 &gt; 0.026</f>
        <v>1</v>
      </c>
      <c r="E6" s="77" t="b">
        <f>'SFigure26-Data-4-T1-repeat'!E10 &gt; 0.022</f>
        <v>1</v>
      </c>
      <c r="F6" s="77" t="b">
        <f>'SFigure26-Data-4-T1-repeat'!F10 &gt; 0.022</f>
        <v>1</v>
      </c>
      <c r="G6" s="77" t="b">
        <f>'SFigure26-Data-4-T1-repeat'!G10 &gt; 0.027</f>
        <v>1</v>
      </c>
      <c r="J6" s="1" t="s">
        <v>309</v>
      </c>
      <c r="K6" s="1" t="s">
        <v>320</v>
      </c>
      <c r="L6" s="1" t="s">
        <v>310</v>
      </c>
      <c r="M6" s="14">
        <v>3.0292929292929295E-2</v>
      </c>
      <c r="N6" s="1" t="s">
        <v>311</v>
      </c>
    </row>
    <row r="7" spans="1:14" ht="15.75" customHeight="1">
      <c r="C7" s="71" t="s">
        <v>349</v>
      </c>
      <c r="D7" s="5"/>
      <c r="E7" s="5"/>
      <c r="F7" s="5"/>
      <c r="G7" s="5"/>
      <c r="H7" s="5"/>
      <c r="J7" s="1" t="s">
        <v>309</v>
      </c>
      <c r="K7" s="1" t="s">
        <v>321</v>
      </c>
      <c r="L7" s="1" t="s">
        <v>310</v>
      </c>
      <c r="M7" s="14">
        <v>2.1950764006791173E-2</v>
      </c>
      <c r="N7" s="1" t="s">
        <v>311</v>
      </c>
    </row>
    <row r="8" spans="1:14" ht="15.75" customHeight="1">
      <c r="A8" s="1" t="s">
        <v>350</v>
      </c>
      <c r="B8" s="1" t="s">
        <v>315</v>
      </c>
      <c r="C8" s="1" t="s">
        <v>343</v>
      </c>
      <c r="D8" s="1" t="s">
        <v>344</v>
      </c>
      <c r="E8" s="98" t="s">
        <v>345</v>
      </c>
      <c r="F8" s="1" t="s">
        <v>346</v>
      </c>
      <c r="G8" s="1" t="s">
        <v>347</v>
      </c>
      <c r="J8" s="1" t="s">
        <v>309</v>
      </c>
      <c r="K8" s="1" t="s">
        <v>322</v>
      </c>
      <c r="L8" s="1" t="s">
        <v>310</v>
      </c>
      <c r="M8" s="14">
        <v>2.7497607655502396E-2</v>
      </c>
      <c r="N8" s="1" t="s">
        <v>311</v>
      </c>
    </row>
    <row r="9" spans="1:14" ht="15.75" customHeight="1">
      <c r="A9" s="1" t="s">
        <v>68</v>
      </c>
      <c r="B9" s="77" t="b">
        <f>'SFigure26-Data-4-T1-repeat'!B20 &gt; 0.02</f>
        <v>1</v>
      </c>
      <c r="C9" s="77" t="b">
        <f>'SFigure26-Data-4-T1-repeat'!C20 &gt; 0.02</f>
        <v>1</v>
      </c>
      <c r="D9" s="77" t="b">
        <f>'SFigure26-Data-4-T1-repeat'!D20 &gt; 0.026</f>
        <v>0</v>
      </c>
      <c r="E9" s="77" t="b">
        <f>'SFigure26-Data-4-T1-repeat'!E20 &gt; 0.022</f>
        <v>1</v>
      </c>
      <c r="F9" s="77" t="b">
        <f>'SFigure26-Data-4-T1-repeat'!F20 &gt; 0.022</f>
        <v>1</v>
      </c>
      <c r="G9" s="77" t="b">
        <f>'SFigure26-Data-4-T1-repeat'!G20 &gt; 0.027</f>
        <v>1</v>
      </c>
    </row>
    <row r="10" spans="1:14" ht="15.75" customHeight="1">
      <c r="A10" s="1" t="s">
        <v>77</v>
      </c>
      <c r="B10" s="77" t="b">
        <f>'SFigure26-Data-4-T1-repeat'!B24 &gt; 0.02</f>
        <v>1</v>
      </c>
      <c r="C10" s="78" t="b">
        <f>'SFigure26-Data-4-T1-repeat'!C24 &gt; 0.02</f>
        <v>0</v>
      </c>
      <c r="D10" s="78" t="b">
        <f>'SFigure26-Data-4-T1-repeat'!D24 &gt; 0.026</f>
        <v>0</v>
      </c>
      <c r="E10" s="78" t="b">
        <f>'SFigure26-Data-4-T1-repeat'!E24 &gt; 0.022</f>
        <v>0</v>
      </c>
      <c r="F10" s="78" t="b">
        <f>'SFigure26-Data-4-T1-repeat'!F24 &gt; 0.022</f>
        <v>0</v>
      </c>
      <c r="G10" s="78" t="b">
        <f>'SFigure26-Data-4-T1-repeat'!G24 &gt; 0.027</f>
        <v>0</v>
      </c>
      <c r="J10" s="1" t="s">
        <v>309</v>
      </c>
      <c r="K10" s="1" t="s">
        <v>351</v>
      </c>
      <c r="L10" s="1" t="s">
        <v>310</v>
      </c>
      <c r="M10" s="14">
        <v>2.1730158730158732E-2</v>
      </c>
      <c r="N10" s="1" t="s">
        <v>311</v>
      </c>
    </row>
    <row r="11" spans="1:14" ht="15.75" customHeight="1">
      <c r="A11" s="1" t="s">
        <v>70</v>
      </c>
      <c r="B11" s="77" t="b">
        <f>'SFigure26-Data-4-T1-repeat'!B21 &gt; 0.02</f>
        <v>1</v>
      </c>
      <c r="C11" s="77" t="b">
        <f>'SFigure26-Data-4-T1-repeat'!C21 &gt; 0.02</f>
        <v>1</v>
      </c>
      <c r="D11" s="78" t="b">
        <f>'SFigure26-Data-4-T1-repeat'!D21 &gt; 0.026</f>
        <v>0</v>
      </c>
      <c r="E11" s="77" t="b">
        <f>'SFigure26-Data-4-T1-repeat'!E21 &gt; 0.022</f>
        <v>0</v>
      </c>
      <c r="F11" s="78" t="b">
        <f>'SFigure26-Data-4-T1-repeat'!F21 &gt; 0.022</f>
        <v>0</v>
      </c>
      <c r="G11" s="78" t="b">
        <f>'SFigure26-Data-4-T1-repeat'!G21 &gt; 0.027</f>
        <v>0</v>
      </c>
      <c r="L11" s="98" t="s">
        <v>352</v>
      </c>
    </row>
    <row r="12" spans="1:14" ht="15.75" customHeight="1">
      <c r="A12" s="1" t="s">
        <v>80</v>
      </c>
      <c r="B12" s="78" t="b">
        <f>'SFigure26-Data-4-T1-repeat'!B25 &gt; 0.02</f>
        <v>0</v>
      </c>
      <c r="C12" s="77" t="b">
        <f>'SFigure26-Data-4-T1-repeat'!C25 &gt; 0.02</f>
        <v>1</v>
      </c>
      <c r="D12" s="78" t="b">
        <f>'SFigure26-Data-4-T1-repeat'!D25 &gt; 0.026</f>
        <v>0</v>
      </c>
      <c r="E12" s="78" t="b">
        <f>'SFigure26-Data-4-T1-repeat'!E25 &gt; 0.022</f>
        <v>0</v>
      </c>
      <c r="F12" s="78" t="b">
        <f>'SFigure26-Data-4-T1-repeat'!F25 &gt; 0.022</f>
        <v>0</v>
      </c>
      <c r="G12" s="78" t="b">
        <f>'SFigure26-Data-4-T1-repeat'!G25 &gt; 0.027</f>
        <v>0</v>
      </c>
    </row>
    <row r="13" spans="1:14" ht="15.75" customHeight="1">
      <c r="C13" s="72"/>
      <c r="D13" s="72"/>
      <c r="E13" s="72"/>
      <c r="F13" s="72"/>
      <c r="G13" s="72"/>
      <c r="H13" s="72"/>
    </row>
    <row r="14" spans="1:14" ht="15.75" customHeight="1">
      <c r="C14" s="71" t="s">
        <v>353</v>
      </c>
      <c r="D14" s="5"/>
      <c r="E14" s="5"/>
      <c r="F14" s="5"/>
      <c r="G14" s="5"/>
      <c r="H14" s="5"/>
    </row>
    <row r="15" spans="1:14" ht="15.75" customHeight="1">
      <c r="A15" s="1" t="s">
        <v>350</v>
      </c>
      <c r="B15" s="1" t="s">
        <v>315</v>
      </c>
      <c r="C15" s="1" t="s">
        <v>343</v>
      </c>
      <c r="D15" s="1" t="s">
        <v>344</v>
      </c>
      <c r="E15" s="98" t="s">
        <v>345</v>
      </c>
      <c r="F15" s="1" t="s">
        <v>346</v>
      </c>
      <c r="G15" s="1" t="s">
        <v>347</v>
      </c>
    </row>
    <row r="16" spans="1:14" ht="15.75" customHeight="1">
      <c r="A16" s="1" t="s">
        <v>68</v>
      </c>
      <c r="B16" s="78" t="b">
        <f>'SFigure26-Data-4-T1-repeat'!B7 &gt; 0.02</f>
        <v>0</v>
      </c>
      <c r="C16" s="78" t="b">
        <f>'SFigure26-Data-4-T1-repeat'!C7 &gt; 0.02</f>
        <v>0</v>
      </c>
      <c r="D16" s="78" t="b">
        <f>'SFigure26-Data-4-T1-repeat'!D7 &gt; 0.026</f>
        <v>0</v>
      </c>
      <c r="E16" s="78" t="b">
        <f>'SFigure26-Data-4-T1-repeat'!E7 &gt; 0.022</f>
        <v>0</v>
      </c>
      <c r="F16" s="78" t="b">
        <f>'SFigure26-Data-4-T1-repeat'!F7 &gt; 0.022</f>
        <v>0</v>
      </c>
      <c r="G16" s="78" t="b">
        <f>'SFigure26-Data-4-T1-repeat'!G7 &gt; 0.027</f>
        <v>0</v>
      </c>
    </row>
    <row r="17" spans="1:17" ht="15.75" customHeight="1">
      <c r="A17" s="1" t="s">
        <v>77</v>
      </c>
      <c r="B17" s="77" t="b">
        <f>'SFigure26-Data-4-T1-repeat'!B11&gt; 0.02</f>
        <v>1</v>
      </c>
      <c r="C17" s="78" t="b">
        <f>'SFigure26-Data-4-T1-repeat'!C11&gt; 0.02</f>
        <v>0</v>
      </c>
      <c r="D17" s="78" t="b">
        <f>'SFigure26-Data-4-T1-repeat'!D11 &gt; 0.026</f>
        <v>0</v>
      </c>
      <c r="E17" s="78" t="b">
        <f>'SFigure26-Data-4-T1-repeat'!E11 &gt; 0.022</f>
        <v>0</v>
      </c>
      <c r="F17" s="78" t="b">
        <f>'SFigure26-Data-4-T1-repeat'!F11 &gt; 0.022</f>
        <v>0</v>
      </c>
      <c r="G17" s="78" t="b">
        <f>'SFigure26-Data-4-T1-repeat'!G11&gt; 0.027</f>
        <v>0</v>
      </c>
    </row>
    <row r="18" spans="1:17" ht="15.75" customHeight="1">
      <c r="A18" s="1" t="s">
        <v>70</v>
      </c>
      <c r="B18" s="77" t="b">
        <f>'SFigure26-Data-4-T1-repeat'!B8&gt; 0.02</f>
        <v>1</v>
      </c>
      <c r="C18" s="77" t="b">
        <f>'SFigure26-Data-4-T1-repeat'!C8&gt; 0.02</f>
        <v>1</v>
      </c>
      <c r="D18" s="78" t="b">
        <f>'SFigure26-Data-4-T1-repeat'!D8 &gt; 0.026</f>
        <v>0</v>
      </c>
      <c r="E18" s="78" t="b">
        <f>'SFigure26-Data-4-T1-repeat'!E8 &gt; 0.022</f>
        <v>0</v>
      </c>
      <c r="F18" s="78" t="b">
        <f>'SFigure26-Data-4-T1-repeat'!F8 &gt; 0.022</f>
        <v>0</v>
      </c>
      <c r="G18" s="78" t="b">
        <f>'SFigure26-Data-4-T1-repeat'!G8&gt; 0.027</f>
        <v>0</v>
      </c>
    </row>
    <row r="19" spans="1:17" ht="15.75" customHeight="1">
      <c r="A19" s="1" t="s">
        <v>80</v>
      </c>
      <c r="B19" s="78" t="b">
        <f>'SFigure26-Data-4-T1-repeat'!B12&gt; 0.02</f>
        <v>0</v>
      </c>
      <c r="C19" s="77" t="b">
        <f>'SFigure26-Data-4-T1-repeat'!C12&gt; 0.02</f>
        <v>1</v>
      </c>
      <c r="D19" s="78" t="b">
        <f>'SFigure26-Data-4-T1-repeat'!D12 &gt; 0.026</f>
        <v>0</v>
      </c>
      <c r="E19" s="78" t="b">
        <f>'SFigure26-Data-4-T1-repeat'!E12 &gt; 0.022</f>
        <v>0</v>
      </c>
      <c r="F19" s="78" t="b">
        <f>'SFigure26-Data-4-T1-repeat'!F12 &gt; 0.022</f>
        <v>0</v>
      </c>
      <c r="G19" s="78" t="b">
        <f>'SFigure26-Data-4-T1-repeat'!G12&gt; 0.027</f>
        <v>0</v>
      </c>
    </row>
    <row r="22" spans="1:17" ht="15.75" customHeight="1">
      <c r="A22" s="99" t="s">
        <v>354</v>
      </c>
      <c r="C22" s="71" t="s">
        <v>314</v>
      </c>
      <c r="D22" s="5"/>
      <c r="E22" s="5"/>
      <c r="F22" s="5"/>
      <c r="G22" s="5"/>
      <c r="H22" s="5"/>
    </row>
    <row r="23" spans="1:17" ht="15.75" customHeight="1">
      <c r="A23" s="1" t="s">
        <v>342</v>
      </c>
      <c r="B23" s="1" t="s">
        <v>315</v>
      </c>
      <c r="C23" s="1" t="s">
        <v>317</v>
      </c>
      <c r="D23" s="1" t="s">
        <v>318</v>
      </c>
      <c r="E23" s="98" t="s">
        <v>351</v>
      </c>
      <c r="F23" s="1" t="s">
        <v>355</v>
      </c>
      <c r="G23" s="1" t="s">
        <v>322</v>
      </c>
      <c r="K23" s="1" t="s">
        <v>309</v>
      </c>
      <c r="L23" s="1" t="s">
        <v>315</v>
      </c>
      <c r="M23" s="1" t="s">
        <v>310</v>
      </c>
      <c r="N23" s="1">
        <v>0.02</v>
      </c>
      <c r="O23" s="1" t="s">
        <v>311</v>
      </c>
    </row>
    <row r="24" spans="1:17" ht="15.75" customHeight="1">
      <c r="A24" s="1" t="s">
        <v>41</v>
      </c>
      <c r="B24" s="100" t="b">
        <v>1</v>
      </c>
      <c r="C24" s="100" t="b">
        <f>'SFigure26-Data-1'!B4 &gt; 0.02</f>
        <v>1</v>
      </c>
      <c r="D24" s="100" t="b">
        <f>'SFigure26-Data-1'!C4&gt; 0.026</f>
        <v>1</v>
      </c>
      <c r="E24" s="100" t="b">
        <f>'SFigure26-Data-1'!D4 &gt; 0.022</f>
        <v>1</v>
      </c>
      <c r="F24" s="100" t="b">
        <f>'SFigure26-Data-1'!E4&gt; 0.022</f>
        <v>1</v>
      </c>
      <c r="G24" s="100" t="b">
        <f>'SFigure26-Data-1'!F4 &gt; 0.027</f>
        <v>1</v>
      </c>
      <c r="H24" s="1" t="s">
        <v>356</v>
      </c>
      <c r="K24" s="1" t="s">
        <v>309</v>
      </c>
      <c r="L24" s="1" t="s">
        <v>317</v>
      </c>
      <c r="M24" s="1" t="s">
        <v>310</v>
      </c>
      <c r="N24" s="14">
        <v>2.0208333333333335E-2</v>
      </c>
      <c r="O24" s="1" t="s">
        <v>311</v>
      </c>
    </row>
    <row r="25" spans="1:17" ht="15.75" customHeight="1">
      <c r="A25" s="1" t="s">
        <v>43</v>
      </c>
      <c r="B25" s="100" t="b">
        <v>1</v>
      </c>
      <c r="C25" s="100" t="b">
        <f>'SFigure26-Data-1'!B6 &gt; 0.02</f>
        <v>1</v>
      </c>
      <c r="D25" s="100" t="b">
        <f>'SFigure26-Data-1'!C6&gt; 0.026</f>
        <v>1</v>
      </c>
      <c r="E25" s="100" t="b">
        <f>'SFigure26-Data-1'!D6 &gt; 0.022</f>
        <v>1</v>
      </c>
      <c r="F25" s="100" t="b">
        <f>'SFigure26-Data-1'!E6&gt; 0.022</f>
        <v>1</v>
      </c>
      <c r="G25" s="101" t="b">
        <f>'SFigure26-Data-1'!F6 &gt; 0.027</f>
        <v>0</v>
      </c>
      <c r="K25" s="1" t="s">
        <v>309</v>
      </c>
      <c r="L25" s="1" t="s">
        <v>318</v>
      </c>
      <c r="M25" s="1" t="s">
        <v>310</v>
      </c>
      <c r="N25" s="14">
        <v>2.6380000000000001E-2</v>
      </c>
      <c r="O25" s="1" t="s">
        <v>311</v>
      </c>
    </row>
    <row r="26" spans="1:17" ht="15.75" customHeight="1">
      <c r="A26" s="1" t="s">
        <v>72</v>
      </c>
      <c r="B26" s="100" t="b">
        <v>1</v>
      </c>
      <c r="C26" s="100" t="b">
        <f>'SFigure26-Data-1'!B5 &gt; 0.02</f>
        <v>1</v>
      </c>
      <c r="D26" s="100" t="b">
        <f>'SFigure26-Data-1'!C5&gt; 0.026</f>
        <v>1</v>
      </c>
      <c r="E26" s="100" t="b">
        <f>'SFigure26-Data-1'!D5 &gt; 0.022</f>
        <v>1</v>
      </c>
      <c r="F26" s="100" t="b">
        <f>'SFigure26-Data-1'!E5&gt; 0.022</f>
        <v>1</v>
      </c>
      <c r="G26" s="101" t="b">
        <f>'SFigure26-Data-1'!F5 &gt; 0.027</f>
        <v>0</v>
      </c>
      <c r="K26" s="1" t="s">
        <v>309</v>
      </c>
      <c r="L26" s="1" t="s">
        <v>319</v>
      </c>
      <c r="M26" s="1" t="s">
        <v>310</v>
      </c>
      <c r="N26" s="14">
        <v>2.1730158730158732E-2</v>
      </c>
      <c r="O26" s="1" t="s">
        <v>311</v>
      </c>
      <c r="Q26" s="102"/>
    </row>
    <row r="27" spans="1:17" ht="15.75" customHeight="1">
      <c r="A27" s="1" t="s">
        <v>76</v>
      </c>
      <c r="B27" s="100" t="b">
        <v>1</v>
      </c>
      <c r="C27" s="100" t="b">
        <f>'SFigure26-Data-1'!B9 &gt; 0.02</f>
        <v>1</v>
      </c>
      <c r="D27" s="100" t="b">
        <f>'SFigure26-Data-1'!C9&gt; 0.026</f>
        <v>1</v>
      </c>
      <c r="E27" s="100" t="b">
        <f>'SFigure26-Data-1'!D9 &gt; 0.022</f>
        <v>1</v>
      </c>
      <c r="F27" s="100" t="b">
        <f>'SFigure26-Data-1'!E9&gt; 0.022</f>
        <v>1</v>
      </c>
      <c r="G27" s="101" t="b">
        <f>'SFigure26-Data-1'!F9 &gt; 0.027</f>
        <v>0</v>
      </c>
      <c r="K27" s="1" t="s">
        <v>309</v>
      </c>
      <c r="L27" s="1" t="s">
        <v>320</v>
      </c>
      <c r="M27" s="1" t="s">
        <v>310</v>
      </c>
      <c r="N27" s="14">
        <v>3.0292929292929295E-2</v>
      </c>
      <c r="O27" s="1" t="s">
        <v>311</v>
      </c>
    </row>
    <row r="28" spans="1:17" ht="15.75" customHeight="1">
      <c r="C28" s="71" t="s">
        <v>353</v>
      </c>
      <c r="D28" s="5"/>
      <c r="E28" s="5"/>
      <c r="F28" s="5"/>
      <c r="G28" s="5"/>
      <c r="H28" s="5"/>
      <c r="K28" s="1" t="s">
        <v>309</v>
      </c>
      <c r="L28" s="1" t="s">
        <v>321</v>
      </c>
      <c r="M28" s="1" t="s">
        <v>310</v>
      </c>
      <c r="N28" s="14">
        <v>2.1950764006791173E-2</v>
      </c>
      <c r="O28" s="1" t="s">
        <v>311</v>
      </c>
    </row>
    <row r="29" spans="1:17" ht="15.75" customHeight="1">
      <c r="A29" s="1" t="s">
        <v>350</v>
      </c>
      <c r="B29" s="1" t="s">
        <v>315</v>
      </c>
      <c r="C29" s="1" t="s">
        <v>317</v>
      </c>
      <c r="D29" s="1" t="s">
        <v>318</v>
      </c>
      <c r="E29" s="98" t="s">
        <v>351</v>
      </c>
      <c r="F29" s="1" t="s">
        <v>355</v>
      </c>
      <c r="G29" s="1" t="s">
        <v>322</v>
      </c>
      <c r="K29" s="1" t="s">
        <v>309</v>
      </c>
      <c r="L29" s="1" t="s">
        <v>322</v>
      </c>
      <c r="M29" s="1" t="s">
        <v>310</v>
      </c>
      <c r="N29" s="14">
        <v>2.7497607655502396E-2</v>
      </c>
      <c r="O29" s="1" t="s">
        <v>311</v>
      </c>
    </row>
    <row r="30" spans="1:17" ht="15.75" customHeight="1">
      <c r="A30" s="1" t="s">
        <v>68</v>
      </c>
      <c r="B30" s="100" t="b">
        <v>1</v>
      </c>
      <c r="C30" s="100" t="b">
        <f>'SFigure26-Data-1'!B7&gt; 0.02</f>
        <v>1</v>
      </c>
      <c r="D30" s="101" t="b">
        <f>'SFigure26-Data-1'!C7&gt; 0.026</f>
        <v>0</v>
      </c>
      <c r="E30" s="101" t="b">
        <f>'SFigure26-Data-1'!D7 &gt; 0.022</f>
        <v>0</v>
      </c>
      <c r="F30" s="101" t="b">
        <f>'SFigure26-Data-1'!E7&gt; 0.022</f>
        <v>0</v>
      </c>
      <c r="G30" s="101" t="b">
        <f>'SFigure26-Data-1'!F7 &gt; 0.027</f>
        <v>0</v>
      </c>
    </row>
    <row r="31" spans="1:17" ht="15.75" customHeight="1">
      <c r="A31" s="1" t="s">
        <v>77</v>
      </c>
      <c r="B31" s="100" t="b">
        <v>1</v>
      </c>
      <c r="C31" s="100" t="b">
        <f>'SFigure26-Data-1'!B13&gt; 0.02</f>
        <v>1</v>
      </c>
      <c r="D31" s="101" t="b">
        <f>'SFigure26-Data-1'!C13 &gt; 0.026</f>
        <v>0</v>
      </c>
      <c r="E31" s="101" t="b">
        <f>'SFigure26-Data-1'!D13&gt; 0.022</f>
        <v>0</v>
      </c>
      <c r="F31" s="101" t="b">
        <f>'SFigure26-Data-1'!E13&gt; 0.022</f>
        <v>0</v>
      </c>
      <c r="G31" s="101" t="b">
        <f>'SFigure26-Data-1'!F13&gt; 0.027</f>
        <v>0</v>
      </c>
      <c r="K31" s="1" t="s">
        <v>309</v>
      </c>
      <c r="L31" s="1" t="s">
        <v>351</v>
      </c>
      <c r="M31" s="1" t="s">
        <v>310</v>
      </c>
      <c r="N31" s="14">
        <v>2.1730158730158732E-2</v>
      </c>
      <c r="O31" s="1" t="s">
        <v>311</v>
      </c>
    </row>
    <row r="32" spans="1:17" ht="15.75" customHeight="1">
      <c r="A32" s="1" t="s">
        <v>70</v>
      </c>
      <c r="B32" s="100" t="b">
        <v>1</v>
      </c>
      <c r="C32" s="100" t="b">
        <f>'SFigure26-Data-1'!B11&gt; 0.02</f>
        <v>1</v>
      </c>
      <c r="D32" s="101" t="b">
        <f>'SFigure26-Data-1'!C11 &gt; 0.026</f>
        <v>0</v>
      </c>
      <c r="E32" s="100" t="b">
        <f>'SFigure26-Data-1'!D11&gt; 0.022</f>
        <v>1</v>
      </c>
      <c r="F32" s="100" t="b">
        <f>'SFigure26-Data-1'!E11&gt; 0.022</f>
        <v>1</v>
      </c>
      <c r="G32" s="101" t="b">
        <f>'SFigure26-Data-1'!F11&gt; 0.027</f>
        <v>0</v>
      </c>
      <c r="M32" s="98" t="s">
        <v>352</v>
      </c>
    </row>
    <row r="33" spans="1:15" ht="15.75" customHeight="1">
      <c r="A33" s="1" t="s">
        <v>80</v>
      </c>
      <c r="B33" s="101" t="b">
        <v>0</v>
      </c>
      <c r="C33" s="100" t="b">
        <f>'SFigure26-Data-1'!B12&gt; 0.02</f>
        <v>1</v>
      </c>
      <c r="D33" s="101" t="b">
        <f>'SFigure26-Data-1'!C12 &gt; 0.026</f>
        <v>0</v>
      </c>
      <c r="E33" s="101" t="b">
        <f>'SFigure26-Data-1'!D12&gt; 0.022</f>
        <v>0</v>
      </c>
      <c r="F33" s="101" t="b">
        <f>'SFigure26-Data-1'!E12&gt; 0.022</f>
        <v>0</v>
      </c>
      <c r="G33" s="101" t="b">
        <f>'SFigure26-Data-1'!F12&gt; 0.027</f>
        <v>0</v>
      </c>
    </row>
    <row r="34" spans="1:15" ht="15.75" customHeight="1">
      <c r="C34" s="72"/>
      <c r="D34" s="72"/>
      <c r="E34" s="72"/>
      <c r="F34" s="72"/>
      <c r="G34" s="72"/>
      <c r="H34" s="72"/>
    </row>
    <row r="35" spans="1:15" ht="15.75" customHeight="1">
      <c r="C35" s="71" t="s">
        <v>349</v>
      </c>
      <c r="D35" s="5"/>
      <c r="E35" s="5"/>
      <c r="F35" s="5"/>
      <c r="G35" s="5"/>
      <c r="H35" s="5"/>
    </row>
    <row r="36" spans="1:15" ht="15.75" customHeight="1">
      <c r="A36" s="1" t="s">
        <v>350</v>
      </c>
      <c r="B36" s="1" t="s">
        <v>315</v>
      </c>
      <c r="C36" s="1" t="s">
        <v>317</v>
      </c>
      <c r="D36" s="1" t="s">
        <v>318</v>
      </c>
      <c r="E36" s="98" t="s">
        <v>351</v>
      </c>
      <c r="F36" s="1" t="s">
        <v>355</v>
      </c>
      <c r="G36" s="1" t="s">
        <v>322</v>
      </c>
    </row>
    <row r="37" spans="1:15" ht="15.75" customHeight="1">
      <c r="A37" s="1" t="s">
        <v>68</v>
      </c>
      <c r="B37" s="101" t="b">
        <v>0</v>
      </c>
      <c r="C37" s="100" t="b">
        <f>'SFigure26-Data-1'!J7&gt; 0.02</f>
        <v>1</v>
      </c>
      <c r="D37" s="100" t="b">
        <f>'SFigure26-Data-1'!K7&gt; 0.026</f>
        <v>1</v>
      </c>
      <c r="E37" s="100" t="b">
        <f>'SFigure26-Data-1'!L7 &gt; 0.022</f>
        <v>1</v>
      </c>
      <c r="F37" s="101" t="b">
        <f>'SFigure26-Data-1'!M7&gt; 0.022</f>
        <v>0</v>
      </c>
      <c r="G37" s="101" t="b">
        <f>'SFigure26-Data-1'!N7 &gt; 0.027</f>
        <v>0</v>
      </c>
    </row>
    <row r="38" spans="1:15" ht="15.75" customHeight="1">
      <c r="A38" s="1" t="s">
        <v>77</v>
      </c>
      <c r="B38" s="100" t="b">
        <v>1</v>
      </c>
      <c r="C38" s="100" t="b">
        <f>'SFigure26-Data-1'!J13&gt; 0.02</f>
        <v>1</v>
      </c>
      <c r="D38" s="101" t="b">
        <f>'SFigure26-Data-1'!K13&gt; 0.026</f>
        <v>0</v>
      </c>
      <c r="E38" s="101" t="b">
        <f>'SFigure26-Data-1'!L13&gt; 0.022</f>
        <v>0</v>
      </c>
      <c r="F38" s="101" t="b">
        <f>'SFigure26-Data-1'!M13&gt; 0.022</f>
        <v>0</v>
      </c>
      <c r="G38" s="101" t="b">
        <f>'SFigure26-Data-1'!N13&gt; 0.027</f>
        <v>0</v>
      </c>
    </row>
    <row r="39" spans="1:15" ht="15.75" customHeight="1">
      <c r="A39" s="1" t="s">
        <v>70</v>
      </c>
      <c r="B39" s="100" t="b">
        <v>1</v>
      </c>
      <c r="C39" s="100" t="b">
        <f>'SFigure26-Data-1'!J11&gt; 0.02</f>
        <v>1</v>
      </c>
      <c r="D39" s="101" t="b">
        <f>'SFigure26-Data-1'!K11&gt; 0.026</f>
        <v>0</v>
      </c>
      <c r="E39" s="100" t="b">
        <f>'SFigure26-Data-1'!L11&gt; 0.022</f>
        <v>1</v>
      </c>
      <c r="F39" s="100" t="b">
        <f>'SFigure26-Data-1'!M11&gt; 0.022</f>
        <v>1</v>
      </c>
      <c r="G39" s="101" t="b">
        <f>'SFigure26-Data-1'!N11&gt; 0.027</f>
        <v>0</v>
      </c>
    </row>
    <row r="40" spans="1:15" ht="15.75" customHeight="1">
      <c r="A40" s="1" t="s">
        <v>80</v>
      </c>
      <c r="B40" s="101" t="b">
        <v>0</v>
      </c>
      <c r="C40" s="100" t="b">
        <f>'SFigure26-Data-1'!J12&gt; 0.02</f>
        <v>1</v>
      </c>
      <c r="D40" s="101" t="b">
        <f>'SFigure26-Data-1'!K12&gt; 0.026</f>
        <v>0</v>
      </c>
      <c r="E40" s="101" t="b">
        <f>'SFigure26-Data-1'!L12&gt; 0.022</f>
        <v>0</v>
      </c>
      <c r="F40" s="101" t="b">
        <f>'SFigure26-Data-1'!M12&gt; 0.022</f>
        <v>0</v>
      </c>
      <c r="G40" s="101" t="b">
        <f>'SFigure26-Data-1'!N12&gt; 0.027</f>
        <v>0</v>
      </c>
      <c r="K40" s="1" t="s">
        <v>309</v>
      </c>
      <c r="L40" s="1" t="s">
        <v>39</v>
      </c>
      <c r="M40" s="1" t="s">
        <v>310</v>
      </c>
      <c r="N40" s="14">
        <v>5.0520833333333334E-2</v>
      </c>
      <c r="O40" s="1" t="s">
        <v>312</v>
      </c>
    </row>
    <row r="41" spans="1:15" ht="15.75" customHeight="1">
      <c r="K41" s="1" t="s">
        <v>309</v>
      </c>
      <c r="L41" s="1" t="s">
        <v>38</v>
      </c>
      <c r="M41" s="1" t="s">
        <v>310</v>
      </c>
      <c r="N41" s="14">
        <v>6.5950000000000009E-2</v>
      </c>
      <c r="O41" s="1" t="s">
        <v>312</v>
      </c>
    </row>
    <row r="42" spans="1:15" ht="15.75" customHeight="1">
      <c r="K42" s="1" t="s">
        <v>309</v>
      </c>
      <c r="L42" s="1" t="s">
        <v>263</v>
      </c>
      <c r="M42" s="1" t="s">
        <v>310</v>
      </c>
      <c r="N42" s="14">
        <v>5.4325396825396832E-2</v>
      </c>
      <c r="O42" s="1" t="s">
        <v>312</v>
      </c>
    </row>
    <row r="43" spans="1:15" ht="15.75" customHeight="1">
      <c r="K43" s="1" t="s">
        <v>309</v>
      </c>
      <c r="L43" s="1" t="s">
        <v>264</v>
      </c>
      <c r="M43" s="1" t="s">
        <v>310</v>
      </c>
      <c r="N43" s="14">
        <v>7.5732323232323234E-2</v>
      </c>
      <c r="O43" s="1" t="s">
        <v>312</v>
      </c>
    </row>
    <row r="44" spans="1:15" ht="15.75" customHeight="1">
      <c r="K44" s="1" t="s">
        <v>309</v>
      </c>
      <c r="L44" s="1" t="s">
        <v>63</v>
      </c>
      <c r="M44" s="1" t="s">
        <v>310</v>
      </c>
      <c r="N44" s="14">
        <v>5.4876910016977934E-2</v>
      </c>
      <c r="O44" s="1" t="s">
        <v>312</v>
      </c>
    </row>
    <row r="45" spans="1:15" ht="15.75" customHeight="1">
      <c r="K45" s="1" t="s">
        <v>309</v>
      </c>
      <c r="L45" s="1" t="s">
        <v>265</v>
      </c>
      <c r="M45" s="1" t="s">
        <v>310</v>
      </c>
      <c r="N45" s="14">
        <v>6.8744019138755982E-2</v>
      </c>
      <c r="O45" s="1" t="s">
        <v>312</v>
      </c>
    </row>
  </sheetData>
  <mergeCells count="6">
    <mergeCell ref="C1:H1"/>
    <mergeCell ref="C7:H7"/>
    <mergeCell ref="C14:H14"/>
    <mergeCell ref="C22:H22"/>
    <mergeCell ref="C28:H28"/>
    <mergeCell ref="C35:H3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B428-1AF0-4C93-AE59-E15CE8B0A620}">
  <sheetPr>
    <outlinePr summaryBelow="0" summaryRight="0"/>
  </sheetPr>
  <dimension ref="A1:M60"/>
  <sheetViews>
    <sheetView workbookViewId="0"/>
  </sheetViews>
  <sheetFormatPr defaultColWidth="12.6640625" defaultRowHeight="15.75" customHeight="1"/>
  <cols>
    <col min="1" max="16384" width="12.6640625" style="2"/>
  </cols>
  <sheetData>
    <row r="1" spans="1:13" ht="15.75" customHeight="1">
      <c r="D1" s="1" t="s">
        <v>273</v>
      </c>
      <c r="K1" s="1" t="s">
        <v>331</v>
      </c>
    </row>
    <row r="2" spans="1:13" ht="15.75" customHeight="1">
      <c r="B2" s="1" t="s">
        <v>288</v>
      </c>
      <c r="I2" s="1" t="s">
        <v>288</v>
      </c>
    </row>
    <row r="3" spans="1:13" ht="15.75" customHeight="1">
      <c r="A3" s="1" t="s">
        <v>231</v>
      </c>
      <c r="B3" s="1" t="s">
        <v>39</v>
      </c>
      <c r="C3" s="1" t="s">
        <v>38</v>
      </c>
      <c r="D3" s="1" t="s">
        <v>40</v>
      </c>
      <c r="E3" s="1" t="s">
        <v>63</v>
      </c>
      <c r="F3" s="1" t="s">
        <v>265</v>
      </c>
      <c r="H3" s="1" t="s">
        <v>231</v>
      </c>
      <c r="I3" s="1" t="s">
        <v>39</v>
      </c>
      <c r="J3" s="1" t="s">
        <v>38</v>
      </c>
      <c r="K3" s="1" t="s">
        <v>40</v>
      </c>
      <c r="L3" s="1" t="s">
        <v>63</v>
      </c>
      <c r="M3" s="1" t="s">
        <v>265</v>
      </c>
    </row>
    <row r="4" spans="1:13" ht="15.75" customHeight="1">
      <c r="A4" s="1" t="s">
        <v>41</v>
      </c>
      <c r="B4" s="14">
        <v>0.39499605999999998</v>
      </c>
      <c r="C4" s="14">
        <v>0.34102118999999997</v>
      </c>
      <c r="D4" s="14">
        <v>0.39934846000000002</v>
      </c>
      <c r="E4" s="14">
        <v>0.35821002000000002</v>
      </c>
      <c r="F4" s="14">
        <v>0.29339542000000002</v>
      </c>
      <c r="G4" s="27"/>
      <c r="H4" s="1" t="s">
        <v>41</v>
      </c>
      <c r="I4" s="14">
        <v>2.06491414</v>
      </c>
      <c r="J4" s="14">
        <v>0.54497315999999996</v>
      </c>
      <c r="K4" s="14">
        <v>1.5261387200000001</v>
      </c>
      <c r="L4" s="14">
        <v>0.51524404999999995</v>
      </c>
      <c r="M4" s="14">
        <v>0.45312433000000002</v>
      </c>
    </row>
    <row r="5" spans="1:13" ht="15.75" customHeight="1">
      <c r="A5" s="1" t="s">
        <v>72</v>
      </c>
      <c r="B5" s="14">
        <v>0.39009663</v>
      </c>
      <c r="C5" s="14">
        <v>0.31671437000000002</v>
      </c>
      <c r="D5" s="14">
        <v>0.40439401000000003</v>
      </c>
      <c r="E5" s="14">
        <v>0.34659509999999999</v>
      </c>
      <c r="F5" s="14">
        <v>0.24674562</v>
      </c>
      <c r="G5" s="27"/>
      <c r="H5" s="1" t="s">
        <v>72</v>
      </c>
      <c r="I5" s="14">
        <v>0.39009379</v>
      </c>
      <c r="J5" s="14">
        <v>0.40293613</v>
      </c>
      <c r="K5" s="14">
        <v>0.42728877999999998</v>
      </c>
      <c r="L5" s="14">
        <v>0.30274314000000002</v>
      </c>
      <c r="M5" s="14">
        <v>1.9819750700000001</v>
      </c>
    </row>
    <row r="6" spans="1:13" ht="15.75" customHeight="1">
      <c r="A6" s="1" t="s">
        <v>43</v>
      </c>
      <c r="B6" s="14">
        <v>0.29944229999999999</v>
      </c>
      <c r="C6" s="14">
        <v>0.22596527</v>
      </c>
      <c r="D6" s="14">
        <v>0.25814163000000001</v>
      </c>
      <c r="E6" s="14">
        <v>0.21878164999999999</v>
      </c>
      <c r="F6" s="14">
        <v>0.16684726</v>
      </c>
      <c r="G6" s="27"/>
      <c r="H6" s="1" t="s">
        <v>43</v>
      </c>
      <c r="I6" s="14">
        <v>1.0729608399999999</v>
      </c>
      <c r="J6" s="14">
        <v>1.0729534199999999</v>
      </c>
      <c r="K6" s="14">
        <v>0.82775668000000002</v>
      </c>
      <c r="L6" s="14">
        <v>0.56943878999999997</v>
      </c>
      <c r="M6" s="14">
        <v>0.67420709000000001</v>
      </c>
    </row>
    <row r="7" spans="1:13" ht="15.75" customHeight="1">
      <c r="A7" s="1" t="s">
        <v>68</v>
      </c>
      <c r="B7" s="14">
        <v>0.15268978</v>
      </c>
      <c r="C7" s="14">
        <v>0.10592767</v>
      </c>
      <c r="D7" s="14">
        <v>0.124282</v>
      </c>
      <c r="E7" s="14">
        <v>0.10053827</v>
      </c>
      <c r="F7" s="14">
        <v>7.9225539999999997E-2</v>
      </c>
      <c r="G7" s="27"/>
      <c r="H7" s="1" t="s">
        <v>68</v>
      </c>
      <c r="I7" s="14">
        <v>0.30011312000000001</v>
      </c>
      <c r="J7" s="14">
        <v>0.22999459</v>
      </c>
      <c r="K7" s="14">
        <v>0.15063251</v>
      </c>
      <c r="L7" s="14">
        <v>0.10891152</v>
      </c>
      <c r="M7" s="14">
        <v>9.2945130000000001E-2</v>
      </c>
    </row>
    <row r="8" spans="1:13" ht="15.75" customHeight="1">
      <c r="A8" s="1" t="s">
        <v>76</v>
      </c>
      <c r="B8" s="14">
        <v>0.37449872000000001</v>
      </c>
      <c r="C8" s="14">
        <v>0.30762949000000001</v>
      </c>
      <c r="D8" s="14">
        <v>0.35446065999999998</v>
      </c>
      <c r="E8" s="14">
        <v>0.30784620000000001</v>
      </c>
      <c r="F8" s="14">
        <v>0.25141356999999998</v>
      </c>
      <c r="G8" s="27"/>
      <c r="H8" s="1" t="s">
        <v>76</v>
      </c>
      <c r="I8" s="14">
        <v>1.18619249</v>
      </c>
      <c r="J8" s="14">
        <v>1.3680781200000001</v>
      </c>
      <c r="K8" s="14">
        <v>0.93318652000000002</v>
      </c>
      <c r="L8" s="14">
        <v>0.79214905999999996</v>
      </c>
      <c r="M8" s="14">
        <v>0.62534940000000006</v>
      </c>
    </row>
    <row r="9" spans="1:13" ht="15.75" customHeight="1">
      <c r="A9" s="1" t="s">
        <v>70</v>
      </c>
      <c r="B9" s="14">
        <v>0.40267893999999999</v>
      </c>
      <c r="C9" s="14">
        <v>0.29658100999999998</v>
      </c>
      <c r="D9" s="14">
        <v>0.37683293000000001</v>
      </c>
      <c r="E9" s="14">
        <v>0.32893409000000001</v>
      </c>
      <c r="F9" s="14">
        <v>0.24854200000000001</v>
      </c>
      <c r="G9" s="27"/>
      <c r="H9" s="1" t="s">
        <v>70</v>
      </c>
      <c r="I9" s="14">
        <v>0.42620445000000001</v>
      </c>
      <c r="J9" s="14">
        <v>0.30250584000000003</v>
      </c>
      <c r="K9" s="14">
        <v>0.36688843999999998</v>
      </c>
      <c r="L9" s="14">
        <v>0.29198691999999998</v>
      </c>
      <c r="M9" s="14">
        <v>0.2149076</v>
      </c>
    </row>
    <row r="10" spans="1:13" ht="15.75" customHeight="1">
      <c r="A10" s="1" t="s">
        <v>80</v>
      </c>
      <c r="B10" s="14">
        <v>0.12925781</v>
      </c>
      <c r="C10" s="14">
        <v>9.3002699999999994E-2</v>
      </c>
      <c r="D10" s="14">
        <v>0.10636043000000001</v>
      </c>
      <c r="E10" s="14">
        <v>7.9052780000000003E-2</v>
      </c>
      <c r="F10" s="14">
        <v>6.1042829999999999E-2</v>
      </c>
      <c r="H10" s="1" t="s">
        <v>80</v>
      </c>
      <c r="I10" s="14">
        <v>0.14810245</v>
      </c>
      <c r="J10" s="14">
        <v>0.10309883</v>
      </c>
      <c r="K10" s="14">
        <v>0.1062661</v>
      </c>
      <c r="L10" s="14">
        <v>7.428005E-2</v>
      </c>
      <c r="M10" s="14">
        <v>5.7221080000000001E-2</v>
      </c>
    </row>
    <row r="11" spans="1:13" ht="15.75" customHeight="1">
      <c r="A11" s="1" t="s">
        <v>77</v>
      </c>
      <c r="B11" s="14">
        <v>0.22360082000000001</v>
      </c>
      <c r="C11" s="14">
        <v>0.16897915999999999</v>
      </c>
      <c r="D11" s="14">
        <v>0.20249669000000001</v>
      </c>
      <c r="E11" s="14">
        <v>0.18075419000000001</v>
      </c>
      <c r="F11" s="14">
        <v>0.13614743000000001</v>
      </c>
      <c r="H11" s="1" t="s">
        <v>77</v>
      </c>
      <c r="I11" s="14">
        <v>0.24713777000000001</v>
      </c>
      <c r="J11" s="14">
        <v>0.18356981</v>
      </c>
      <c r="K11" s="14">
        <v>0.21486849999999999</v>
      </c>
      <c r="L11" s="14">
        <v>0.18140609999999999</v>
      </c>
      <c r="M11" s="14">
        <v>0.13530839</v>
      </c>
    </row>
    <row r="12" spans="1:13" ht="15.75" customHeight="1">
      <c r="B12" s="14"/>
      <c r="C12" s="14"/>
      <c r="D12" s="14"/>
      <c r="E12" s="14"/>
      <c r="F12" s="14"/>
      <c r="I12" s="14"/>
      <c r="J12" s="14"/>
      <c r="K12" s="14"/>
      <c r="L12" s="14"/>
      <c r="M12" s="14"/>
    </row>
    <row r="13" spans="1:13" ht="15.75" customHeight="1">
      <c r="A13" s="1" t="s">
        <v>276</v>
      </c>
      <c r="B13" s="14">
        <f t="shared" ref="B13:F13" si="0">AVERAGE(B4:B11)</f>
        <v>0.29590763250000002</v>
      </c>
      <c r="C13" s="14">
        <f t="shared" si="0"/>
        <v>0.23197760749999999</v>
      </c>
      <c r="D13" s="14">
        <f t="shared" si="0"/>
        <v>0.27828960124999996</v>
      </c>
      <c r="E13" s="14">
        <f t="shared" si="0"/>
        <v>0.24008903749999999</v>
      </c>
      <c r="F13" s="14">
        <f t="shared" si="0"/>
        <v>0.18541995875</v>
      </c>
      <c r="H13" s="1" t="s">
        <v>276</v>
      </c>
      <c r="I13" s="14">
        <f t="shared" ref="I13:M13" si="1">AVERAGE(I4:I11)</f>
        <v>0.72946488124999997</v>
      </c>
      <c r="J13" s="14">
        <f t="shared" si="1"/>
        <v>0.52601373750000002</v>
      </c>
      <c r="K13" s="14">
        <f t="shared" si="1"/>
        <v>0.56912828125000003</v>
      </c>
      <c r="L13" s="14">
        <f t="shared" si="1"/>
        <v>0.35451995374999995</v>
      </c>
      <c r="M13" s="14">
        <f t="shared" si="1"/>
        <v>0.52937976124999986</v>
      </c>
    </row>
    <row r="15" spans="1:13" ht="15.75" customHeight="1">
      <c r="G15" s="27"/>
    </row>
    <row r="17" spans="1:7" ht="15.75" customHeight="1">
      <c r="D17" s="1" t="s">
        <v>278</v>
      </c>
    </row>
    <row r="18" spans="1:7" ht="15.75" customHeight="1">
      <c r="B18" s="1" t="s">
        <v>288</v>
      </c>
    </row>
    <row r="19" spans="1:7" ht="15.75" customHeight="1">
      <c r="A19" s="1" t="s">
        <v>231</v>
      </c>
      <c r="B19" s="1" t="s">
        <v>39</v>
      </c>
      <c r="C19" s="1" t="s">
        <v>38</v>
      </c>
      <c r="D19" s="1" t="s">
        <v>40</v>
      </c>
      <c r="E19" s="1" t="s">
        <v>63</v>
      </c>
      <c r="F19" s="1" t="s">
        <v>265</v>
      </c>
    </row>
    <row r="20" spans="1:7" ht="15.75" customHeight="1">
      <c r="A20" s="1" t="s">
        <v>41</v>
      </c>
      <c r="B20" s="14">
        <v>0.37843502000000001</v>
      </c>
      <c r="C20" s="14">
        <v>0.28601600999999999</v>
      </c>
      <c r="D20" s="14">
        <v>0.33640998999999999</v>
      </c>
      <c r="E20" s="14">
        <v>0.26092851</v>
      </c>
      <c r="F20" s="14">
        <v>0.20237436</v>
      </c>
      <c r="G20" s="27"/>
    </row>
    <row r="21" spans="1:7" ht="15.75" customHeight="1">
      <c r="A21" s="1" t="s">
        <v>72</v>
      </c>
      <c r="B21" s="14">
        <v>0.26161857999999999</v>
      </c>
      <c r="C21" s="14">
        <v>0.19308951999999999</v>
      </c>
      <c r="D21" s="14">
        <v>0.23695769999999999</v>
      </c>
      <c r="E21" s="14">
        <v>0.19315446</v>
      </c>
      <c r="F21" s="14">
        <v>0.14977161999999999</v>
      </c>
      <c r="G21" s="27"/>
    </row>
    <row r="22" spans="1:7" ht="15.75" customHeight="1">
      <c r="A22" s="1" t="s">
        <v>43</v>
      </c>
      <c r="B22" s="14">
        <v>0.20435565999999999</v>
      </c>
      <c r="C22" s="14">
        <v>0.16055817999999999</v>
      </c>
      <c r="D22" s="14">
        <v>0.17805957</v>
      </c>
      <c r="E22" s="14">
        <v>0.16110173</v>
      </c>
      <c r="F22" s="14">
        <v>0.12481114</v>
      </c>
      <c r="G22" s="97"/>
    </row>
    <row r="23" spans="1:7" ht="15.75" customHeight="1">
      <c r="A23" s="1" t="s">
        <v>68</v>
      </c>
      <c r="B23" s="14">
        <v>0.17927220999999999</v>
      </c>
      <c r="C23" s="14">
        <v>0.13185562000000001</v>
      </c>
      <c r="D23" s="14">
        <v>0.12587788</v>
      </c>
      <c r="E23" s="14">
        <v>9.0938370000000004E-2</v>
      </c>
      <c r="F23" s="14">
        <v>7.8072589999999997E-2</v>
      </c>
      <c r="G23" s="27"/>
    </row>
    <row r="24" spans="1:7" ht="15.75" customHeight="1">
      <c r="A24" s="1" t="s">
        <v>76</v>
      </c>
      <c r="B24" s="14">
        <v>0.54909461999999998</v>
      </c>
      <c r="C24" s="14">
        <v>0.43790003</v>
      </c>
      <c r="D24" s="14">
        <v>0.49674095000000001</v>
      </c>
      <c r="E24" s="14">
        <v>0.36425526000000003</v>
      </c>
      <c r="F24" s="14">
        <v>0.27779932000000002</v>
      </c>
      <c r="G24" s="27"/>
    </row>
    <row r="25" spans="1:7" ht="15.75" customHeight="1">
      <c r="A25" s="1" t="s">
        <v>70</v>
      </c>
      <c r="B25" s="14">
        <v>0.3796387</v>
      </c>
      <c r="C25" s="14">
        <v>0.28435987000000001</v>
      </c>
      <c r="D25" s="14">
        <v>0.34297792999999999</v>
      </c>
      <c r="E25" s="14">
        <v>0.27729005000000001</v>
      </c>
      <c r="F25" s="14">
        <v>0.20382594000000001</v>
      </c>
      <c r="G25" s="27"/>
    </row>
    <row r="26" spans="1:7" ht="15.75" customHeight="1">
      <c r="A26" s="1" t="s">
        <v>80</v>
      </c>
      <c r="B26" s="14">
        <v>0.11211195</v>
      </c>
      <c r="C26" s="14">
        <v>8.2805920000000005E-2</v>
      </c>
      <c r="D26" s="14">
        <v>8.8790640000000004E-2</v>
      </c>
      <c r="E26" s="14">
        <v>6.640596E-2</v>
      </c>
      <c r="F26" s="14">
        <v>4.9467190000000001E-2</v>
      </c>
      <c r="G26" s="27"/>
    </row>
    <row r="27" spans="1:7" ht="15.75" customHeight="1">
      <c r="A27" s="1" t="s">
        <v>77</v>
      </c>
      <c r="B27" s="14">
        <v>0.14455514</v>
      </c>
      <c r="C27" s="14">
        <v>0.11438864</v>
      </c>
      <c r="D27" s="14">
        <v>0.12247258</v>
      </c>
      <c r="E27" s="14">
        <v>0.11487454</v>
      </c>
      <c r="F27" s="14">
        <v>8.4561819999999996E-2</v>
      </c>
      <c r="G27" s="27"/>
    </row>
    <row r="28" spans="1:7" ht="15.75" customHeight="1">
      <c r="B28" s="14"/>
      <c r="C28" s="14"/>
      <c r="D28" s="14"/>
      <c r="E28" s="14"/>
      <c r="F28" s="14"/>
      <c r="G28" s="27"/>
    </row>
    <row r="29" spans="1:7" ht="15.75" customHeight="1">
      <c r="A29" s="1" t="s">
        <v>276</v>
      </c>
      <c r="B29" s="14">
        <f t="shared" ref="B29:F29" si="2">AVERAGE(B20:B27)</f>
        <v>0.27613523499999998</v>
      </c>
      <c r="C29" s="14">
        <f t="shared" si="2"/>
        <v>0.21137172375000002</v>
      </c>
      <c r="D29" s="14">
        <f t="shared" si="2"/>
        <v>0.24103590499999999</v>
      </c>
      <c r="E29" s="14">
        <f t="shared" si="2"/>
        <v>0.19111860999999999</v>
      </c>
      <c r="F29" s="14">
        <f t="shared" si="2"/>
        <v>0.14633549749999999</v>
      </c>
      <c r="G29" s="27"/>
    </row>
    <row r="30" spans="1:7" ht="15.75" customHeight="1">
      <c r="G30" s="27"/>
    </row>
    <row r="31" spans="1:7" ht="15.75" customHeight="1">
      <c r="G31" s="27"/>
    </row>
    <row r="32" spans="1:7" ht="15.75" customHeight="1">
      <c r="B32" s="27"/>
      <c r="C32" s="27"/>
      <c r="D32" s="27"/>
      <c r="E32" s="27"/>
      <c r="F32" s="27"/>
      <c r="G32" s="27"/>
    </row>
    <row r="33" spans="1:13" ht="15.75" customHeight="1">
      <c r="B33" s="1" t="s">
        <v>357</v>
      </c>
      <c r="I33" s="1" t="s">
        <v>358</v>
      </c>
    </row>
    <row r="34" spans="1:13" ht="15.75" customHeight="1">
      <c r="A34" s="1" t="s">
        <v>231</v>
      </c>
      <c r="B34" s="1" t="s">
        <v>39</v>
      </c>
      <c r="C34" s="1" t="s">
        <v>38</v>
      </c>
      <c r="D34" s="1" t="s">
        <v>40</v>
      </c>
      <c r="E34" s="1" t="s">
        <v>63</v>
      </c>
      <c r="F34" s="1" t="s">
        <v>265</v>
      </c>
      <c r="H34" s="1" t="s">
        <v>231</v>
      </c>
      <c r="I34" s="1" t="s">
        <v>39</v>
      </c>
      <c r="J34" s="1" t="s">
        <v>38</v>
      </c>
      <c r="K34" s="1" t="s">
        <v>40</v>
      </c>
      <c r="L34" s="1" t="s">
        <v>63</v>
      </c>
      <c r="M34" s="1" t="s">
        <v>265</v>
      </c>
    </row>
    <row r="35" spans="1:13" ht="15.75" customHeight="1">
      <c r="A35" s="1" t="s">
        <v>41</v>
      </c>
      <c r="B35" s="14">
        <f t="shared" ref="B35:F42" si="3">ABS(B20-B4)</f>
        <v>1.6561039999999971E-2</v>
      </c>
      <c r="C35" s="14">
        <f t="shared" si="3"/>
        <v>5.5005179999999987E-2</v>
      </c>
      <c r="D35" s="14">
        <f t="shared" si="3"/>
        <v>6.2938470000000024E-2</v>
      </c>
      <c r="E35" s="14">
        <f t="shared" si="3"/>
        <v>9.7281510000000015E-2</v>
      </c>
      <c r="F35" s="14">
        <f t="shared" si="3"/>
        <v>9.1021060000000015E-2</v>
      </c>
      <c r="G35" s="27"/>
      <c r="H35" s="1" t="s">
        <v>41</v>
      </c>
      <c r="I35" s="14">
        <f t="shared" ref="I35:M42" si="4">ABS(B20-I4)</f>
        <v>1.68647912</v>
      </c>
      <c r="J35" s="14">
        <f t="shared" si="4"/>
        <v>0.25895714999999997</v>
      </c>
      <c r="K35" s="14">
        <f t="shared" si="4"/>
        <v>1.1897287300000001</v>
      </c>
      <c r="L35" s="14">
        <f t="shared" si="4"/>
        <v>0.25431553999999995</v>
      </c>
      <c r="M35" s="14">
        <f t="shared" si="4"/>
        <v>0.25074996999999999</v>
      </c>
    </row>
    <row r="36" spans="1:13" ht="15.75" customHeight="1">
      <c r="A36" s="1" t="s">
        <v>72</v>
      </c>
      <c r="B36" s="14">
        <f t="shared" si="3"/>
        <v>0.12847805000000001</v>
      </c>
      <c r="C36" s="14">
        <f t="shared" si="3"/>
        <v>0.12362485000000004</v>
      </c>
      <c r="D36" s="14">
        <f t="shared" si="3"/>
        <v>0.16743631000000003</v>
      </c>
      <c r="E36" s="14">
        <f t="shared" si="3"/>
        <v>0.15344063999999999</v>
      </c>
      <c r="F36" s="14">
        <f t="shared" si="3"/>
        <v>9.6974000000000005E-2</v>
      </c>
      <c r="G36" s="27"/>
      <c r="H36" s="1" t="s">
        <v>72</v>
      </c>
      <c r="I36" s="14">
        <f t="shared" si="4"/>
        <v>0.12847521000000001</v>
      </c>
      <c r="J36" s="14">
        <f t="shared" si="4"/>
        <v>0.20984661000000002</v>
      </c>
      <c r="K36" s="14">
        <f t="shared" si="4"/>
        <v>0.19033107999999999</v>
      </c>
      <c r="L36" s="14">
        <f t="shared" si="4"/>
        <v>0.10958868000000002</v>
      </c>
      <c r="M36" s="14">
        <f t="shared" si="4"/>
        <v>1.8322034500000002</v>
      </c>
    </row>
    <row r="37" spans="1:13" ht="15.75" customHeight="1">
      <c r="A37" s="1" t="s">
        <v>43</v>
      </c>
      <c r="B37" s="14">
        <f t="shared" si="3"/>
        <v>9.508664E-2</v>
      </c>
      <c r="C37" s="14">
        <f t="shared" si="3"/>
        <v>6.5407090000000001E-2</v>
      </c>
      <c r="D37" s="14">
        <f t="shared" si="3"/>
        <v>8.008206000000001E-2</v>
      </c>
      <c r="E37" s="14">
        <f t="shared" si="3"/>
        <v>5.7679919999999996E-2</v>
      </c>
      <c r="F37" s="14">
        <f t="shared" si="3"/>
        <v>4.2036119999999996E-2</v>
      </c>
      <c r="G37" s="27"/>
      <c r="H37" s="1" t="s">
        <v>43</v>
      </c>
      <c r="I37" s="14">
        <f t="shared" si="4"/>
        <v>0.86860517999999987</v>
      </c>
      <c r="J37" s="14">
        <f t="shared" si="4"/>
        <v>0.91239523999999994</v>
      </c>
      <c r="K37" s="14">
        <f t="shared" si="4"/>
        <v>0.64969710999999997</v>
      </c>
      <c r="L37" s="14">
        <f t="shared" si="4"/>
        <v>0.40833705999999997</v>
      </c>
      <c r="M37" s="14">
        <f t="shared" si="4"/>
        <v>0.54939594999999997</v>
      </c>
    </row>
    <row r="38" spans="1:13" ht="15.75" customHeight="1">
      <c r="A38" s="1" t="s">
        <v>68</v>
      </c>
      <c r="B38" s="14">
        <f t="shared" si="3"/>
        <v>2.658242999999999E-2</v>
      </c>
      <c r="C38" s="14">
        <f t="shared" si="3"/>
        <v>2.5927950000000005E-2</v>
      </c>
      <c r="D38" s="14">
        <f t="shared" si="3"/>
        <v>1.595879999999994E-3</v>
      </c>
      <c r="E38" s="14">
        <f t="shared" si="3"/>
        <v>9.5998999999999945E-3</v>
      </c>
      <c r="F38" s="14">
        <f t="shared" si="3"/>
        <v>1.1529499999999998E-3</v>
      </c>
      <c r="G38" s="27"/>
      <c r="H38" s="1" t="s">
        <v>68</v>
      </c>
      <c r="I38" s="14">
        <f t="shared" si="4"/>
        <v>0.12084091000000002</v>
      </c>
      <c r="J38" s="14">
        <f t="shared" si="4"/>
        <v>9.8138969999999992E-2</v>
      </c>
      <c r="K38" s="14">
        <f t="shared" si="4"/>
        <v>2.475463E-2</v>
      </c>
      <c r="L38" s="14">
        <f t="shared" si="4"/>
        <v>1.7973149999999993E-2</v>
      </c>
      <c r="M38" s="14">
        <f t="shared" si="4"/>
        <v>1.4872540000000004E-2</v>
      </c>
    </row>
    <row r="39" spans="1:13" ht="15.75" customHeight="1">
      <c r="A39" s="1" t="s">
        <v>76</v>
      </c>
      <c r="B39" s="14">
        <f t="shared" si="3"/>
        <v>0.17459589999999997</v>
      </c>
      <c r="C39" s="14">
        <f t="shared" si="3"/>
        <v>0.13027053999999999</v>
      </c>
      <c r="D39" s="14">
        <f t="shared" si="3"/>
        <v>0.14228029000000003</v>
      </c>
      <c r="E39" s="14">
        <f t="shared" si="3"/>
        <v>5.6409060000000011E-2</v>
      </c>
      <c r="F39" s="14">
        <f t="shared" si="3"/>
        <v>2.6385750000000041E-2</v>
      </c>
      <c r="G39" s="27"/>
      <c r="H39" s="1" t="s">
        <v>76</v>
      </c>
      <c r="I39" s="14">
        <f t="shared" si="4"/>
        <v>0.63709787000000007</v>
      </c>
      <c r="J39" s="14">
        <f t="shared" si="4"/>
        <v>0.93017809000000007</v>
      </c>
      <c r="K39" s="14">
        <f t="shared" si="4"/>
        <v>0.43644557</v>
      </c>
      <c r="L39" s="14">
        <f t="shared" si="4"/>
        <v>0.42789379999999994</v>
      </c>
      <c r="M39" s="14">
        <f t="shared" si="4"/>
        <v>0.34755008000000004</v>
      </c>
    </row>
    <row r="40" spans="1:13" ht="15.75" customHeight="1">
      <c r="A40" s="1" t="s">
        <v>70</v>
      </c>
      <c r="B40" s="14">
        <f t="shared" si="3"/>
        <v>2.304023999999999E-2</v>
      </c>
      <c r="C40" s="14">
        <f t="shared" si="3"/>
        <v>1.2221139999999964E-2</v>
      </c>
      <c r="D40" s="14">
        <f t="shared" si="3"/>
        <v>3.3855000000000024E-2</v>
      </c>
      <c r="E40" s="14">
        <f t="shared" si="3"/>
        <v>5.1644040000000002E-2</v>
      </c>
      <c r="F40" s="14">
        <f t="shared" si="3"/>
        <v>4.4716060000000002E-2</v>
      </c>
      <c r="G40" s="27"/>
      <c r="H40" s="1" t="s">
        <v>70</v>
      </c>
      <c r="I40" s="14">
        <f t="shared" si="4"/>
        <v>4.6565750000000017E-2</v>
      </c>
      <c r="J40" s="14">
        <f t="shared" si="4"/>
        <v>1.8145970000000011E-2</v>
      </c>
      <c r="K40" s="14">
        <f t="shared" si="4"/>
        <v>2.3910509999999996E-2</v>
      </c>
      <c r="L40" s="14">
        <f t="shared" si="4"/>
        <v>1.4696869999999973E-2</v>
      </c>
      <c r="M40" s="14">
        <f t="shared" si="4"/>
        <v>1.1081659999999993E-2</v>
      </c>
    </row>
    <row r="41" spans="1:13" ht="15.75" customHeight="1">
      <c r="A41" s="1" t="s">
        <v>80</v>
      </c>
      <c r="B41" s="14">
        <f t="shared" si="3"/>
        <v>1.7145859999999999E-2</v>
      </c>
      <c r="C41" s="14">
        <f t="shared" si="3"/>
        <v>1.0196779999999989E-2</v>
      </c>
      <c r="D41" s="14">
        <f t="shared" si="3"/>
        <v>1.7569790000000002E-2</v>
      </c>
      <c r="E41" s="14">
        <f t="shared" si="3"/>
        <v>1.2646820000000003E-2</v>
      </c>
      <c r="F41" s="14">
        <f t="shared" si="3"/>
        <v>1.1575639999999998E-2</v>
      </c>
      <c r="G41" s="27"/>
      <c r="H41" s="1" t="s">
        <v>80</v>
      </c>
      <c r="I41" s="14">
        <f t="shared" si="4"/>
        <v>3.5990499999999995E-2</v>
      </c>
      <c r="J41" s="14">
        <f t="shared" si="4"/>
        <v>2.0292909999999997E-2</v>
      </c>
      <c r="K41" s="14">
        <f t="shared" si="4"/>
        <v>1.7475459999999998E-2</v>
      </c>
      <c r="L41" s="14">
        <f t="shared" si="4"/>
        <v>7.8740900000000003E-3</v>
      </c>
      <c r="M41" s="14">
        <f t="shared" si="4"/>
        <v>7.7538899999999994E-3</v>
      </c>
    </row>
    <row r="42" spans="1:13" ht="15.75" customHeight="1">
      <c r="A42" s="1" t="s">
        <v>77</v>
      </c>
      <c r="B42" s="14">
        <f t="shared" si="3"/>
        <v>7.9045680000000007E-2</v>
      </c>
      <c r="C42" s="14">
        <f t="shared" si="3"/>
        <v>5.459051999999999E-2</v>
      </c>
      <c r="D42" s="14">
        <f t="shared" si="3"/>
        <v>8.0024110000000009E-2</v>
      </c>
      <c r="E42" s="14">
        <f t="shared" si="3"/>
        <v>6.5879650000000012E-2</v>
      </c>
      <c r="F42" s="14">
        <f t="shared" si="3"/>
        <v>5.1585610000000018E-2</v>
      </c>
      <c r="H42" s="1" t="s">
        <v>77</v>
      </c>
      <c r="I42" s="14">
        <f t="shared" si="4"/>
        <v>0.10258263000000001</v>
      </c>
      <c r="J42" s="14">
        <f t="shared" si="4"/>
        <v>6.918117E-2</v>
      </c>
      <c r="K42" s="14">
        <f t="shared" si="4"/>
        <v>9.2395919999999993E-2</v>
      </c>
      <c r="L42" s="14">
        <f t="shared" si="4"/>
        <v>6.653155999999999E-2</v>
      </c>
      <c r="M42" s="14">
        <f t="shared" si="4"/>
        <v>5.0746570000000005E-2</v>
      </c>
    </row>
    <row r="43" spans="1:13" ht="15.75" customHeight="1">
      <c r="B43" s="14"/>
      <c r="C43" s="14"/>
      <c r="D43" s="14"/>
      <c r="E43" s="14"/>
      <c r="F43" s="14"/>
      <c r="G43" s="27"/>
      <c r="I43" s="14"/>
      <c r="J43" s="14"/>
      <c r="K43" s="14"/>
      <c r="L43" s="14"/>
      <c r="M43" s="14"/>
    </row>
    <row r="44" spans="1:13" ht="15.75" customHeight="1">
      <c r="A44" s="1" t="s">
        <v>276</v>
      </c>
      <c r="B44" s="14">
        <f t="shared" ref="B44:F44" si="5">AVERAGE(B35:B42)</f>
        <v>7.0066980000000001E-2</v>
      </c>
      <c r="C44" s="14">
        <f t="shared" si="5"/>
        <v>5.965550624999999E-2</v>
      </c>
      <c r="D44" s="14">
        <f t="shared" si="5"/>
        <v>7.3222738750000016E-2</v>
      </c>
      <c r="E44" s="14">
        <f t="shared" si="5"/>
        <v>6.3072692499999999E-2</v>
      </c>
      <c r="F44" s="14">
        <f t="shared" si="5"/>
        <v>4.5680898750000004E-2</v>
      </c>
      <c r="G44" s="27"/>
      <c r="H44" s="1" t="s">
        <v>276</v>
      </c>
      <c r="I44" s="14">
        <f t="shared" ref="I44:M44" si="6">AVERAGE(I35:I42)</f>
        <v>0.45332964625000005</v>
      </c>
      <c r="J44" s="14">
        <f t="shared" si="6"/>
        <v>0.31464201374999995</v>
      </c>
      <c r="K44" s="14">
        <f t="shared" si="6"/>
        <v>0.32809237624999998</v>
      </c>
      <c r="L44" s="14">
        <f t="shared" si="6"/>
        <v>0.16340134374999998</v>
      </c>
      <c r="M44" s="14">
        <f t="shared" si="6"/>
        <v>0.38304426374999995</v>
      </c>
    </row>
    <row r="46" spans="1:13" ht="15.75" customHeight="1">
      <c r="G46" s="27"/>
    </row>
    <row r="47" spans="1:13" ht="15.75" customHeight="1">
      <c r="B47" s="27"/>
      <c r="C47" s="27"/>
      <c r="D47" s="27"/>
      <c r="E47" s="27"/>
      <c r="F47" s="27"/>
      <c r="G47" s="27"/>
    </row>
    <row r="48" spans="1:13" ht="15.75" customHeight="1">
      <c r="B48" s="27"/>
      <c r="C48" s="27"/>
      <c r="D48" s="27"/>
      <c r="E48" s="27"/>
      <c r="F48" s="27"/>
      <c r="G48" s="27"/>
    </row>
    <row r="49" spans="2:7" ht="15.75" customHeight="1">
      <c r="B49" s="27"/>
      <c r="C49" s="27"/>
      <c r="D49" s="27"/>
      <c r="E49" s="27"/>
      <c r="F49" s="27"/>
      <c r="G49" s="27"/>
    </row>
    <row r="50" spans="2:7" ht="15.75" customHeight="1">
      <c r="B50" s="27"/>
      <c r="C50" s="27"/>
      <c r="D50" s="27"/>
      <c r="E50" s="27"/>
      <c r="F50" s="27"/>
      <c r="G50" s="27"/>
    </row>
    <row r="51" spans="2:7" ht="15.75" customHeight="1">
      <c r="B51" s="27"/>
      <c r="C51" s="27"/>
      <c r="D51" s="27"/>
      <c r="E51" s="27"/>
      <c r="F51" s="27"/>
      <c r="G51" s="27"/>
    </row>
    <row r="52" spans="2:7" ht="15.75" customHeight="1">
      <c r="B52" s="27"/>
      <c r="C52" s="27"/>
      <c r="D52" s="27"/>
      <c r="E52" s="27"/>
      <c r="F52" s="27"/>
      <c r="G52" s="27"/>
    </row>
    <row r="53" spans="2:7" ht="15.75" customHeight="1">
      <c r="B53" s="27"/>
      <c r="C53" s="27"/>
      <c r="D53" s="27"/>
      <c r="E53" s="27"/>
      <c r="F53" s="27"/>
      <c r="G53" s="27"/>
    </row>
    <row r="54" spans="2:7" ht="15.75" customHeight="1">
      <c r="B54" s="27"/>
      <c r="C54" s="27"/>
      <c r="D54" s="27"/>
      <c r="E54" s="27"/>
      <c r="F54" s="27"/>
      <c r="G54" s="27"/>
    </row>
    <row r="55" spans="2:7" ht="15.75" customHeight="1">
      <c r="B55" s="27"/>
      <c r="C55" s="27"/>
      <c r="D55" s="27"/>
      <c r="E55" s="27"/>
      <c r="F55" s="27"/>
      <c r="G55" s="27"/>
    </row>
    <row r="56" spans="2:7" ht="15.75" customHeight="1">
      <c r="B56" s="27"/>
      <c r="C56" s="27"/>
      <c r="D56" s="27"/>
      <c r="E56" s="27"/>
      <c r="F56" s="27"/>
      <c r="G56" s="27"/>
    </row>
    <row r="57" spans="2:7" ht="15.75" customHeight="1">
      <c r="B57" s="27"/>
      <c r="C57" s="27"/>
      <c r="D57" s="27"/>
      <c r="E57" s="27"/>
      <c r="F57" s="27"/>
      <c r="G57" s="27"/>
    </row>
    <row r="58" spans="2:7" ht="15.75" customHeight="1">
      <c r="B58" s="27"/>
      <c r="C58" s="27"/>
      <c r="D58" s="27"/>
      <c r="E58" s="27"/>
      <c r="F58" s="27"/>
      <c r="G58" s="27"/>
    </row>
    <row r="59" spans="2:7" ht="15.75" customHeight="1">
      <c r="B59" s="27"/>
      <c r="C59" s="27"/>
      <c r="D59" s="27"/>
      <c r="E59" s="27"/>
      <c r="F59" s="27"/>
      <c r="G59" s="27"/>
    </row>
    <row r="60" spans="2:7" ht="15.75" customHeight="1">
      <c r="B60" s="27"/>
      <c r="C60" s="27"/>
      <c r="D60" s="27"/>
      <c r="E60" s="27"/>
      <c r="F60" s="27"/>
      <c r="G60" s="2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6D4C-37AC-402B-B5CB-8839889DB852}">
  <sheetPr>
    <outlinePr summaryBelow="0" summaryRight="0"/>
  </sheetPr>
  <dimension ref="A2:P31"/>
  <sheetViews>
    <sheetView workbookViewId="0"/>
  </sheetViews>
  <sheetFormatPr defaultColWidth="12.6640625" defaultRowHeight="15.75" customHeight="1"/>
  <cols>
    <col min="1" max="16384" width="12.6640625" style="2"/>
  </cols>
  <sheetData>
    <row r="2" spans="1:16" ht="15.75" customHeight="1">
      <c r="D2" s="27"/>
      <c r="E2" s="27"/>
      <c r="F2" s="27"/>
      <c r="G2" s="27"/>
      <c r="H2" s="27"/>
      <c r="I2" s="27"/>
    </row>
    <row r="3" spans="1:16" ht="15.75" customHeight="1">
      <c r="A3" s="1" t="s">
        <v>273</v>
      </c>
      <c r="B3" s="1" t="s">
        <v>290</v>
      </c>
      <c r="C3" s="32" t="s">
        <v>331</v>
      </c>
      <c r="D3" s="32" t="s">
        <v>290</v>
      </c>
    </row>
    <row r="4" spans="1:16" ht="15.75" customHeight="1">
      <c r="A4" s="1" t="s">
        <v>39</v>
      </c>
      <c r="B4" s="27">
        <v>0.26700652599999997</v>
      </c>
      <c r="C4" s="32" t="s">
        <v>39</v>
      </c>
      <c r="D4" s="27">
        <v>0.36693156100000002</v>
      </c>
    </row>
    <row r="5" spans="1:16" ht="15.75" customHeight="1">
      <c r="A5" s="1" t="s">
        <v>38</v>
      </c>
      <c r="B5" s="27">
        <v>0.20574354500000003</v>
      </c>
      <c r="C5" s="32" t="s">
        <v>38</v>
      </c>
      <c r="D5" s="27">
        <v>0.29065970099999999</v>
      </c>
    </row>
    <row r="6" spans="1:16" ht="15.75" customHeight="1">
      <c r="A6" s="1" t="s">
        <v>40</v>
      </c>
      <c r="B6" s="27">
        <v>0.24476646399999996</v>
      </c>
      <c r="C6" s="32" t="s">
        <v>40</v>
      </c>
      <c r="D6" s="27">
        <v>0.29895040100000003</v>
      </c>
      <c r="L6" s="27"/>
      <c r="M6" s="27"/>
      <c r="N6" s="27"/>
      <c r="O6" s="27"/>
      <c r="P6" s="27"/>
    </row>
    <row r="7" spans="1:16" ht="15.75" customHeight="1">
      <c r="A7" s="1" t="s">
        <v>63</v>
      </c>
      <c r="B7" s="27">
        <v>0.21015879100000001</v>
      </c>
      <c r="C7" s="32" t="s">
        <v>63</v>
      </c>
      <c r="D7" s="27">
        <v>0.16385292099999998</v>
      </c>
      <c r="L7" s="27"/>
      <c r="M7" s="27"/>
      <c r="N7" s="27"/>
      <c r="O7" s="27"/>
      <c r="P7" s="27"/>
    </row>
    <row r="8" spans="1:16" ht="15.75" customHeight="1">
      <c r="A8" s="1" t="s">
        <v>265</v>
      </c>
      <c r="B8" s="27">
        <v>0.16265669099999999</v>
      </c>
      <c r="C8" s="32" t="s">
        <v>265</v>
      </c>
      <c r="D8" s="27">
        <v>0.31131345499999996</v>
      </c>
    </row>
    <row r="9" spans="1:16" ht="15.75" customHeight="1">
      <c r="B9" s="27"/>
    </row>
    <row r="12" spans="1:16" ht="15.75" customHeight="1">
      <c r="A12" s="1" t="s">
        <v>278</v>
      </c>
      <c r="B12" s="1" t="s">
        <v>290</v>
      </c>
      <c r="D12" s="1" t="s">
        <v>291</v>
      </c>
    </row>
    <row r="13" spans="1:16" ht="15.75" customHeight="1">
      <c r="A13" s="1" t="s">
        <v>39</v>
      </c>
      <c r="B13" s="27">
        <v>0.25085974799999999</v>
      </c>
      <c r="D13" s="27">
        <f t="shared" ref="D13:D17" si="0">ABS(B13-B4)</f>
        <v>1.6146777999999973E-2</v>
      </c>
    </row>
    <row r="14" spans="1:16" ht="15.75" customHeight="1">
      <c r="A14" s="1" t="s">
        <v>38</v>
      </c>
      <c r="B14" s="27">
        <v>0.22820513500000006</v>
      </c>
      <c r="D14" s="27">
        <f t="shared" si="0"/>
        <v>2.2461590000000031E-2</v>
      </c>
    </row>
    <row r="15" spans="1:16" ht="15.75" customHeight="1">
      <c r="A15" s="1" t="s">
        <v>40</v>
      </c>
      <c r="B15" s="27">
        <v>0.25144025000000003</v>
      </c>
      <c r="D15" s="27">
        <f t="shared" si="0"/>
        <v>6.6737860000000704E-3</v>
      </c>
    </row>
    <row r="16" spans="1:16" ht="15.75" customHeight="1">
      <c r="A16" s="1" t="s">
        <v>63</v>
      </c>
      <c r="B16" s="27">
        <v>0.20411424</v>
      </c>
      <c r="D16" s="27">
        <f t="shared" si="0"/>
        <v>6.0445510000000091E-3</v>
      </c>
    </row>
    <row r="17" spans="1:5" ht="15.75" customHeight="1">
      <c r="A17" s="1" t="s">
        <v>265</v>
      </c>
      <c r="B17" s="27">
        <v>0.16078234899999999</v>
      </c>
      <c r="D17" s="27">
        <f t="shared" si="0"/>
        <v>1.8743420000000011E-3</v>
      </c>
    </row>
    <row r="18" spans="1:5" ht="15.75" customHeight="1">
      <c r="B18" s="27"/>
    </row>
    <row r="19" spans="1:5" ht="15.75" customHeight="1">
      <c r="D19" s="1" t="s">
        <v>359</v>
      </c>
    </row>
    <row r="20" spans="1:5" ht="15.75" customHeight="1">
      <c r="D20" s="27">
        <f t="shared" ref="D20:D24" si="1">ABS(B13-D4)</f>
        <v>0.11607181300000002</v>
      </c>
    </row>
    <row r="21" spans="1:5" ht="15.75" customHeight="1">
      <c r="D21" s="27">
        <f t="shared" si="1"/>
        <v>6.2454565999999934E-2</v>
      </c>
    </row>
    <row r="22" spans="1:5" ht="15.75" customHeight="1">
      <c r="D22" s="27">
        <f t="shared" si="1"/>
        <v>4.7510151E-2</v>
      </c>
    </row>
    <row r="23" spans="1:5" ht="15.75" customHeight="1">
      <c r="D23" s="27">
        <f t="shared" si="1"/>
        <v>4.0261319000000018E-2</v>
      </c>
    </row>
    <row r="24" spans="1:5" ht="15.75" customHeight="1">
      <c r="D24" s="27">
        <f t="shared" si="1"/>
        <v>0.15053110599999997</v>
      </c>
    </row>
    <row r="25" spans="1:5" ht="15.75" customHeight="1">
      <c r="D25" s="27"/>
    </row>
    <row r="31" spans="1:5" ht="15.75" customHeight="1">
      <c r="A31" s="27"/>
      <c r="B31" s="27"/>
      <c r="C31" s="27"/>
      <c r="D31" s="27"/>
      <c r="E31" s="2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C05A-1E84-4ECC-95DE-7AFCDE3E7C83}">
  <sheetPr>
    <outlinePr summaryBelow="0" summaryRight="0"/>
  </sheetPr>
  <dimension ref="A3:O27"/>
  <sheetViews>
    <sheetView workbookViewId="0"/>
  </sheetViews>
  <sheetFormatPr defaultColWidth="12.6640625" defaultRowHeight="15.75" customHeight="1"/>
  <cols>
    <col min="1" max="16384" width="12.6640625" style="2"/>
  </cols>
  <sheetData>
    <row r="3" spans="1:15" ht="15.75" customHeight="1">
      <c r="B3" s="1" t="s">
        <v>94</v>
      </c>
      <c r="J3" s="1" t="s">
        <v>95</v>
      </c>
    </row>
    <row r="4" spans="1:15" ht="15.75" customHeight="1">
      <c r="B4" s="1" t="s">
        <v>36</v>
      </c>
      <c r="C4" s="1" t="s">
        <v>39</v>
      </c>
      <c r="D4" s="1" t="s">
        <v>38</v>
      </c>
      <c r="E4" s="1" t="s">
        <v>40</v>
      </c>
      <c r="F4" s="1" t="s">
        <v>63</v>
      </c>
      <c r="G4" s="1" t="s">
        <v>265</v>
      </c>
      <c r="J4" s="1" t="s">
        <v>36</v>
      </c>
      <c r="K4" s="1" t="s">
        <v>39</v>
      </c>
      <c r="L4" s="1" t="s">
        <v>38</v>
      </c>
      <c r="M4" s="1" t="s">
        <v>40</v>
      </c>
      <c r="N4" s="1" t="s">
        <v>63</v>
      </c>
      <c r="O4" s="1" t="s">
        <v>265</v>
      </c>
    </row>
    <row r="5" spans="1:15" ht="15.75" customHeight="1">
      <c r="A5" s="1" t="s">
        <v>41</v>
      </c>
      <c r="B5" s="1">
        <v>0.108</v>
      </c>
      <c r="C5" s="1">
        <v>3.5000000000000003E-2</v>
      </c>
      <c r="D5" s="1">
        <v>0.04</v>
      </c>
      <c r="E5" s="1">
        <v>2.7E-2</v>
      </c>
      <c r="F5" s="1">
        <v>3.3000000000000002E-2</v>
      </c>
      <c r="G5" s="1">
        <v>4.5999999999999999E-2</v>
      </c>
      <c r="I5" s="1" t="s">
        <v>41</v>
      </c>
      <c r="J5" s="1">
        <v>6.4000000000000001E-2</v>
      </c>
      <c r="K5" s="1">
        <v>2.8000000000000001E-2</v>
      </c>
      <c r="L5" s="1">
        <v>1.4999999999999999E-2</v>
      </c>
      <c r="M5" s="1">
        <v>1.9E-2</v>
      </c>
      <c r="N5" s="1">
        <v>1.2E-2</v>
      </c>
      <c r="O5" s="1">
        <v>1.4999999999999999E-2</v>
      </c>
    </row>
    <row r="6" spans="1:15" ht="15.75" customHeight="1">
      <c r="A6" s="1" t="s">
        <v>43</v>
      </c>
      <c r="B6" s="1">
        <v>5.5E-2</v>
      </c>
      <c r="C6" s="14">
        <v>5.0999999999999997E-2</v>
      </c>
      <c r="D6" s="1">
        <v>2.3E-2</v>
      </c>
      <c r="E6" s="14">
        <v>0.05</v>
      </c>
      <c r="F6" s="1">
        <v>0.02</v>
      </c>
      <c r="G6" s="1">
        <v>2.7E-2</v>
      </c>
      <c r="I6" s="1" t="s">
        <v>43</v>
      </c>
      <c r="J6" s="1">
        <v>3.2000000000000001E-2</v>
      </c>
      <c r="K6" s="1">
        <v>1.9E-2</v>
      </c>
      <c r="L6" s="1">
        <v>1.2E-2</v>
      </c>
      <c r="M6" s="1">
        <v>1.2E-2</v>
      </c>
      <c r="N6" s="1">
        <v>0.01</v>
      </c>
      <c r="O6" s="1">
        <v>8.9999999999999993E-3</v>
      </c>
    </row>
    <row r="7" spans="1:15" ht="15.75" customHeight="1">
      <c r="A7" s="1" t="s">
        <v>68</v>
      </c>
      <c r="B7" s="1">
        <v>1.0999999999999999E-2</v>
      </c>
      <c r="C7" s="1">
        <v>0.02</v>
      </c>
      <c r="D7" s="1">
        <v>1.2E-2</v>
      </c>
      <c r="E7" s="1">
        <v>1.4E-2</v>
      </c>
      <c r="F7" s="1">
        <v>1.0999999999999999E-2</v>
      </c>
      <c r="G7" s="1">
        <v>7.0000000000000001E-3</v>
      </c>
      <c r="I7" s="1" t="s">
        <v>68</v>
      </c>
      <c r="J7" s="1">
        <v>1.2999999999999999E-2</v>
      </c>
      <c r="K7" s="1">
        <v>2.1000000000000001E-2</v>
      </c>
      <c r="L7" s="1">
        <v>1.2999999999999999E-2</v>
      </c>
      <c r="M7" s="1">
        <v>1.0999999999999999E-2</v>
      </c>
      <c r="N7" s="1">
        <v>8.9999999999999993E-3</v>
      </c>
      <c r="O7" s="1">
        <v>6.0000000000000001E-3</v>
      </c>
    </row>
    <row r="8" spans="1:15" ht="15.75" customHeight="1">
      <c r="A8" s="1" t="s">
        <v>70</v>
      </c>
      <c r="B8" s="1">
        <v>3.5000000000000003E-2</v>
      </c>
      <c r="C8" s="1">
        <v>2.7E-2</v>
      </c>
      <c r="D8" s="1">
        <v>1.2E-2</v>
      </c>
      <c r="E8" s="1">
        <v>2.1999999999999999E-2</v>
      </c>
      <c r="F8" s="1">
        <v>1.6E-2</v>
      </c>
      <c r="G8" s="1">
        <v>6.0000000000000001E-3</v>
      </c>
      <c r="I8" s="1" t="s">
        <v>70</v>
      </c>
      <c r="J8" s="1">
        <v>3.3000000000000002E-2</v>
      </c>
      <c r="K8" s="1">
        <v>2.9000000000000001E-2</v>
      </c>
      <c r="L8" s="1">
        <v>1.4E-2</v>
      </c>
      <c r="M8" s="1">
        <v>2.3E-2</v>
      </c>
      <c r="N8" s="1">
        <v>1.4999999999999999E-2</v>
      </c>
      <c r="O8" s="1">
        <v>0.01</v>
      </c>
    </row>
    <row r="9" spans="1:15" ht="15.75" customHeight="1">
      <c r="A9" s="1" t="s">
        <v>72</v>
      </c>
      <c r="B9" s="1">
        <v>7.3999999999999996E-2</v>
      </c>
      <c r="C9" s="1">
        <v>1.7999999999999999E-2</v>
      </c>
      <c r="D9" s="1">
        <v>1.6E-2</v>
      </c>
      <c r="E9" s="1">
        <v>1.4999999999999999E-2</v>
      </c>
      <c r="F9" s="1">
        <v>1.0999999999999999E-2</v>
      </c>
      <c r="G9" s="1">
        <v>2.5000000000000001E-2</v>
      </c>
      <c r="I9" s="1" t="s">
        <v>72</v>
      </c>
      <c r="J9" s="1">
        <v>3.3000000000000002E-2</v>
      </c>
      <c r="K9" s="1">
        <v>2.7E-2</v>
      </c>
      <c r="L9" s="1">
        <v>1.4E-2</v>
      </c>
      <c r="M9" s="1">
        <v>2.1999999999999999E-2</v>
      </c>
      <c r="N9" s="1">
        <v>1.4999999999999999E-2</v>
      </c>
      <c r="O9" s="1">
        <v>8.9999999999999993E-3</v>
      </c>
    </row>
    <row r="10" spans="1:15" ht="15.75" customHeight="1">
      <c r="A10" s="1" t="s">
        <v>76</v>
      </c>
      <c r="B10" s="1">
        <v>9.5000000000000001E-2</v>
      </c>
      <c r="C10" s="1">
        <v>0.03</v>
      </c>
      <c r="D10" s="1">
        <v>3.5999999999999997E-2</v>
      </c>
      <c r="E10" s="1">
        <v>2.5999999999999999E-2</v>
      </c>
      <c r="F10" s="1">
        <v>3.4000000000000002E-2</v>
      </c>
      <c r="G10" s="1">
        <v>4.3999999999999997E-2</v>
      </c>
      <c r="I10" s="1" t="s">
        <v>76</v>
      </c>
      <c r="J10" s="1">
        <v>0.126</v>
      </c>
      <c r="K10" s="1">
        <v>2.4E-2</v>
      </c>
      <c r="L10" s="1">
        <v>1.4E-2</v>
      </c>
      <c r="M10" s="1">
        <v>1.6E-2</v>
      </c>
      <c r="N10" s="1">
        <v>3.2000000000000001E-2</v>
      </c>
      <c r="O10" s="1">
        <v>1.7999999999999999E-2</v>
      </c>
    </row>
    <row r="11" spans="1:15" ht="15.75" customHeight="1">
      <c r="A11" s="1" t="s">
        <v>77</v>
      </c>
      <c r="B11" s="1">
        <v>2.1000000000000001E-2</v>
      </c>
      <c r="C11" s="1">
        <v>1.7000000000000001E-2</v>
      </c>
      <c r="D11" s="1">
        <v>8.9999999999999993E-3</v>
      </c>
      <c r="E11" s="1">
        <v>1.4E-2</v>
      </c>
      <c r="F11" s="1">
        <v>1.2E-2</v>
      </c>
      <c r="G11" s="1">
        <v>6.0000000000000001E-3</v>
      </c>
      <c r="I11" s="1" t="s">
        <v>77</v>
      </c>
      <c r="J11" s="1">
        <v>2.4E-2</v>
      </c>
      <c r="K11" s="1">
        <v>1.7000000000000001E-2</v>
      </c>
      <c r="L11" s="1">
        <v>8.9999999999999993E-3</v>
      </c>
      <c r="M11" s="1">
        <v>1.2E-2</v>
      </c>
      <c r="N11" s="1">
        <v>8.0000000000000002E-3</v>
      </c>
      <c r="O11" s="1">
        <v>5.0000000000000001E-3</v>
      </c>
    </row>
    <row r="12" spans="1:15" ht="15.75" customHeight="1">
      <c r="A12" s="1" t="s">
        <v>80</v>
      </c>
      <c r="B12" s="1">
        <v>0.01</v>
      </c>
      <c r="C12" s="1">
        <v>2.4E-2</v>
      </c>
      <c r="D12" s="1">
        <v>1.2E-2</v>
      </c>
      <c r="E12" s="1">
        <v>1.9E-2</v>
      </c>
      <c r="F12" s="1">
        <v>1.4E-2</v>
      </c>
      <c r="G12" s="1">
        <v>6.0000000000000001E-3</v>
      </c>
      <c r="I12" s="1" t="s">
        <v>80</v>
      </c>
      <c r="J12" s="1">
        <v>1.4E-2</v>
      </c>
      <c r="K12" s="1">
        <v>0.02</v>
      </c>
      <c r="L12" s="1">
        <v>1.2E-2</v>
      </c>
      <c r="M12" s="1">
        <v>1.4E-2</v>
      </c>
      <c r="N12" s="1">
        <v>6.0000000000000001E-3</v>
      </c>
      <c r="O12" s="1">
        <v>8.0000000000000002E-3</v>
      </c>
    </row>
    <row r="14" spans="1:15" ht="15.75" customHeight="1">
      <c r="A14" s="1" t="s">
        <v>276</v>
      </c>
      <c r="B14" s="14">
        <f t="shared" ref="B14:G14" si="0">AVERAGE(B5:B12)</f>
        <v>5.1125000000000004E-2</v>
      </c>
      <c r="C14" s="14">
        <f t="shared" si="0"/>
        <v>2.775E-2</v>
      </c>
      <c r="D14" s="14">
        <f t="shared" si="0"/>
        <v>0.02</v>
      </c>
      <c r="E14" s="14">
        <f t="shared" si="0"/>
        <v>2.3375E-2</v>
      </c>
      <c r="F14" s="14">
        <f t="shared" si="0"/>
        <v>1.8875000000000003E-2</v>
      </c>
      <c r="G14" s="14">
        <f t="shared" si="0"/>
        <v>2.0875000000000005E-2</v>
      </c>
      <c r="I14" s="1" t="s">
        <v>276</v>
      </c>
      <c r="J14" s="14">
        <f t="shared" ref="J14:O14" si="1">AVERAGE(J5:J12)</f>
        <v>4.237500000000001E-2</v>
      </c>
      <c r="K14" s="14">
        <f t="shared" si="1"/>
        <v>2.3124999999999996E-2</v>
      </c>
      <c r="L14" s="14">
        <f t="shared" si="1"/>
        <v>1.2874999999999999E-2</v>
      </c>
      <c r="M14" s="14">
        <f t="shared" si="1"/>
        <v>1.6125E-2</v>
      </c>
      <c r="N14" s="14">
        <f t="shared" si="1"/>
        <v>1.3375000000000001E-2</v>
      </c>
      <c r="O14" s="14">
        <f t="shared" si="1"/>
        <v>1.0000000000000002E-2</v>
      </c>
    </row>
    <row r="16" spans="1:15" ht="15.75" customHeight="1">
      <c r="B16" s="1" t="s">
        <v>117</v>
      </c>
    </row>
    <row r="17" spans="1:7" ht="15.75" customHeight="1">
      <c r="B17" s="1" t="s">
        <v>36</v>
      </c>
      <c r="C17" s="1" t="s">
        <v>39</v>
      </c>
      <c r="D17" s="1" t="s">
        <v>38</v>
      </c>
      <c r="E17" s="1" t="s">
        <v>40</v>
      </c>
      <c r="F17" s="1" t="s">
        <v>63</v>
      </c>
      <c r="G17" s="1" t="s">
        <v>265</v>
      </c>
    </row>
    <row r="18" spans="1:7" ht="15.75" customHeight="1">
      <c r="A18" s="1" t="s">
        <v>41</v>
      </c>
      <c r="B18" s="1">
        <v>0.14099999999999999</v>
      </c>
      <c r="C18" s="1">
        <v>0.05</v>
      </c>
      <c r="D18" s="1">
        <v>1.9E-2</v>
      </c>
      <c r="E18" s="1">
        <v>2.7E-2</v>
      </c>
      <c r="F18" s="1">
        <v>1.7999999999999999E-2</v>
      </c>
      <c r="G18" s="1">
        <v>1.0999999999999999E-2</v>
      </c>
    </row>
    <row r="19" spans="1:7" ht="15.75" customHeight="1">
      <c r="A19" s="1" t="s">
        <v>43</v>
      </c>
      <c r="B19" s="1">
        <v>0.14399999999999999</v>
      </c>
      <c r="C19" s="1">
        <v>0.126</v>
      </c>
      <c r="D19" s="1">
        <v>3.9E-2</v>
      </c>
      <c r="E19" s="1">
        <v>0.14599999999999999</v>
      </c>
      <c r="F19" s="1">
        <v>0.16900000000000001</v>
      </c>
      <c r="G19" s="1">
        <v>6.7000000000000004E-2</v>
      </c>
    </row>
    <row r="20" spans="1:7" ht="15.75" customHeight="1">
      <c r="A20" s="1" t="s">
        <v>68</v>
      </c>
      <c r="B20" s="1">
        <v>5.1999999999999998E-2</v>
      </c>
      <c r="C20" s="1">
        <v>2.3E-2</v>
      </c>
      <c r="D20" s="1">
        <v>2.1999999999999999E-2</v>
      </c>
      <c r="E20" s="1">
        <v>3.7999999999999999E-2</v>
      </c>
      <c r="F20" s="1">
        <v>5.8999999999999997E-2</v>
      </c>
      <c r="G20" s="1">
        <v>5.8999999999999997E-2</v>
      </c>
    </row>
    <row r="21" spans="1:7" ht="15.75" customHeight="1">
      <c r="A21" s="1" t="s">
        <v>70</v>
      </c>
      <c r="B21" s="1">
        <v>3.3000000000000002E-2</v>
      </c>
      <c r="C21" s="1">
        <v>3.1E-2</v>
      </c>
      <c r="D21" s="1">
        <v>1.4E-2</v>
      </c>
      <c r="E21" s="1">
        <v>2.1999999999999999E-2</v>
      </c>
      <c r="F21" s="1">
        <v>1.2E-2</v>
      </c>
      <c r="G21" s="1">
        <v>6.0000000000000001E-3</v>
      </c>
    </row>
    <row r="22" spans="1:7" ht="15.75" customHeight="1">
      <c r="A22" s="1" t="s">
        <v>72</v>
      </c>
      <c r="B22" s="1">
        <v>2.5999999999999999E-2</v>
      </c>
      <c r="C22" s="1">
        <v>1.7999999999999999E-2</v>
      </c>
      <c r="D22" s="1">
        <v>4.5999999999999999E-2</v>
      </c>
      <c r="E22" s="1">
        <v>5.3999999999999999E-2</v>
      </c>
      <c r="F22" s="1">
        <v>8.1000000000000003E-2</v>
      </c>
      <c r="G22" s="1">
        <v>7.9000000000000001E-2</v>
      </c>
    </row>
    <row r="23" spans="1:7" ht="15.75" customHeight="1">
      <c r="A23" s="1" t="s">
        <v>76</v>
      </c>
      <c r="B23" s="1">
        <v>0.14499999999999999</v>
      </c>
      <c r="C23" s="1">
        <v>0.13300000000000001</v>
      </c>
      <c r="D23" s="1">
        <v>0.32600000000000001</v>
      </c>
      <c r="E23" s="1">
        <v>0.158</v>
      </c>
      <c r="F23" s="1">
        <v>5.5E-2</v>
      </c>
      <c r="G23" s="1">
        <v>7.2999999999999995E-2</v>
      </c>
    </row>
    <row r="24" spans="1:7" ht="15.75" customHeight="1">
      <c r="A24" s="1" t="s">
        <v>77</v>
      </c>
      <c r="B24" s="1">
        <v>0.10299999999999999</v>
      </c>
      <c r="C24" s="1">
        <v>1.6E-2</v>
      </c>
      <c r="D24" s="1">
        <v>8.9999999999999993E-3</v>
      </c>
      <c r="E24" s="1">
        <v>0.01</v>
      </c>
      <c r="F24" s="1">
        <v>7.0000000000000001E-3</v>
      </c>
      <c r="G24" s="1">
        <v>6.0000000000000001E-3</v>
      </c>
    </row>
    <row r="25" spans="1:7" ht="15.75" customHeight="1">
      <c r="A25" s="1" t="s">
        <v>80</v>
      </c>
      <c r="B25" s="1">
        <v>8.9999999999999993E-3</v>
      </c>
      <c r="C25" s="1">
        <v>2.1999999999999999E-2</v>
      </c>
      <c r="D25" s="1">
        <v>1.4E-2</v>
      </c>
      <c r="E25" s="1">
        <v>1.4999999999999999E-2</v>
      </c>
      <c r="F25" s="1">
        <v>8.0000000000000002E-3</v>
      </c>
      <c r="G25" s="1">
        <v>6.0000000000000001E-3</v>
      </c>
    </row>
    <row r="27" spans="1:7" ht="15.75" customHeight="1">
      <c r="A27" s="1" t="s">
        <v>276</v>
      </c>
      <c r="B27" s="14">
        <f t="shared" ref="B27:G27" si="2">AVERAGE(B18:B25)</f>
        <v>8.1625000000000003E-2</v>
      </c>
      <c r="C27" s="14">
        <f t="shared" si="2"/>
        <v>5.2375000000000005E-2</v>
      </c>
      <c r="D27" s="14">
        <f t="shared" si="2"/>
        <v>6.1124999999999999E-2</v>
      </c>
      <c r="E27" s="14">
        <f t="shared" si="2"/>
        <v>5.8749999999999997E-2</v>
      </c>
      <c r="F27" s="14">
        <f t="shared" si="2"/>
        <v>5.1125000000000004E-2</v>
      </c>
      <c r="G27" s="14">
        <f t="shared" si="2"/>
        <v>3.8375000000000006E-2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DCC9-DF7F-41A9-B9A1-079C439F9541}">
  <sheetPr>
    <outlinePr summaryBelow="0" summaryRight="0"/>
  </sheetPr>
  <dimension ref="A2:W134"/>
  <sheetViews>
    <sheetView workbookViewId="0"/>
  </sheetViews>
  <sheetFormatPr defaultColWidth="12.6640625" defaultRowHeight="15.75" customHeight="1"/>
  <cols>
    <col min="1" max="16384" width="12.6640625" style="2"/>
  </cols>
  <sheetData>
    <row r="2" spans="1:22" ht="15.75" customHeight="1">
      <c r="B2" s="1" t="s">
        <v>297</v>
      </c>
      <c r="D2" s="1" t="s">
        <v>297</v>
      </c>
      <c r="M2" s="1" t="s">
        <v>360</v>
      </c>
      <c r="N2" s="1" t="s">
        <v>273</v>
      </c>
      <c r="O2" s="1" t="s">
        <v>361</v>
      </c>
      <c r="P2" s="1" t="s">
        <v>278</v>
      </c>
      <c r="S2" s="1" t="s">
        <v>360</v>
      </c>
      <c r="T2" s="1" t="s">
        <v>273</v>
      </c>
      <c r="U2" s="1" t="s">
        <v>361</v>
      </c>
      <c r="V2" s="1" t="s">
        <v>278</v>
      </c>
    </row>
    <row r="3" spans="1:22" ht="15.75" customHeight="1">
      <c r="B3" s="1" t="s">
        <v>298</v>
      </c>
      <c r="D3" s="1" t="s">
        <v>299</v>
      </c>
      <c r="M3" s="1" t="s">
        <v>298</v>
      </c>
      <c r="N3" s="1" t="s">
        <v>283</v>
      </c>
      <c r="O3" s="1" t="s">
        <v>299</v>
      </c>
      <c r="P3" s="1" t="s">
        <v>284</v>
      </c>
      <c r="S3" s="1" t="s">
        <v>298</v>
      </c>
      <c r="T3" s="1" t="s">
        <v>283</v>
      </c>
      <c r="U3" s="1" t="s">
        <v>299</v>
      </c>
      <c r="V3" s="1" t="s">
        <v>284</v>
      </c>
    </row>
    <row r="4" spans="1:22" ht="15.75" customHeight="1">
      <c r="A4" s="1" t="s">
        <v>36</v>
      </c>
      <c r="B4" s="14">
        <v>5.1125000000000004E-2</v>
      </c>
      <c r="C4" s="1" t="s">
        <v>36</v>
      </c>
      <c r="D4" s="14">
        <v>4.237500000000001E-2</v>
      </c>
      <c r="L4" s="1" t="s">
        <v>36</v>
      </c>
      <c r="M4" s="14">
        <v>5.1125000000000004E-2</v>
      </c>
      <c r="N4" s="9"/>
      <c r="O4" s="14">
        <v>4.237500000000001E-2</v>
      </c>
      <c r="P4" s="9"/>
      <c r="R4" s="1" t="s">
        <v>36</v>
      </c>
      <c r="S4" s="14">
        <v>5.1125000000000004E-2</v>
      </c>
      <c r="T4" s="9"/>
      <c r="U4" s="14">
        <v>4.237500000000001E-2</v>
      </c>
      <c r="V4" s="9"/>
    </row>
    <row r="5" spans="1:22" ht="15.75" customHeight="1">
      <c r="A5" s="1" t="s">
        <v>39</v>
      </c>
      <c r="B5" s="14">
        <v>2.775E-2</v>
      </c>
      <c r="C5" s="1" t="s">
        <v>39</v>
      </c>
      <c r="D5" s="14">
        <v>2.3124999999999996E-2</v>
      </c>
      <c r="L5" s="1" t="s">
        <v>39</v>
      </c>
      <c r="M5" s="14">
        <v>2.775E-2</v>
      </c>
      <c r="N5" s="27">
        <v>3.1133733999999996E-2</v>
      </c>
      <c r="O5" s="14">
        <v>2.3124999999999996E-2</v>
      </c>
      <c r="P5" s="27">
        <v>2.8621214999999998E-2</v>
      </c>
      <c r="R5" s="1" t="s">
        <v>39</v>
      </c>
      <c r="S5" s="14">
        <v>2.775E-2</v>
      </c>
      <c r="T5" s="27">
        <v>3.1133733999999996E-2</v>
      </c>
      <c r="U5" s="14">
        <v>2.3124999999999996E-2</v>
      </c>
      <c r="V5" s="27">
        <v>2.8621214999999998E-2</v>
      </c>
    </row>
    <row r="6" spans="1:22" ht="15.75" customHeight="1">
      <c r="A6" s="1" t="s">
        <v>38</v>
      </c>
      <c r="B6" s="14">
        <v>0.02</v>
      </c>
      <c r="C6" s="1" t="s">
        <v>38</v>
      </c>
      <c r="D6" s="14">
        <v>1.2874999999999999E-2</v>
      </c>
      <c r="L6" s="1" t="s">
        <v>38</v>
      </c>
      <c r="M6" s="14">
        <v>0.02</v>
      </c>
      <c r="N6" s="27">
        <v>2.3085557E-2</v>
      </c>
      <c r="O6" s="14">
        <v>1.2874999999999999E-2</v>
      </c>
      <c r="P6" s="27">
        <v>2.4061330000000002E-2</v>
      </c>
      <c r="R6" s="1" t="s">
        <v>38</v>
      </c>
      <c r="S6" s="14">
        <v>0.02</v>
      </c>
      <c r="T6" s="27">
        <v>2.3085557E-2</v>
      </c>
      <c r="U6" s="14">
        <v>1.2874999999999999E-2</v>
      </c>
      <c r="V6" s="27">
        <v>2.4061330000000002E-2</v>
      </c>
    </row>
    <row r="7" spans="1:22" ht="15.75" customHeight="1">
      <c r="A7" s="1" t="s">
        <v>40</v>
      </c>
      <c r="B7" s="14">
        <v>2.3375E-2</v>
      </c>
      <c r="C7" s="1" t="s">
        <v>40</v>
      </c>
      <c r="D7" s="14">
        <v>1.6125E-2</v>
      </c>
      <c r="L7" s="1" t="s">
        <v>40</v>
      </c>
      <c r="M7" s="14">
        <v>2.3375E-2</v>
      </c>
      <c r="N7" s="27">
        <v>2.6526242999999998E-2</v>
      </c>
      <c r="O7" s="14">
        <v>1.6125E-2</v>
      </c>
      <c r="P7" s="27">
        <v>2.6142786000000001E-2</v>
      </c>
      <c r="R7" s="1" t="s">
        <v>40</v>
      </c>
      <c r="S7" s="14">
        <v>2.3375E-2</v>
      </c>
      <c r="T7" s="27">
        <v>2.6526242999999998E-2</v>
      </c>
      <c r="U7" s="14">
        <v>1.6125E-2</v>
      </c>
      <c r="V7" s="27">
        <v>2.6142786000000001E-2</v>
      </c>
    </row>
    <row r="8" spans="1:22" ht="15.75" customHeight="1">
      <c r="A8" s="1" t="s">
        <v>63</v>
      </c>
      <c r="B8" s="14">
        <v>1.8875000000000003E-2</v>
      </c>
      <c r="C8" s="1" t="s">
        <v>63</v>
      </c>
      <c r="D8" s="14">
        <v>1.3375000000000001E-2</v>
      </c>
      <c r="L8" s="1" t="s">
        <v>63</v>
      </c>
      <c r="M8" s="14">
        <v>1.8875000000000003E-2</v>
      </c>
      <c r="N8" s="27">
        <v>2.2542802000000001E-2</v>
      </c>
      <c r="O8" s="14">
        <v>1.3375000000000001E-2</v>
      </c>
      <c r="P8" s="27">
        <v>2.1457932000000002E-2</v>
      </c>
      <c r="R8" s="1" t="s">
        <v>63</v>
      </c>
      <c r="S8" s="14">
        <v>1.8875000000000003E-2</v>
      </c>
      <c r="T8" s="27">
        <v>2.2542802000000001E-2</v>
      </c>
      <c r="U8" s="14">
        <v>1.3375000000000001E-2</v>
      </c>
      <c r="V8" s="27">
        <v>2.1457932000000002E-2</v>
      </c>
    </row>
    <row r="9" spans="1:22" ht="15.75" customHeight="1">
      <c r="A9" s="1" t="s">
        <v>265</v>
      </c>
      <c r="B9" s="14">
        <v>2.0875000000000005E-2</v>
      </c>
      <c r="C9" s="1" t="s">
        <v>265</v>
      </c>
      <c r="D9" s="14">
        <v>1.0000000000000002E-2</v>
      </c>
      <c r="L9" s="1" t="s">
        <v>265</v>
      </c>
      <c r="M9" s="14">
        <v>2.0875000000000005E-2</v>
      </c>
      <c r="N9" s="27">
        <v>1.7439823E-2</v>
      </c>
      <c r="O9" s="14">
        <v>1.0000000000000002E-2</v>
      </c>
      <c r="P9" s="97">
        <v>1.7034539999999997E-2</v>
      </c>
      <c r="R9" s="1" t="s">
        <v>265</v>
      </c>
      <c r="S9" s="14">
        <v>2.0875000000000005E-2</v>
      </c>
      <c r="T9" s="27">
        <v>1.7439823E-2</v>
      </c>
      <c r="U9" s="14">
        <v>1.0000000000000002E-2</v>
      </c>
      <c r="V9" s="103">
        <v>1.7299999999999999E-2</v>
      </c>
    </row>
    <row r="12" spans="1:22" ht="15.75" customHeight="1">
      <c r="A12" s="14"/>
      <c r="B12" s="14"/>
      <c r="C12" s="14"/>
      <c r="D12" s="14"/>
      <c r="E12" s="14"/>
      <c r="F12" s="14"/>
    </row>
    <row r="13" spans="1:22" ht="15.75" customHeight="1">
      <c r="A13" s="14"/>
      <c r="B13" s="14"/>
      <c r="C13" s="14"/>
      <c r="D13" s="14"/>
      <c r="E13" s="14"/>
      <c r="F13" s="14"/>
    </row>
    <row r="31" spans="12:17" ht="15.75" customHeight="1">
      <c r="L31" s="14"/>
      <c r="M31" s="14" t="s">
        <v>325</v>
      </c>
      <c r="N31" s="14" t="s">
        <v>362</v>
      </c>
      <c r="O31" s="14"/>
      <c r="P31" s="14"/>
      <c r="Q31" s="14"/>
    </row>
    <row r="35" spans="12:22" ht="15.75" customHeight="1">
      <c r="L35" s="1" t="s">
        <v>363</v>
      </c>
      <c r="M35" s="1" t="s">
        <v>360</v>
      </c>
      <c r="N35" s="1" t="s">
        <v>273</v>
      </c>
      <c r="O35" s="1" t="s">
        <v>361</v>
      </c>
      <c r="P35" s="1" t="s">
        <v>278</v>
      </c>
      <c r="R35" s="1" t="s">
        <v>364</v>
      </c>
      <c r="S35" s="1" t="s">
        <v>360</v>
      </c>
      <c r="T35" s="1" t="s">
        <v>273</v>
      </c>
      <c r="U35" s="1" t="s">
        <v>361</v>
      </c>
      <c r="V35" s="1" t="s">
        <v>278</v>
      </c>
    </row>
    <row r="36" spans="12:22" ht="15.75" customHeight="1">
      <c r="M36" s="1" t="s">
        <v>365</v>
      </c>
      <c r="N36" s="1" t="s">
        <v>366</v>
      </c>
      <c r="O36" s="1" t="s">
        <v>367</v>
      </c>
      <c r="P36" s="1" t="s">
        <v>368</v>
      </c>
      <c r="S36" s="1" t="s">
        <v>365</v>
      </c>
      <c r="T36" s="1" t="s">
        <v>366</v>
      </c>
      <c r="U36" s="1" t="s">
        <v>367</v>
      </c>
      <c r="V36" s="1" t="s">
        <v>368</v>
      </c>
    </row>
    <row r="37" spans="12:22" ht="15.75" customHeight="1">
      <c r="L37" s="1" t="s">
        <v>36</v>
      </c>
      <c r="M37" s="1">
        <v>0.108</v>
      </c>
      <c r="O37" s="1">
        <v>6.4000000000000001E-2</v>
      </c>
      <c r="R37" s="1" t="s">
        <v>36</v>
      </c>
      <c r="S37" s="1">
        <v>5.5E-2</v>
      </c>
      <c r="U37" s="1">
        <v>3.2000000000000001E-2</v>
      </c>
    </row>
    <row r="38" spans="12:22" ht="15.75" customHeight="1">
      <c r="L38" s="1" t="s">
        <v>39</v>
      </c>
      <c r="M38" s="1">
        <v>3.5000000000000003E-2</v>
      </c>
      <c r="N38" s="27">
        <v>4.1989760000000001E-2</v>
      </c>
      <c r="O38" s="1">
        <v>2.8000000000000001E-2</v>
      </c>
      <c r="P38" s="27">
        <v>3.8540499999999998E-2</v>
      </c>
      <c r="R38" s="1" t="s">
        <v>39</v>
      </c>
      <c r="S38" s="1">
        <v>5.0999999999999997E-2</v>
      </c>
      <c r="T38" s="27">
        <v>3.6784669999999998E-2</v>
      </c>
      <c r="U38" s="1">
        <v>1.9E-2</v>
      </c>
      <c r="V38" s="27">
        <v>2.4468409999999999E-2</v>
      </c>
    </row>
    <row r="39" spans="12:22" ht="15.75" customHeight="1">
      <c r="L39" s="1" t="s">
        <v>38</v>
      </c>
      <c r="M39" s="1">
        <v>0.04</v>
      </c>
      <c r="N39" s="27">
        <v>3.4789939999999998E-2</v>
      </c>
      <c r="O39" s="1">
        <v>1.4999999999999999E-2</v>
      </c>
      <c r="P39" s="27">
        <v>2.849281E-2</v>
      </c>
      <c r="R39" s="1" t="s">
        <v>38</v>
      </c>
      <c r="S39" s="1">
        <v>2.3E-2</v>
      </c>
      <c r="T39" s="27">
        <v>2.747194E-2</v>
      </c>
      <c r="U39" s="1">
        <v>1.2E-2</v>
      </c>
      <c r="V39" s="27">
        <v>1.8415040000000001E-2</v>
      </c>
    </row>
    <row r="40" spans="12:22" ht="15.75" customHeight="1">
      <c r="L40" s="1" t="s">
        <v>40</v>
      </c>
      <c r="M40" s="1">
        <v>2.7E-2</v>
      </c>
      <c r="N40" s="27">
        <v>3.9509620000000002E-2</v>
      </c>
      <c r="O40" s="1">
        <v>1.9E-2</v>
      </c>
      <c r="P40" s="27">
        <v>3.2832859999999998E-2</v>
      </c>
      <c r="R40" s="1" t="s">
        <v>40</v>
      </c>
      <c r="S40" s="1">
        <v>0.05</v>
      </c>
      <c r="T40" s="27">
        <v>3.093106E-2</v>
      </c>
      <c r="U40" s="1">
        <v>1.2E-2</v>
      </c>
      <c r="V40" s="27">
        <v>1.9949870000000001E-2</v>
      </c>
    </row>
    <row r="41" spans="12:22" ht="15.75" customHeight="1">
      <c r="L41" s="1" t="s">
        <v>63</v>
      </c>
      <c r="M41" s="1">
        <v>3.3000000000000002E-2</v>
      </c>
      <c r="N41" s="27">
        <v>3.514602E-2</v>
      </c>
      <c r="O41" s="1">
        <v>1.2E-2</v>
      </c>
      <c r="P41" s="27">
        <v>2.6068190000000001E-2</v>
      </c>
      <c r="R41" s="1" t="s">
        <v>63</v>
      </c>
      <c r="S41" s="1">
        <v>0.02</v>
      </c>
      <c r="T41" s="27">
        <v>2.6252089999999999E-2</v>
      </c>
      <c r="U41" s="1">
        <v>0.01</v>
      </c>
      <c r="V41" s="27">
        <v>1.7648819999999999E-2</v>
      </c>
    </row>
    <row r="42" spans="12:22" ht="15.75" customHeight="1">
      <c r="L42" s="1" t="s">
        <v>265</v>
      </c>
      <c r="M42" s="1">
        <v>4.5999999999999999E-2</v>
      </c>
      <c r="N42" s="27">
        <v>2.8503440000000001E-2</v>
      </c>
      <c r="O42" s="1">
        <v>1.4999999999999999E-2</v>
      </c>
      <c r="P42" s="27">
        <v>2.0188190000000002E-2</v>
      </c>
      <c r="R42" s="1" t="s">
        <v>265</v>
      </c>
      <c r="S42" s="1">
        <v>2.7E-2</v>
      </c>
      <c r="T42" s="27">
        <v>1.9992309999999999E-2</v>
      </c>
      <c r="U42" s="1">
        <v>8.9999999999999993E-3</v>
      </c>
      <c r="V42" s="103">
        <v>1.509199E-2</v>
      </c>
    </row>
    <row r="45" spans="12:22" ht="15.75" customHeight="1">
      <c r="L45" s="27"/>
      <c r="M45" s="27"/>
      <c r="N45" s="27"/>
      <c r="O45" s="27"/>
      <c r="P45" s="27"/>
      <c r="Q45" s="27"/>
    </row>
    <row r="47" spans="12:22" ht="15.75" customHeight="1">
      <c r="R47" s="27"/>
      <c r="S47" s="27"/>
      <c r="T47" s="27"/>
      <c r="U47" s="27"/>
      <c r="V47" s="27"/>
    </row>
    <row r="48" spans="12:22" ht="15.75" customHeight="1">
      <c r="R48" s="27"/>
      <c r="S48" s="27"/>
      <c r="T48" s="27"/>
      <c r="U48" s="27"/>
      <c r="V48" s="27"/>
    </row>
    <row r="63" spans="12:22" ht="15.75" customHeight="1">
      <c r="L63" s="1" t="s">
        <v>369</v>
      </c>
      <c r="M63" s="1" t="s">
        <v>360</v>
      </c>
      <c r="N63" s="1" t="s">
        <v>273</v>
      </c>
      <c r="O63" s="1" t="s">
        <v>361</v>
      </c>
      <c r="P63" s="1" t="s">
        <v>278</v>
      </c>
      <c r="R63" s="1" t="s">
        <v>370</v>
      </c>
      <c r="S63" s="1" t="s">
        <v>360</v>
      </c>
      <c r="T63" s="1" t="s">
        <v>273</v>
      </c>
      <c r="U63" s="1" t="s">
        <v>361</v>
      </c>
      <c r="V63" s="1" t="s">
        <v>278</v>
      </c>
    </row>
    <row r="64" spans="12:22" ht="15.75" customHeight="1">
      <c r="M64" s="1" t="s">
        <v>365</v>
      </c>
      <c r="N64" s="1" t="s">
        <v>366</v>
      </c>
      <c r="O64" s="1" t="s">
        <v>367</v>
      </c>
      <c r="P64" s="1" t="s">
        <v>368</v>
      </c>
      <c r="S64" s="1" t="s">
        <v>365</v>
      </c>
      <c r="T64" s="1" t="s">
        <v>366</v>
      </c>
      <c r="U64" s="1" t="s">
        <v>367</v>
      </c>
      <c r="V64" s="1" t="s">
        <v>368</v>
      </c>
    </row>
    <row r="65" spans="12:22" ht="15.75" customHeight="1">
      <c r="L65" s="1" t="s">
        <v>36</v>
      </c>
      <c r="M65" s="1">
        <v>1.0999999999999999E-2</v>
      </c>
      <c r="O65" s="1">
        <v>1.2999999999999999E-2</v>
      </c>
      <c r="R65" s="1" t="s">
        <v>36</v>
      </c>
      <c r="S65" s="1">
        <v>2.1000000000000001E-2</v>
      </c>
      <c r="U65" s="1">
        <v>2.4E-2</v>
      </c>
    </row>
    <row r="66" spans="12:22" ht="15.75" customHeight="1">
      <c r="L66" s="1" t="s">
        <v>39</v>
      </c>
      <c r="M66" s="1">
        <v>0.02</v>
      </c>
      <c r="N66" s="27">
        <v>2.545569E-2</v>
      </c>
      <c r="O66" s="1">
        <v>2.1000000000000001E-2</v>
      </c>
      <c r="P66" s="27">
        <v>2.8138920000000001E-2</v>
      </c>
      <c r="R66" s="1" t="s">
        <v>39</v>
      </c>
      <c r="S66" s="1">
        <v>1.7000000000000001E-2</v>
      </c>
      <c r="T66" s="27">
        <v>2.4517939999999998E-2</v>
      </c>
      <c r="U66" s="1">
        <v>1.7000000000000001E-2</v>
      </c>
      <c r="V66" s="27">
        <v>1.7000169999999998E-2</v>
      </c>
    </row>
    <row r="67" spans="12:22" ht="15.75" customHeight="1">
      <c r="L67" s="1" t="s">
        <v>38</v>
      </c>
      <c r="M67" s="1">
        <v>1.2E-2</v>
      </c>
      <c r="N67" s="27">
        <v>1.7206570000000001E-2</v>
      </c>
      <c r="O67" s="1">
        <v>1.2999999999999999E-2</v>
      </c>
      <c r="P67" s="27">
        <v>1.975909E-2</v>
      </c>
      <c r="R67" s="1" t="s">
        <v>38</v>
      </c>
      <c r="S67" s="1">
        <v>8.9999999999999993E-3</v>
      </c>
      <c r="T67" s="27">
        <v>1.7611849999999998E-2</v>
      </c>
      <c r="U67" s="1">
        <v>8.9999999999999993E-3</v>
      </c>
      <c r="V67" s="27">
        <v>1.284977E-2</v>
      </c>
    </row>
    <row r="68" spans="12:22" ht="15.75" customHeight="1">
      <c r="L68" s="1" t="s">
        <v>40</v>
      </c>
      <c r="M68" s="1">
        <v>1.4E-2</v>
      </c>
      <c r="N68" s="27">
        <v>1.9594480000000001E-2</v>
      </c>
      <c r="O68" s="1">
        <v>1.0999999999999999E-2</v>
      </c>
      <c r="P68" s="27">
        <v>1.9272629999999999E-2</v>
      </c>
      <c r="R68" s="1" t="s">
        <v>40</v>
      </c>
      <c r="S68" s="1">
        <v>1.4E-2</v>
      </c>
      <c r="T68" s="27">
        <v>2.0572360000000001E-2</v>
      </c>
      <c r="U68" s="1">
        <v>1.2E-2</v>
      </c>
      <c r="V68" s="27">
        <v>1.3493969999999999E-2</v>
      </c>
    </row>
    <row r="69" spans="12:22" ht="15.75" customHeight="1">
      <c r="L69" s="1" t="s">
        <v>63</v>
      </c>
      <c r="M69" s="1">
        <v>1.0999999999999999E-2</v>
      </c>
      <c r="N69" s="27">
        <v>1.6188089999999999E-2</v>
      </c>
      <c r="O69" s="1">
        <v>8.9999999999999993E-3</v>
      </c>
      <c r="P69" s="27">
        <v>1.452756E-2</v>
      </c>
      <c r="R69" s="1" t="s">
        <v>63</v>
      </c>
      <c r="S69" s="1">
        <v>1.2E-2</v>
      </c>
      <c r="T69" s="27">
        <v>1.796321E-2</v>
      </c>
      <c r="U69" s="1">
        <v>8.0000000000000002E-3</v>
      </c>
      <c r="V69" s="27">
        <v>1.234421E-2</v>
      </c>
    </row>
    <row r="70" spans="12:22" ht="15.75" customHeight="1">
      <c r="L70" s="1" t="s">
        <v>265</v>
      </c>
      <c r="M70" s="1">
        <v>7.0000000000000001E-3</v>
      </c>
      <c r="N70" s="27">
        <v>1.271304E-2</v>
      </c>
      <c r="O70" s="1">
        <v>6.0000000000000001E-3</v>
      </c>
      <c r="P70" s="27">
        <v>1.2225730000000001E-2</v>
      </c>
      <c r="R70" s="1" t="s">
        <v>265</v>
      </c>
      <c r="S70" s="1">
        <v>6.0000000000000001E-3</v>
      </c>
      <c r="T70" s="27">
        <v>1.3449829999999999E-2</v>
      </c>
      <c r="U70" s="1">
        <v>5.0000000000000001E-3</v>
      </c>
      <c r="V70" s="27">
        <v>9.0916599999999997E-3</v>
      </c>
    </row>
    <row r="72" spans="12:22" ht="15.75" customHeight="1">
      <c r="L72" s="27"/>
      <c r="M72" s="27"/>
      <c r="N72" s="27"/>
      <c r="O72" s="27"/>
      <c r="P72" s="27"/>
    </row>
    <row r="75" spans="12:22" ht="15.75" customHeight="1">
      <c r="R75" s="27"/>
      <c r="S75" s="27"/>
      <c r="T75" s="27"/>
      <c r="U75" s="27"/>
      <c r="V75" s="27"/>
    </row>
    <row r="93" spans="12:22" ht="15.75" customHeight="1">
      <c r="L93" s="1" t="s">
        <v>371</v>
      </c>
      <c r="M93" s="1" t="s">
        <v>360</v>
      </c>
      <c r="N93" s="1" t="s">
        <v>273</v>
      </c>
      <c r="O93" s="1" t="s">
        <v>361</v>
      </c>
      <c r="P93" s="1" t="s">
        <v>278</v>
      </c>
      <c r="R93" s="1" t="s">
        <v>372</v>
      </c>
      <c r="S93" s="1" t="s">
        <v>360</v>
      </c>
      <c r="T93" s="1" t="s">
        <v>273</v>
      </c>
      <c r="U93" s="1" t="s">
        <v>361</v>
      </c>
      <c r="V93" s="1" t="s">
        <v>278</v>
      </c>
    </row>
    <row r="94" spans="12:22" ht="15.75" customHeight="1">
      <c r="M94" s="1" t="s">
        <v>365</v>
      </c>
      <c r="N94" s="1" t="s">
        <v>366</v>
      </c>
      <c r="O94" s="1" t="s">
        <v>367</v>
      </c>
      <c r="P94" s="1" t="s">
        <v>368</v>
      </c>
      <c r="S94" s="1" t="s">
        <v>365</v>
      </c>
      <c r="T94" s="1" t="s">
        <v>366</v>
      </c>
      <c r="U94" s="1" t="s">
        <v>367</v>
      </c>
      <c r="V94" s="1" t="s">
        <v>368</v>
      </c>
    </row>
    <row r="95" spans="12:22" ht="15.75" customHeight="1">
      <c r="L95" s="1" t="s">
        <v>36</v>
      </c>
      <c r="M95" s="1">
        <v>7.3999999999999996E-2</v>
      </c>
      <c r="O95" s="1">
        <v>3.3000000000000002E-2</v>
      </c>
      <c r="R95" s="1" t="s">
        <v>36</v>
      </c>
      <c r="S95" s="1">
        <v>9.5000000000000001E-2</v>
      </c>
      <c r="U95" s="1">
        <v>0.126</v>
      </c>
    </row>
    <row r="96" spans="12:22" ht="15.75" customHeight="1">
      <c r="L96" s="1" t="s">
        <v>39</v>
      </c>
      <c r="M96" s="1">
        <v>1.7999999999999999E-2</v>
      </c>
      <c r="N96" s="27">
        <v>4.077679E-2</v>
      </c>
      <c r="O96" s="1">
        <v>2.7E-2</v>
      </c>
      <c r="P96" s="27">
        <v>3.1478649999999997E-2</v>
      </c>
      <c r="R96" s="1" t="s">
        <v>39</v>
      </c>
      <c r="S96" s="1">
        <v>0.03</v>
      </c>
      <c r="T96" s="27">
        <v>4.1462609999999997E-2</v>
      </c>
      <c r="U96" s="1">
        <v>2.4E-2</v>
      </c>
      <c r="V96" s="27">
        <v>4.8714800000000003E-2</v>
      </c>
    </row>
    <row r="97" spans="12:23" ht="15.75" customHeight="1">
      <c r="L97" s="1" t="s">
        <v>38</v>
      </c>
      <c r="M97" s="1">
        <v>1.6E-2</v>
      </c>
      <c r="N97" s="27">
        <v>3.2225539999999997E-2</v>
      </c>
      <c r="O97" s="1">
        <v>1.4E-2</v>
      </c>
      <c r="P97" s="27">
        <v>2.2314029999999999E-2</v>
      </c>
      <c r="R97" s="1" t="s">
        <v>38</v>
      </c>
      <c r="S97" s="1">
        <v>3.5999999999999997E-2</v>
      </c>
      <c r="T97" s="27">
        <v>3.3029240000000001E-2</v>
      </c>
      <c r="U97" s="1">
        <v>1.4E-2</v>
      </c>
      <c r="V97" s="27">
        <v>3.7881520000000002E-2</v>
      </c>
    </row>
    <row r="98" spans="12:23" ht="15.75" customHeight="1">
      <c r="L98" s="1" t="s">
        <v>40</v>
      </c>
      <c r="M98" s="1">
        <v>1.4999999999999999E-2</v>
      </c>
      <c r="N98" s="27">
        <v>3.9237809999999998E-2</v>
      </c>
      <c r="O98" s="1">
        <v>2.1999999999999999E-2</v>
      </c>
      <c r="P98" s="27">
        <v>2.6700580000000002E-2</v>
      </c>
      <c r="R98" s="1" t="s">
        <v>40</v>
      </c>
      <c r="S98" s="1">
        <v>2.5999999999999999E-2</v>
      </c>
      <c r="T98" s="27">
        <v>3.728252E-2</v>
      </c>
      <c r="U98" s="1">
        <v>1.6E-2</v>
      </c>
      <c r="V98" s="27">
        <v>4.2369560000000001E-2</v>
      </c>
    </row>
    <row r="99" spans="12:23" ht="15.75" customHeight="1">
      <c r="L99" s="1" t="s">
        <v>63</v>
      </c>
      <c r="M99" s="1">
        <v>1.0999999999999999E-2</v>
      </c>
      <c r="N99" s="27">
        <v>3.3002700000000003E-2</v>
      </c>
      <c r="O99" s="1">
        <v>1.4999999999999999E-2</v>
      </c>
      <c r="P99" s="27">
        <v>2.1631350000000001E-2</v>
      </c>
      <c r="R99" s="1" t="s">
        <v>63</v>
      </c>
      <c r="S99" s="1">
        <v>3.4000000000000002E-2</v>
      </c>
      <c r="T99" s="27">
        <v>3.2352930000000002E-2</v>
      </c>
      <c r="U99" s="1">
        <v>3.2000000000000001E-2</v>
      </c>
      <c r="V99" s="27">
        <v>3.254286E-2</v>
      </c>
    </row>
    <row r="100" spans="12:23" ht="15.75" customHeight="1">
      <c r="L100" s="1" t="s">
        <v>265</v>
      </c>
      <c r="M100" s="1">
        <v>2.5000000000000001E-2</v>
      </c>
      <c r="N100" s="27">
        <v>2.39458E-2</v>
      </c>
      <c r="O100" s="1">
        <v>8.9999999999999993E-3</v>
      </c>
      <c r="P100" s="27">
        <v>1.677085E-2</v>
      </c>
      <c r="R100" s="1" t="s">
        <v>265</v>
      </c>
      <c r="S100" s="1">
        <v>4.3999999999999997E-2</v>
      </c>
      <c r="T100" s="27">
        <v>2.5991940000000002E-2</v>
      </c>
      <c r="U100" s="1">
        <v>1.7999999999999999E-2</v>
      </c>
      <c r="V100" s="27">
        <v>2.5085639999999999E-2</v>
      </c>
    </row>
    <row r="103" spans="12:23" ht="15.75" customHeight="1">
      <c r="L103" s="27"/>
      <c r="M103" s="27"/>
      <c r="N103" s="27"/>
      <c r="O103" s="27"/>
      <c r="P103" s="27"/>
      <c r="S103" s="27"/>
      <c r="T103" s="27"/>
      <c r="U103" s="27"/>
      <c r="V103" s="27"/>
      <c r="W103" s="27"/>
    </row>
    <row r="104" spans="12:23" ht="15.75" customHeight="1">
      <c r="L104" s="27"/>
      <c r="M104" s="27"/>
      <c r="N104" s="27"/>
      <c r="O104" s="27"/>
      <c r="P104" s="27"/>
      <c r="S104" s="27"/>
      <c r="T104" s="27"/>
      <c r="U104" s="27"/>
      <c r="V104" s="27"/>
      <c r="W104" s="27"/>
    </row>
    <row r="121" spans="12:22" ht="15.75" customHeight="1">
      <c r="L121" s="44"/>
    </row>
    <row r="123" spans="12:22" ht="15.75" customHeight="1">
      <c r="L123" s="1" t="s">
        <v>373</v>
      </c>
      <c r="M123" s="1" t="s">
        <v>360</v>
      </c>
      <c r="N123" s="1" t="s">
        <v>273</v>
      </c>
      <c r="O123" s="1" t="s">
        <v>361</v>
      </c>
      <c r="P123" s="1" t="s">
        <v>278</v>
      </c>
      <c r="R123" s="1" t="s">
        <v>374</v>
      </c>
      <c r="S123" s="1" t="s">
        <v>360</v>
      </c>
      <c r="T123" s="1" t="s">
        <v>273</v>
      </c>
      <c r="U123" s="1" t="s">
        <v>361</v>
      </c>
      <c r="V123" s="1" t="s">
        <v>278</v>
      </c>
    </row>
    <row r="124" spans="12:22" ht="15.75" customHeight="1">
      <c r="M124" s="1" t="s">
        <v>365</v>
      </c>
      <c r="N124" s="1" t="s">
        <v>366</v>
      </c>
      <c r="O124" s="1" t="s">
        <v>367</v>
      </c>
      <c r="P124" s="1" t="s">
        <v>368</v>
      </c>
      <c r="S124" s="1" t="s">
        <v>365</v>
      </c>
      <c r="T124" s="1" t="s">
        <v>366</v>
      </c>
      <c r="U124" s="1" t="s">
        <v>367</v>
      </c>
      <c r="V124" s="1" t="s">
        <v>368</v>
      </c>
    </row>
    <row r="125" spans="12:22" ht="15.75" customHeight="1">
      <c r="L125" s="1" t="s">
        <v>36</v>
      </c>
      <c r="M125" s="1">
        <v>3.5000000000000003E-2</v>
      </c>
      <c r="O125" s="1">
        <v>3.3000000000000002E-2</v>
      </c>
      <c r="R125" s="1" t="s">
        <v>36</v>
      </c>
      <c r="S125" s="1">
        <v>0.01</v>
      </c>
      <c r="U125" s="1">
        <v>1.4E-2</v>
      </c>
    </row>
    <row r="126" spans="12:22" ht="15.75" customHeight="1">
      <c r="L126" s="1" t="s">
        <v>39</v>
      </c>
      <c r="M126" s="1">
        <v>2.7E-2</v>
      </c>
      <c r="N126" s="27">
        <v>3.4539830000000001E-2</v>
      </c>
      <c r="O126" s="1">
        <v>2.9000000000000001E-2</v>
      </c>
      <c r="P126" s="27">
        <v>3.4437660000000002E-2</v>
      </c>
      <c r="R126" s="1" t="s">
        <v>39</v>
      </c>
      <c r="S126" s="1">
        <v>2.4E-2</v>
      </c>
      <c r="T126" s="27">
        <v>2.1474980000000001E-2</v>
      </c>
      <c r="U126" s="1">
        <v>0.02</v>
      </c>
      <c r="V126" s="27">
        <v>1.9335629999999999E-2</v>
      </c>
    </row>
    <row r="127" spans="12:22" ht="15.75" customHeight="1">
      <c r="L127" s="1" t="s">
        <v>38</v>
      </c>
      <c r="M127" s="1">
        <v>1.2E-2</v>
      </c>
      <c r="N127" s="27">
        <v>2.4564869999999999E-2</v>
      </c>
      <c r="O127" s="1">
        <v>1.4E-2</v>
      </c>
      <c r="P127" s="27">
        <v>2.520294E-2</v>
      </c>
      <c r="R127" s="1" t="s">
        <v>38</v>
      </c>
      <c r="S127" s="1">
        <v>1.2E-2</v>
      </c>
      <c r="T127" s="27">
        <v>1.499867E-2</v>
      </c>
      <c r="U127" s="1">
        <v>1.2E-2</v>
      </c>
      <c r="V127" s="27">
        <v>1.370829E-2</v>
      </c>
    </row>
    <row r="128" spans="12:22" ht="15.75" customHeight="1">
      <c r="L128" s="1" t="s">
        <v>40</v>
      </c>
      <c r="M128" s="1">
        <v>2.1999999999999999E-2</v>
      </c>
      <c r="N128" s="27">
        <v>2.9918779999999999E-2</v>
      </c>
      <c r="O128" s="1">
        <v>2.3E-2</v>
      </c>
      <c r="P128" s="27">
        <v>2.9584289999999999E-2</v>
      </c>
      <c r="R128" s="1" t="s">
        <v>40</v>
      </c>
      <c r="S128" s="1">
        <v>1.9E-2</v>
      </c>
      <c r="T128" s="27">
        <v>1.6621380000000002E-2</v>
      </c>
      <c r="U128" s="1">
        <v>1.4E-2</v>
      </c>
      <c r="V128" s="27">
        <v>1.4527780000000001E-2</v>
      </c>
    </row>
    <row r="129" spans="12:22" ht="15.75" customHeight="1">
      <c r="L129" s="1" t="s">
        <v>63</v>
      </c>
      <c r="M129" s="1">
        <v>1.6E-2</v>
      </c>
      <c r="N129" s="27">
        <v>2.596298E-2</v>
      </c>
      <c r="O129" s="1">
        <v>1.4999999999999999E-2</v>
      </c>
      <c r="P129" s="27">
        <v>2.4055610000000002E-2</v>
      </c>
      <c r="R129" s="1" t="s">
        <v>63</v>
      </c>
      <c r="S129" s="1">
        <v>1.4E-2</v>
      </c>
      <c r="T129" s="27">
        <v>1.2716E-2</v>
      </c>
      <c r="U129" s="1">
        <v>6.0000000000000001E-3</v>
      </c>
      <c r="V129" s="27">
        <v>1.0990679999999999E-2</v>
      </c>
    </row>
    <row r="130" spans="12:22" ht="15.75" customHeight="1">
      <c r="L130" s="1" t="s">
        <v>265</v>
      </c>
      <c r="M130" s="1">
        <v>6.0000000000000001E-3</v>
      </c>
      <c r="N130" s="27">
        <v>1.9575499999999999E-2</v>
      </c>
      <c r="O130" s="1">
        <v>0.01</v>
      </c>
      <c r="P130" s="27">
        <v>1.772663E-2</v>
      </c>
      <c r="R130" s="1" t="s">
        <v>265</v>
      </c>
      <c r="S130" s="1">
        <v>6.0000000000000001E-3</v>
      </c>
      <c r="T130" s="27">
        <v>9.7566700000000003E-3</v>
      </c>
      <c r="U130" s="1">
        <v>8.0000000000000002E-3</v>
      </c>
      <c r="V130" s="27">
        <v>8.2262499999999992E-3</v>
      </c>
    </row>
    <row r="132" spans="12:22" ht="15.75" customHeight="1">
      <c r="R132" s="27"/>
      <c r="S132" s="27"/>
      <c r="T132" s="27"/>
      <c r="U132" s="27"/>
      <c r="V132" s="27"/>
    </row>
    <row r="133" spans="12:22" ht="15.75" customHeight="1">
      <c r="L133" s="27"/>
      <c r="M133" s="27"/>
      <c r="N133" s="27"/>
      <c r="O133" s="27"/>
      <c r="P133" s="27"/>
      <c r="R133" s="27"/>
      <c r="S133" s="27"/>
      <c r="T133" s="27"/>
      <c r="U133" s="27"/>
      <c r="V133" s="27"/>
    </row>
    <row r="134" spans="12:22" ht="15.75" customHeight="1">
      <c r="L134" s="27"/>
      <c r="M134" s="27"/>
      <c r="N134" s="27"/>
      <c r="O134" s="27"/>
      <c r="P134" s="2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CE59-C84F-4980-89B3-57CA96E376AE}">
  <sheetPr>
    <outlinePr summaryBelow="0" summaryRight="0"/>
  </sheetPr>
  <dimension ref="A2:W134"/>
  <sheetViews>
    <sheetView workbookViewId="0"/>
  </sheetViews>
  <sheetFormatPr defaultColWidth="12.6640625" defaultRowHeight="15.75" customHeight="1"/>
  <cols>
    <col min="1" max="16384" width="12.6640625" style="2"/>
  </cols>
  <sheetData>
    <row r="2" spans="1:22" ht="15.75" customHeight="1">
      <c r="B2" s="1" t="s">
        <v>297</v>
      </c>
      <c r="D2" s="1" t="s">
        <v>297</v>
      </c>
      <c r="M2" s="1" t="s">
        <v>361</v>
      </c>
      <c r="N2" s="1" t="s">
        <v>273</v>
      </c>
      <c r="O2" s="1" t="s">
        <v>361</v>
      </c>
      <c r="P2" s="1" t="s">
        <v>278</v>
      </c>
      <c r="S2" s="1" t="s">
        <v>361</v>
      </c>
      <c r="T2" s="1" t="s">
        <v>273</v>
      </c>
      <c r="U2" s="1" t="s">
        <v>361</v>
      </c>
      <c r="V2" s="1" t="s">
        <v>278</v>
      </c>
    </row>
    <row r="3" spans="1:22" ht="15.75" customHeight="1">
      <c r="B3" s="1" t="s">
        <v>375</v>
      </c>
      <c r="D3" s="1" t="s">
        <v>299</v>
      </c>
      <c r="M3" s="1" t="s">
        <v>376</v>
      </c>
      <c r="N3" s="1" t="s">
        <v>283</v>
      </c>
      <c r="O3" s="1" t="s">
        <v>299</v>
      </c>
      <c r="P3" s="1" t="s">
        <v>284</v>
      </c>
      <c r="S3" s="1" t="s">
        <v>376</v>
      </c>
      <c r="T3" s="1" t="s">
        <v>283</v>
      </c>
      <c r="U3" s="1" t="s">
        <v>299</v>
      </c>
      <c r="V3" s="1" t="s">
        <v>284</v>
      </c>
    </row>
    <row r="4" spans="1:22" ht="15.75" customHeight="1">
      <c r="A4" s="1" t="s">
        <v>36</v>
      </c>
      <c r="B4" s="14">
        <v>8.1625000000000003E-2</v>
      </c>
      <c r="C4" s="1" t="s">
        <v>36</v>
      </c>
      <c r="D4" s="14">
        <v>4.237500000000001E-2</v>
      </c>
      <c r="L4" s="1" t="s">
        <v>36</v>
      </c>
      <c r="M4" s="14">
        <v>8.1625000000000003E-2</v>
      </c>
      <c r="N4" s="9"/>
      <c r="O4" s="14">
        <v>4.237500000000001E-2</v>
      </c>
      <c r="P4" s="9"/>
      <c r="R4" s="1" t="s">
        <v>36</v>
      </c>
      <c r="S4" s="14">
        <v>8.1625000000000003E-2</v>
      </c>
      <c r="T4" s="9"/>
      <c r="U4" s="14">
        <v>4.237500000000001E-2</v>
      </c>
      <c r="V4" s="9"/>
    </row>
    <row r="5" spans="1:22" ht="15.75" customHeight="1">
      <c r="A5" s="1" t="s">
        <v>39</v>
      </c>
      <c r="B5" s="14">
        <v>5.2375000000000005E-2</v>
      </c>
      <c r="C5" s="1" t="s">
        <v>39</v>
      </c>
      <c r="D5" s="14">
        <v>2.3124999999999996E-2</v>
      </c>
      <c r="L5" s="1" t="s">
        <v>39</v>
      </c>
      <c r="M5" s="14">
        <v>5.2375000000000005E-2</v>
      </c>
      <c r="N5" s="27">
        <v>0.53934774109999994</v>
      </c>
      <c r="O5" s="14">
        <v>2.3124999999999996E-2</v>
      </c>
      <c r="P5" s="27">
        <v>2.8621214999999998E-2</v>
      </c>
      <c r="R5" s="1" t="s">
        <v>39</v>
      </c>
      <c r="S5" s="14">
        <v>5.2375000000000005E-2</v>
      </c>
      <c r="T5" s="27">
        <v>0.53934774109999994</v>
      </c>
      <c r="U5" s="14">
        <v>2.3124999999999996E-2</v>
      </c>
      <c r="V5" s="27">
        <v>2.8621214999999998E-2</v>
      </c>
    </row>
    <row r="6" spans="1:22" ht="15.75" customHeight="1">
      <c r="A6" s="1" t="s">
        <v>38</v>
      </c>
      <c r="B6" s="14">
        <v>6.1124999999999999E-2</v>
      </c>
      <c r="C6" s="1" t="s">
        <v>38</v>
      </c>
      <c r="D6" s="14">
        <v>1.2874999999999999E-2</v>
      </c>
      <c r="L6" s="1" t="s">
        <v>38</v>
      </c>
      <c r="M6" s="14">
        <v>6.1124999999999999E-2</v>
      </c>
      <c r="N6" s="27">
        <v>0.63802813380000001</v>
      </c>
      <c r="O6" s="14">
        <v>1.2874999999999999E-2</v>
      </c>
      <c r="P6" s="27">
        <v>2.4061330000000002E-2</v>
      </c>
      <c r="R6" s="1" t="s">
        <v>38</v>
      </c>
      <c r="S6" s="14">
        <v>6.1124999999999999E-2</v>
      </c>
      <c r="T6" s="27">
        <v>0.63802813380000001</v>
      </c>
      <c r="U6" s="14">
        <v>1.2874999999999999E-2</v>
      </c>
      <c r="V6" s="27">
        <v>2.4061330000000002E-2</v>
      </c>
    </row>
    <row r="7" spans="1:22" ht="15.75" customHeight="1">
      <c r="A7" s="1" t="s">
        <v>40</v>
      </c>
      <c r="B7" s="14">
        <v>5.8749999999999997E-2</v>
      </c>
      <c r="C7" s="1" t="s">
        <v>40</v>
      </c>
      <c r="D7" s="14">
        <v>1.6125E-2</v>
      </c>
      <c r="L7" s="1" t="s">
        <v>40</v>
      </c>
      <c r="M7" s="14">
        <v>5.8749999999999997E-2</v>
      </c>
      <c r="N7" s="27">
        <v>0.62083550809999999</v>
      </c>
      <c r="O7" s="14">
        <v>1.6125E-2</v>
      </c>
      <c r="P7" s="27">
        <v>2.6142786000000001E-2</v>
      </c>
      <c r="R7" s="1" t="s">
        <v>40</v>
      </c>
      <c r="S7" s="14">
        <v>5.8749999999999997E-2</v>
      </c>
      <c r="T7" s="27">
        <v>0.62083550809999999</v>
      </c>
      <c r="U7" s="14">
        <v>1.6125E-2</v>
      </c>
      <c r="V7" s="27">
        <v>2.6142786000000001E-2</v>
      </c>
    </row>
    <row r="8" spans="1:22" ht="15.75" customHeight="1">
      <c r="A8" s="1" t="s">
        <v>63</v>
      </c>
      <c r="B8" s="14">
        <v>5.1125000000000004E-2</v>
      </c>
      <c r="C8" s="1" t="s">
        <v>63</v>
      </c>
      <c r="D8" s="14">
        <v>1.3375000000000001E-2</v>
      </c>
      <c r="L8" s="1" t="s">
        <v>63</v>
      </c>
      <c r="M8" s="14">
        <v>5.1125000000000004E-2</v>
      </c>
      <c r="N8" s="27">
        <v>0.69249229850000005</v>
      </c>
      <c r="O8" s="14">
        <v>1.3375000000000001E-2</v>
      </c>
      <c r="P8" s="27">
        <v>2.1457932000000002E-2</v>
      </c>
      <c r="R8" s="1" t="s">
        <v>63</v>
      </c>
      <c r="S8" s="14">
        <v>5.1125000000000004E-2</v>
      </c>
      <c r="T8" s="27">
        <v>0.69249229850000005</v>
      </c>
      <c r="U8" s="14">
        <v>1.3375000000000001E-2</v>
      </c>
      <c r="V8" s="27">
        <v>2.1457932000000002E-2</v>
      </c>
    </row>
    <row r="9" spans="1:22" ht="15.75" customHeight="1">
      <c r="A9" s="1" t="s">
        <v>265</v>
      </c>
      <c r="B9" s="14">
        <v>3.8375000000000006E-2</v>
      </c>
      <c r="C9" s="1" t="s">
        <v>265</v>
      </c>
      <c r="D9" s="14">
        <v>1.0000000000000002E-2</v>
      </c>
      <c r="L9" s="1" t="s">
        <v>265</v>
      </c>
      <c r="M9" s="14">
        <v>3.8375000000000006E-2</v>
      </c>
      <c r="N9" s="27">
        <v>0.71090607980000009</v>
      </c>
      <c r="O9" s="14">
        <v>1.0000000000000002E-2</v>
      </c>
      <c r="P9" s="97">
        <v>2.3286822999999998E-2</v>
      </c>
      <c r="R9" s="1" t="s">
        <v>265</v>
      </c>
      <c r="S9" s="14">
        <v>3.8375000000000006E-2</v>
      </c>
      <c r="T9" s="27">
        <v>0.71090607980000009</v>
      </c>
      <c r="U9" s="14">
        <v>1.0000000000000002E-2</v>
      </c>
      <c r="V9" s="103">
        <v>1.7299999999999999E-2</v>
      </c>
    </row>
    <row r="12" spans="1:22" ht="15.75" customHeight="1">
      <c r="A12" s="14"/>
      <c r="B12" s="14"/>
      <c r="C12" s="14"/>
      <c r="D12" s="14"/>
      <c r="E12" s="14"/>
      <c r="F12" s="14"/>
    </row>
    <row r="13" spans="1:22" ht="15.75" customHeight="1">
      <c r="A13" s="14"/>
      <c r="B13" s="14"/>
      <c r="C13" s="14"/>
      <c r="D13" s="14"/>
      <c r="E13" s="14"/>
      <c r="F13" s="14"/>
    </row>
    <row r="31" spans="12:17" ht="15.75" customHeight="1">
      <c r="L31" s="14"/>
      <c r="M31" s="14" t="s">
        <v>325</v>
      </c>
      <c r="N31" s="14" t="s">
        <v>362</v>
      </c>
      <c r="O31" s="14"/>
      <c r="P31" s="14"/>
      <c r="Q31" s="14"/>
    </row>
    <row r="35" spans="12:22" ht="15.75" customHeight="1">
      <c r="L35" s="1" t="s">
        <v>363</v>
      </c>
      <c r="M35" s="1" t="s">
        <v>361</v>
      </c>
      <c r="N35" s="1" t="s">
        <v>273</v>
      </c>
      <c r="O35" s="1" t="s">
        <v>361</v>
      </c>
      <c r="P35" s="1" t="s">
        <v>278</v>
      </c>
      <c r="R35" s="1" t="s">
        <v>364</v>
      </c>
      <c r="S35" s="1" t="s">
        <v>361</v>
      </c>
      <c r="T35" s="1" t="s">
        <v>273</v>
      </c>
      <c r="U35" s="1" t="s">
        <v>361</v>
      </c>
      <c r="V35" s="1" t="s">
        <v>278</v>
      </c>
    </row>
    <row r="36" spans="12:22" ht="15.75" customHeight="1">
      <c r="M36" s="1" t="s">
        <v>377</v>
      </c>
      <c r="N36" s="1" t="s">
        <v>366</v>
      </c>
      <c r="O36" s="1" t="s">
        <v>367</v>
      </c>
      <c r="P36" s="1" t="s">
        <v>368</v>
      </c>
      <c r="S36" s="1" t="s">
        <v>377</v>
      </c>
      <c r="T36" s="1" t="s">
        <v>366</v>
      </c>
      <c r="U36" s="1" t="s">
        <v>367</v>
      </c>
      <c r="V36" s="1" t="s">
        <v>368</v>
      </c>
    </row>
    <row r="37" spans="12:22" ht="15.75" customHeight="1">
      <c r="L37" s="1" t="s">
        <v>36</v>
      </c>
      <c r="M37" s="1">
        <v>0.14099999999999999</v>
      </c>
      <c r="O37" s="1">
        <v>6.4000000000000001E-2</v>
      </c>
      <c r="R37" s="1" t="s">
        <v>36</v>
      </c>
      <c r="S37" s="1">
        <v>0.14399999999999999</v>
      </c>
      <c r="U37" s="1">
        <v>3.2000000000000001E-2</v>
      </c>
    </row>
    <row r="38" spans="12:22" ht="15.75" customHeight="1">
      <c r="L38" s="1" t="s">
        <v>39</v>
      </c>
      <c r="M38" s="1">
        <v>0.05</v>
      </c>
      <c r="N38" s="1">
        <v>0.17</v>
      </c>
      <c r="O38" s="1">
        <v>2.8000000000000001E-2</v>
      </c>
      <c r="P38" s="27">
        <v>3.8540499999999998E-2</v>
      </c>
      <c r="R38" s="1" t="s">
        <v>39</v>
      </c>
      <c r="S38" s="1">
        <v>0.126</v>
      </c>
      <c r="T38" s="1">
        <v>0.104</v>
      </c>
      <c r="U38" s="1">
        <v>1.9E-2</v>
      </c>
      <c r="V38" s="27">
        <v>2.4468409999999999E-2</v>
      </c>
    </row>
    <row r="39" spans="12:22" ht="15.75" customHeight="1">
      <c r="L39" s="1" t="s">
        <v>38</v>
      </c>
      <c r="M39" s="1">
        <v>1.9E-2</v>
      </c>
      <c r="N39" s="1">
        <v>5.3199999999999997E-2</v>
      </c>
      <c r="O39" s="1">
        <v>1.4999999999999999E-2</v>
      </c>
      <c r="P39" s="27">
        <v>2.849281E-2</v>
      </c>
      <c r="R39" s="1" t="s">
        <v>38</v>
      </c>
      <c r="S39" s="1">
        <v>3.9E-2</v>
      </c>
      <c r="T39" s="1">
        <v>0.11459999999999999</v>
      </c>
      <c r="U39" s="1">
        <v>1.2E-2</v>
      </c>
      <c r="V39" s="27">
        <v>1.8415040000000001E-2</v>
      </c>
    </row>
    <row r="40" spans="12:22" ht="15.75" customHeight="1">
      <c r="L40" s="1" t="s">
        <v>40</v>
      </c>
      <c r="M40" s="1">
        <v>2.7E-2</v>
      </c>
      <c r="N40" s="1">
        <v>0.12759999999999999</v>
      </c>
      <c r="O40" s="1">
        <v>1.9E-2</v>
      </c>
      <c r="P40" s="27">
        <v>3.2832859999999998E-2</v>
      </c>
      <c r="R40" s="1" t="s">
        <v>40</v>
      </c>
      <c r="S40" s="1">
        <v>0.14599999999999999</v>
      </c>
      <c r="T40" s="1">
        <v>8.0199999999999994E-2</v>
      </c>
      <c r="U40" s="1">
        <v>1.2E-2</v>
      </c>
      <c r="V40" s="27">
        <v>1.9949870000000001E-2</v>
      </c>
    </row>
    <row r="41" spans="12:22" ht="15.75" customHeight="1">
      <c r="L41" s="1" t="s">
        <v>63</v>
      </c>
      <c r="M41" s="1">
        <v>1.7999999999999999E-2</v>
      </c>
      <c r="N41" s="1">
        <v>4.9299999999999997E-2</v>
      </c>
      <c r="O41" s="1">
        <v>1.2E-2</v>
      </c>
      <c r="P41" s="27">
        <v>2.6068190000000001E-2</v>
      </c>
      <c r="R41" s="1" t="s">
        <v>63</v>
      </c>
      <c r="S41" s="1">
        <v>0.16900000000000001</v>
      </c>
      <c r="T41" s="1">
        <v>5.6099999999999997E-2</v>
      </c>
      <c r="U41" s="1">
        <v>0.01</v>
      </c>
      <c r="V41" s="27">
        <v>1.7648819999999999E-2</v>
      </c>
    </row>
    <row r="42" spans="12:22" ht="15.75" customHeight="1">
      <c r="L42" s="1" t="s">
        <v>265</v>
      </c>
      <c r="M42" s="1">
        <v>1.0999999999999999E-2</v>
      </c>
      <c r="N42" s="1">
        <v>4.2700000000000002E-2</v>
      </c>
      <c r="O42" s="1">
        <v>1.4999999999999999E-2</v>
      </c>
      <c r="P42" s="27">
        <v>2.0188190000000002E-2</v>
      </c>
      <c r="R42" s="1" t="s">
        <v>265</v>
      </c>
      <c r="S42" s="1">
        <v>6.7000000000000004E-2</v>
      </c>
      <c r="T42" s="1">
        <v>7.1199999999999999E-2</v>
      </c>
      <c r="U42" s="1">
        <v>8.9999999999999993E-3</v>
      </c>
      <c r="V42" s="103">
        <v>1.509199E-2</v>
      </c>
    </row>
    <row r="45" spans="12:22" ht="15.75" customHeight="1">
      <c r="L45" s="27"/>
      <c r="M45" s="27"/>
      <c r="N45" s="27"/>
      <c r="O45" s="27"/>
      <c r="P45" s="27"/>
      <c r="Q45" s="27"/>
    </row>
    <row r="47" spans="12:22" ht="15.75" customHeight="1">
      <c r="R47" s="27"/>
      <c r="S47" s="27"/>
      <c r="T47" s="27"/>
      <c r="U47" s="27"/>
      <c r="V47" s="27"/>
    </row>
    <row r="48" spans="12:22" ht="15.75" customHeight="1">
      <c r="R48" s="27"/>
      <c r="S48" s="27"/>
      <c r="T48" s="27"/>
      <c r="U48" s="27"/>
      <c r="V48" s="27"/>
    </row>
    <row r="63" spans="12:22" ht="15.75" customHeight="1">
      <c r="L63" s="1" t="s">
        <v>369</v>
      </c>
      <c r="M63" s="1" t="s">
        <v>361</v>
      </c>
      <c r="N63" s="1" t="s">
        <v>273</v>
      </c>
      <c r="O63" s="1" t="s">
        <v>361</v>
      </c>
      <c r="P63" s="1" t="s">
        <v>278</v>
      </c>
      <c r="R63" s="1" t="s">
        <v>370</v>
      </c>
      <c r="S63" s="1" t="s">
        <v>361</v>
      </c>
      <c r="T63" s="1" t="s">
        <v>273</v>
      </c>
      <c r="U63" s="1" t="s">
        <v>361</v>
      </c>
      <c r="V63" s="1" t="s">
        <v>278</v>
      </c>
    </row>
    <row r="64" spans="12:22" ht="15.75" customHeight="1">
      <c r="M64" s="1" t="s">
        <v>377</v>
      </c>
      <c r="N64" s="1" t="s">
        <v>366</v>
      </c>
      <c r="O64" s="1" t="s">
        <v>367</v>
      </c>
      <c r="P64" s="1" t="s">
        <v>368</v>
      </c>
      <c r="S64" s="1" t="s">
        <v>377</v>
      </c>
      <c r="T64" s="1" t="s">
        <v>366</v>
      </c>
      <c r="U64" s="1" t="s">
        <v>367</v>
      </c>
      <c r="V64" s="1" t="s">
        <v>368</v>
      </c>
    </row>
    <row r="65" spans="12:22" ht="15.75" customHeight="1">
      <c r="L65" s="1" t="s">
        <v>36</v>
      </c>
      <c r="M65" s="1">
        <v>5.1999999999999998E-2</v>
      </c>
      <c r="O65" s="1">
        <v>1.2999999999999999E-2</v>
      </c>
      <c r="R65" s="1" t="s">
        <v>36</v>
      </c>
      <c r="S65" s="1">
        <v>0.10299999999999999</v>
      </c>
      <c r="U65" s="1">
        <v>2.4E-2</v>
      </c>
    </row>
    <row r="66" spans="12:22" ht="15.75" customHeight="1">
      <c r="L66" s="1" t="s">
        <v>39</v>
      </c>
      <c r="M66" s="1">
        <v>2.3E-2</v>
      </c>
      <c r="N66" s="1">
        <v>4.2299999999999997E-2</v>
      </c>
      <c r="O66" s="1">
        <v>2.1000000000000001E-2</v>
      </c>
      <c r="P66" s="27">
        <v>2.8138920000000001E-2</v>
      </c>
      <c r="R66" s="1" t="s">
        <v>39</v>
      </c>
      <c r="S66" s="1">
        <v>1.6E-2</v>
      </c>
      <c r="T66" s="1">
        <v>2.6800000000000001E-2</v>
      </c>
      <c r="U66" s="1">
        <v>1.7000000000000001E-2</v>
      </c>
      <c r="V66" s="27">
        <v>1.7000169999999998E-2</v>
      </c>
    </row>
    <row r="67" spans="12:22" ht="15.75" customHeight="1">
      <c r="L67" s="1" t="s">
        <v>38</v>
      </c>
      <c r="M67" s="1">
        <v>2.1999999999999999E-2</v>
      </c>
      <c r="N67" s="1">
        <v>3.0599999999999999E-2</v>
      </c>
      <c r="O67" s="1">
        <v>1.2999999999999999E-2</v>
      </c>
      <c r="P67" s="27">
        <v>1.975909E-2</v>
      </c>
      <c r="R67" s="1" t="s">
        <v>38</v>
      </c>
      <c r="S67" s="1">
        <v>8.9999999999999993E-3</v>
      </c>
      <c r="T67" s="1">
        <v>1.9E-2</v>
      </c>
      <c r="U67" s="1">
        <v>8.9999999999999993E-3</v>
      </c>
      <c r="V67" s="27">
        <v>1.284977E-2</v>
      </c>
    </row>
    <row r="68" spans="12:22" ht="15.75" customHeight="1">
      <c r="L68" s="1" t="s">
        <v>40</v>
      </c>
      <c r="M68" s="1">
        <v>3.7999999999999999E-2</v>
      </c>
      <c r="N68" s="1">
        <v>2.2700000000000001E-2</v>
      </c>
      <c r="O68" s="1">
        <v>1.0999999999999999E-2</v>
      </c>
      <c r="P68" s="27">
        <v>1.9272629999999999E-2</v>
      </c>
      <c r="R68" s="1" t="s">
        <v>40</v>
      </c>
      <c r="S68" s="1">
        <v>0.01</v>
      </c>
      <c r="T68" s="1">
        <v>2.1700000000000001E-2</v>
      </c>
      <c r="U68" s="1">
        <v>1.2E-2</v>
      </c>
      <c r="V68" s="27">
        <v>1.3493969999999999E-2</v>
      </c>
    </row>
    <row r="69" spans="12:22" ht="15.75" customHeight="1">
      <c r="L69" s="1" t="s">
        <v>63</v>
      </c>
      <c r="M69" s="1">
        <v>5.8999999999999997E-2</v>
      </c>
      <c r="N69" s="1">
        <v>1.7299999999999999E-2</v>
      </c>
      <c r="O69" s="1">
        <v>8.9999999999999993E-3</v>
      </c>
      <c r="P69" s="27">
        <v>1.452756E-2</v>
      </c>
      <c r="R69" s="1" t="s">
        <v>63</v>
      </c>
      <c r="S69" s="1">
        <v>7.0000000000000001E-3</v>
      </c>
      <c r="T69" s="1">
        <v>1.7999999999999999E-2</v>
      </c>
      <c r="U69" s="1">
        <v>8.0000000000000002E-3</v>
      </c>
      <c r="V69" s="27">
        <v>1.234421E-2</v>
      </c>
    </row>
    <row r="70" spans="12:22" ht="15.75" customHeight="1">
      <c r="L70" s="1" t="s">
        <v>265</v>
      </c>
      <c r="M70" s="1">
        <v>5.8999999999999997E-2</v>
      </c>
      <c r="N70" s="1">
        <v>1.4500000000000001E-2</v>
      </c>
      <c r="O70" s="1">
        <v>6.0000000000000001E-3</v>
      </c>
      <c r="P70" s="27">
        <v>1.2225730000000001E-2</v>
      </c>
      <c r="R70" s="1" t="s">
        <v>265</v>
      </c>
      <c r="S70" s="1">
        <v>6.0000000000000001E-3</v>
      </c>
      <c r="T70" s="1">
        <v>1.34E-2</v>
      </c>
      <c r="U70" s="1">
        <v>5.0000000000000001E-3</v>
      </c>
      <c r="V70" s="27">
        <v>9.0916599999999997E-3</v>
      </c>
    </row>
    <row r="72" spans="12:22" ht="15.75" customHeight="1">
      <c r="L72" s="27"/>
      <c r="M72" s="27"/>
      <c r="N72" s="27"/>
      <c r="O72" s="27"/>
      <c r="P72" s="27"/>
    </row>
    <row r="75" spans="12:22" ht="15.75" customHeight="1">
      <c r="R75" s="27"/>
      <c r="S75" s="27"/>
      <c r="T75" s="27"/>
      <c r="U75" s="27"/>
      <c r="V75" s="27"/>
    </row>
    <row r="93" spans="12:22" ht="15.75" customHeight="1">
      <c r="L93" s="1" t="s">
        <v>371</v>
      </c>
      <c r="M93" s="1" t="s">
        <v>361</v>
      </c>
      <c r="N93" s="1" t="s">
        <v>273</v>
      </c>
      <c r="O93" s="1" t="s">
        <v>361</v>
      </c>
      <c r="P93" s="1" t="s">
        <v>278</v>
      </c>
      <c r="R93" s="1" t="s">
        <v>372</v>
      </c>
      <c r="S93" s="1" t="s">
        <v>361</v>
      </c>
      <c r="T93" s="1" t="s">
        <v>273</v>
      </c>
      <c r="U93" s="1" t="s">
        <v>361</v>
      </c>
      <c r="V93" s="1" t="s">
        <v>278</v>
      </c>
    </row>
    <row r="94" spans="12:22" ht="15.75" customHeight="1">
      <c r="M94" s="1" t="s">
        <v>377</v>
      </c>
      <c r="N94" s="1" t="s">
        <v>366</v>
      </c>
      <c r="O94" s="1" t="s">
        <v>367</v>
      </c>
      <c r="P94" s="1" t="s">
        <v>368</v>
      </c>
      <c r="S94" s="1" t="s">
        <v>377</v>
      </c>
      <c r="T94" s="1" t="s">
        <v>366</v>
      </c>
      <c r="U94" s="1" t="s">
        <v>367</v>
      </c>
      <c r="V94" s="1" t="s">
        <v>368</v>
      </c>
    </row>
    <row r="95" spans="12:22" ht="15.75" customHeight="1">
      <c r="L95" s="1" t="s">
        <v>36</v>
      </c>
      <c r="M95" s="1">
        <v>2.5999999999999999E-2</v>
      </c>
      <c r="O95" s="1">
        <v>3.3000000000000002E-2</v>
      </c>
      <c r="R95" s="1" t="s">
        <v>36</v>
      </c>
      <c r="S95" s="1">
        <v>0.14499999999999999</v>
      </c>
      <c r="U95" s="1">
        <v>0.126</v>
      </c>
    </row>
    <row r="96" spans="12:22" ht="15.75" customHeight="1">
      <c r="L96" s="1" t="s">
        <v>39</v>
      </c>
      <c r="M96" s="1">
        <v>1.7999999999999999E-2</v>
      </c>
      <c r="N96" s="1">
        <v>4.0800000000000003E-2</v>
      </c>
      <c r="O96" s="1">
        <v>2.7E-2</v>
      </c>
      <c r="P96" s="27">
        <v>3.1478649999999997E-2</v>
      </c>
      <c r="R96" s="1" t="s">
        <v>39</v>
      </c>
      <c r="S96" s="1">
        <v>0.13300000000000001</v>
      </c>
      <c r="T96" s="1">
        <v>0.11840000000000001</v>
      </c>
      <c r="U96" s="1">
        <v>2.4E-2</v>
      </c>
      <c r="V96" s="27">
        <v>4.8714800000000003E-2</v>
      </c>
    </row>
    <row r="97" spans="12:23" ht="15.75" customHeight="1">
      <c r="L97" s="1" t="s">
        <v>38</v>
      </c>
      <c r="M97" s="1">
        <v>4.5999999999999999E-2</v>
      </c>
      <c r="N97" s="1">
        <v>4.0500000000000001E-2</v>
      </c>
      <c r="O97" s="1">
        <v>1.4E-2</v>
      </c>
      <c r="P97" s="27">
        <v>2.2314029999999999E-2</v>
      </c>
      <c r="R97" s="1" t="s">
        <v>38</v>
      </c>
      <c r="S97" s="1">
        <v>0.32600000000000001</v>
      </c>
      <c r="T97" s="1">
        <v>0.1221</v>
      </c>
      <c r="U97" s="1">
        <v>1.4E-2</v>
      </c>
      <c r="V97" s="27">
        <v>3.7881520000000002E-2</v>
      </c>
    </row>
    <row r="98" spans="12:23" ht="15.75" customHeight="1">
      <c r="L98" s="1" t="s">
        <v>40</v>
      </c>
      <c r="M98" s="1">
        <v>5.3999999999999999E-2</v>
      </c>
      <c r="N98" s="1">
        <v>4.3200000000000002E-2</v>
      </c>
      <c r="O98" s="1">
        <v>2.1999999999999999E-2</v>
      </c>
      <c r="P98" s="27">
        <v>2.6700580000000002E-2</v>
      </c>
      <c r="R98" s="1" t="s">
        <v>40</v>
      </c>
      <c r="S98" s="1">
        <v>0.158</v>
      </c>
      <c r="T98" s="1">
        <v>9.35E-2</v>
      </c>
      <c r="U98" s="1">
        <v>1.6E-2</v>
      </c>
      <c r="V98" s="27">
        <v>4.2369560000000001E-2</v>
      </c>
    </row>
    <row r="99" spans="12:23" ht="15.75" customHeight="1">
      <c r="L99" s="1" t="s">
        <v>63</v>
      </c>
      <c r="M99" s="1">
        <v>8.1000000000000003E-2</v>
      </c>
      <c r="N99" s="1">
        <v>3.1399999999999997E-2</v>
      </c>
      <c r="O99" s="1">
        <v>1.4999999999999999E-2</v>
      </c>
      <c r="P99" s="27">
        <v>2.1631350000000001E-2</v>
      </c>
      <c r="R99" s="1" t="s">
        <v>63</v>
      </c>
      <c r="S99" s="1">
        <v>5.5E-2</v>
      </c>
      <c r="T99" s="1">
        <v>8.3599999999999994E-2</v>
      </c>
      <c r="U99" s="1">
        <v>3.2000000000000001E-2</v>
      </c>
      <c r="V99" s="27">
        <v>3.254286E-2</v>
      </c>
    </row>
    <row r="100" spans="12:23" ht="15.75" customHeight="1">
      <c r="L100" s="1" t="s">
        <v>265</v>
      </c>
      <c r="M100" s="1">
        <v>7.9000000000000001E-2</v>
      </c>
      <c r="N100" s="1">
        <v>0.1535</v>
      </c>
      <c r="O100" s="1">
        <v>8.9999999999999993E-3</v>
      </c>
      <c r="P100" s="27">
        <v>1.677085E-2</v>
      </c>
      <c r="R100" s="1" t="s">
        <v>265</v>
      </c>
      <c r="S100" s="1">
        <v>7.2999999999999995E-2</v>
      </c>
      <c r="T100" s="1">
        <v>6.5799999999999997E-2</v>
      </c>
      <c r="U100" s="1">
        <v>1.7999999999999999E-2</v>
      </c>
      <c r="V100" s="27">
        <v>2.5085639999999999E-2</v>
      </c>
    </row>
    <row r="103" spans="12:23" ht="15.75" customHeight="1">
      <c r="L103" s="27"/>
      <c r="M103" s="27"/>
      <c r="N103" s="27"/>
      <c r="O103" s="27"/>
      <c r="P103" s="27"/>
      <c r="S103" s="27"/>
      <c r="T103" s="27"/>
      <c r="U103" s="27"/>
      <c r="V103" s="27"/>
      <c r="W103" s="27"/>
    </row>
    <row r="104" spans="12:23" ht="15.75" customHeight="1">
      <c r="L104" s="27"/>
      <c r="M104" s="27"/>
      <c r="N104" s="27"/>
      <c r="O104" s="27"/>
      <c r="P104" s="27"/>
      <c r="S104" s="27"/>
      <c r="T104" s="27"/>
      <c r="U104" s="27"/>
      <c r="V104" s="27"/>
      <c r="W104" s="27"/>
    </row>
    <row r="121" spans="12:22" ht="15.75" customHeight="1">
      <c r="L121" s="44"/>
    </row>
    <row r="123" spans="12:22" ht="15.75" customHeight="1">
      <c r="L123" s="1" t="s">
        <v>373</v>
      </c>
      <c r="M123" s="1" t="s">
        <v>361</v>
      </c>
      <c r="N123" s="1" t="s">
        <v>273</v>
      </c>
      <c r="O123" s="1" t="s">
        <v>361</v>
      </c>
      <c r="P123" s="1" t="s">
        <v>278</v>
      </c>
      <c r="R123" s="1" t="s">
        <v>374</v>
      </c>
      <c r="S123" s="1" t="s">
        <v>361</v>
      </c>
      <c r="T123" s="1" t="s">
        <v>273</v>
      </c>
      <c r="U123" s="1" t="s">
        <v>361</v>
      </c>
      <c r="V123" s="1" t="s">
        <v>278</v>
      </c>
    </row>
    <row r="124" spans="12:22" ht="15.75" customHeight="1">
      <c r="M124" s="1" t="s">
        <v>377</v>
      </c>
      <c r="N124" s="1" t="s">
        <v>366</v>
      </c>
      <c r="O124" s="1" t="s">
        <v>367</v>
      </c>
      <c r="P124" s="1" t="s">
        <v>368</v>
      </c>
      <c r="S124" s="1" t="s">
        <v>377</v>
      </c>
      <c r="T124" s="1" t="s">
        <v>366</v>
      </c>
      <c r="U124" s="1" t="s">
        <v>367</v>
      </c>
      <c r="V124" s="1" t="s">
        <v>368</v>
      </c>
    </row>
    <row r="125" spans="12:22" ht="15.75" customHeight="1">
      <c r="L125" s="1" t="s">
        <v>36</v>
      </c>
      <c r="M125" s="1">
        <v>3.3000000000000002E-2</v>
      </c>
      <c r="O125" s="1">
        <v>3.3000000000000002E-2</v>
      </c>
      <c r="R125" s="1" t="s">
        <v>36</v>
      </c>
      <c r="S125" s="1">
        <v>8.9999999999999993E-3</v>
      </c>
      <c r="U125" s="1">
        <v>1.4E-2</v>
      </c>
    </row>
    <row r="126" spans="12:22" ht="15.75" customHeight="1">
      <c r="L126" s="1" t="s">
        <v>39</v>
      </c>
      <c r="M126" s="1">
        <v>3.1E-2</v>
      </c>
      <c r="N126" s="1">
        <v>3.6600000000000001E-2</v>
      </c>
      <c r="O126" s="1">
        <v>2.9000000000000001E-2</v>
      </c>
      <c r="P126" s="27">
        <v>3.4437660000000002E-2</v>
      </c>
      <c r="R126" s="1" t="s">
        <v>39</v>
      </c>
      <c r="S126" s="1">
        <v>2.1999999999999999E-2</v>
      </c>
      <c r="T126" s="1">
        <v>2.4199999999999999E-2</v>
      </c>
      <c r="U126" s="1">
        <v>0.02</v>
      </c>
      <c r="V126" s="27">
        <v>1.9335629999999999E-2</v>
      </c>
    </row>
    <row r="127" spans="12:22" ht="15.75" customHeight="1">
      <c r="L127" s="1" t="s">
        <v>38</v>
      </c>
      <c r="M127" s="1">
        <v>1.4E-2</v>
      </c>
      <c r="N127" s="1">
        <v>2.5399999999999999E-2</v>
      </c>
      <c r="O127" s="1">
        <v>1.4E-2</v>
      </c>
      <c r="P127" s="27">
        <v>2.520294E-2</v>
      </c>
      <c r="R127" s="1" t="s">
        <v>38</v>
      </c>
      <c r="S127" s="1">
        <v>1.4E-2</v>
      </c>
      <c r="T127" s="1">
        <v>1.6400000000000001E-2</v>
      </c>
      <c r="U127" s="1">
        <v>1.2E-2</v>
      </c>
      <c r="V127" s="27">
        <v>1.370829E-2</v>
      </c>
    </row>
    <row r="128" spans="12:22" ht="15.75" customHeight="1">
      <c r="L128" s="1" t="s">
        <v>40</v>
      </c>
      <c r="M128" s="1">
        <v>2.1999999999999999E-2</v>
      </c>
      <c r="N128" s="1">
        <v>2.9499999999999998E-2</v>
      </c>
      <c r="O128" s="1">
        <v>2.3E-2</v>
      </c>
      <c r="P128" s="27">
        <v>2.9584289999999999E-2</v>
      </c>
      <c r="R128" s="1" t="s">
        <v>40</v>
      </c>
      <c r="S128" s="1">
        <v>1.4999999999999999E-2</v>
      </c>
      <c r="T128" s="1">
        <v>1.67E-2</v>
      </c>
      <c r="U128" s="1">
        <v>1.4E-2</v>
      </c>
      <c r="V128" s="27">
        <v>1.4527780000000001E-2</v>
      </c>
    </row>
    <row r="129" spans="12:22" ht="15.75" customHeight="1">
      <c r="L129" s="1" t="s">
        <v>63</v>
      </c>
      <c r="M129" s="1">
        <v>1.2E-2</v>
      </c>
      <c r="N129" s="1">
        <v>2.3900000000000001E-2</v>
      </c>
      <c r="O129" s="1">
        <v>1.4999999999999999E-2</v>
      </c>
      <c r="P129" s="27">
        <v>2.4055610000000002E-2</v>
      </c>
      <c r="R129" s="1" t="s">
        <v>63</v>
      </c>
      <c r="S129" s="1">
        <v>8.0000000000000002E-3</v>
      </c>
      <c r="T129" s="1">
        <v>1.2200000000000001E-2</v>
      </c>
      <c r="U129" s="1">
        <v>6.0000000000000001E-3</v>
      </c>
      <c r="V129" s="27">
        <v>1.0990679999999999E-2</v>
      </c>
    </row>
    <row r="130" spans="12:22" ht="15.75" customHeight="1">
      <c r="L130" s="1" t="s">
        <v>265</v>
      </c>
      <c r="M130" s="1">
        <v>6.0000000000000001E-3</v>
      </c>
      <c r="N130" s="1">
        <v>1.78E-2</v>
      </c>
      <c r="O130" s="1">
        <v>0.01</v>
      </c>
      <c r="P130" s="27">
        <v>1.772663E-2</v>
      </c>
      <c r="R130" s="1" t="s">
        <v>265</v>
      </c>
      <c r="S130" s="1">
        <v>6.0000000000000001E-3</v>
      </c>
      <c r="T130" s="1">
        <v>9.4000000000000004E-3</v>
      </c>
      <c r="U130" s="1">
        <v>8.0000000000000002E-3</v>
      </c>
      <c r="V130" s="27">
        <v>8.2262499999999992E-3</v>
      </c>
    </row>
    <row r="132" spans="12:22" ht="15.75" customHeight="1">
      <c r="R132" s="27"/>
      <c r="S132" s="27"/>
      <c r="T132" s="27"/>
      <c r="U132" s="27"/>
      <c r="V132" s="27"/>
    </row>
    <row r="133" spans="12:22" ht="15.75" customHeight="1">
      <c r="L133" s="27"/>
      <c r="M133" s="27"/>
      <c r="N133" s="27"/>
      <c r="O133" s="27"/>
      <c r="P133" s="27"/>
      <c r="R133" s="27"/>
      <c r="S133" s="27"/>
      <c r="T133" s="27"/>
      <c r="U133" s="27"/>
      <c r="V133" s="27"/>
    </row>
    <row r="134" spans="12:22" ht="15.75" customHeight="1">
      <c r="L134" s="27"/>
      <c r="M134" s="27"/>
      <c r="N134" s="27"/>
      <c r="O134" s="27"/>
      <c r="P134" s="2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1F1A-3164-485D-AD10-D6927AA52490}">
  <sheetPr>
    <outlinePr summaryBelow="0" summaryRight="0"/>
  </sheetPr>
  <dimension ref="A1:S131"/>
  <sheetViews>
    <sheetView workbookViewId="0"/>
  </sheetViews>
  <sheetFormatPr defaultColWidth="12.6640625" defaultRowHeight="15.75" customHeight="1"/>
  <cols>
    <col min="1" max="16384" width="12.6640625" style="2"/>
  </cols>
  <sheetData>
    <row r="1" spans="1:17" ht="13.8">
      <c r="F1" s="1" t="s">
        <v>378</v>
      </c>
      <c r="G1" s="1" t="s">
        <v>379</v>
      </c>
    </row>
    <row r="2" spans="1:17" ht="14.4">
      <c r="E2" s="1" t="s">
        <v>36</v>
      </c>
      <c r="F2" s="1" t="s">
        <v>36</v>
      </c>
      <c r="G2" s="1" t="s">
        <v>39</v>
      </c>
      <c r="H2" s="1" t="s">
        <v>380</v>
      </c>
      <c r="I2" s="1" t="s">
        <v>381</v>
      </c>
      <c r="J2" s="1" t="s">
        <v>263</v>
      </c>
      <c r="K2" s="1" t="s">
        <v>264</v>
      </c>
      <c r="M2" s="102" t="s">
        <v>382</v>
      </c>
      <c r="N2" s="1" t="s">
        <v>383</v>
      </c>
      <c r="O2" s="1" t="s">
        <v>384</v>
      </c>
      <c r="P2" s="1" t="s">
        <v>385</v>
      </c>
      <c r="Q2" s="1" t="s">
        <v>386</v>
      </c>
    </row>
    <row r="3" spans="1:17" ht="15.75" customHeight="1">
      <c r="A3" s="102" t="s">
        <v>382</v>
      </c>
      <c r="B3" s="1" t="s">
        <v>387</v>
      </c>
      <c r="C3" s="1" t="s">
        <v>383</v>
      </c>
      <c r="D3" s="1" t="s">
        <v>388</v>
      </c>
      <c r="E3" s="1" t="s">
        <v>295</v>
      </c>
      <c r="F3" s="1" t="s">
        <v>389</v>
      </c>
      <c r="G3" s="1" t="s">
        <v>390</v>
      </c>
      <c r="H3" s="1" t="s">
        <v>390</v>
      </c>
      <c r="I3" s="1" t="s">
        <v>390</v>
      </c>
      <c r="J3" s="1" t="s">
        <v>390</v>
      </c>
      <c r="K3" s="1" t="s">
        <v>390</v>
      </c>
      <c r="M3" s="104" t="s">
        <v>391</v>
      </c>
      <c r="N3" s="105">
        <v>1.9421999999999999</v>
      </c>
      <c r="O3" s="106">
        <v>3</v>
      </c>
      <c r="P3" s="1">
        <v>0</v>
      </c>
      <c r="Q3" s="1" t="s">
        <v>28</v>
      </c>
    </row>
    <row r="4" spans="1:17" ht="15.75" customHeight="1">
      <c r="A4" s="104" t="s">
        <v>391</v>
      </c>
      <c r="B4" s="106" t="s">
        <v>392</v>
      </c>
      <c r="C4" s="105">
        <v>1.9421999999999999</v>
      </c>
      <c r="D4" s="1">
        <v>44</v>
      </c>
      <c r="E4" s="1">
        <v>1.9624999999999999</v>
      </c>
      <c r="F4" s="14">
        <f t="shared" ref="F4:F23" si="0">SQRT(E4)/SQRT(D4)</f>
        <v>0.21119250158865188</v>
      </c>
      <c r="G4" s="14">
        <v>6.3223189999999999E-2</v>
      </c>
      <c r="H4" s="14">
        <v>7.5371300000000002E-2</v>
      </c>
      <c r="I4" s="14">
        <v>7.4549400000000002E-2</v>
      </c>
      <c r="J4" s="14">
        <v>7.3353559999999998E-2</v>
      </c>
      <c r="K4" s="14">
        <v>7.4336879999999994E-2</v>
      </c>
      <c r="M4" s="107" t="s">
        <v>393</v>
      </c>
      <c r="N4" s="108">
        <v>1.766</v>
      </c>
      <c r="O4" s="109">
        <v>3</v>
      </c>
      <c r="P4" s="1">
        <v>0</v>
      </c>
      <c r="Q4" s="1" t="s">
        <v>28</v>
      </c>
    </row>
    <row r="5" spans="1:17" ht="15.75" customHeight="1">
      <c r="A5" s="107" t="s">
        <v>393</v>
      </c>
      <c r="B5" s="105" t="s">
        <v>394</v>
      </c>
      <c r="C5" s="108">
        <v>1.766</v>
      </c>
      <c r="D5" s="1">
        <v>46</v>
      </c>
      <c r="E5" s="1">
        <v>1.5163</v>
      </c>
      <c r="F5" s="14">
        <f t="shared" si="0"/>
        <v>0.18155727327281843</v>
      </c>
      <c r="G5" s="14">
        <v>7.7285740000000006E-2</v>
      </c>
      <c r="H5" s="14">
        <v>7.5760369999999994E-2</v>
      </c>
      <c r="I5" s="14">
        <v>6.8491109999999994E-2</v>
      </c>
      <c r="J5" s="14">
        <v>7.5655669999999994E-2</v>
      </c>
      <c r="K5" s="14">
        <v>5.6277519999999998E-2</v>
      </c>
      <c r="M5" s="107" t="s">
        <v>395</v>
      </c>
      <c r="N5" s="108">
        <v>3.4</v>
      </c>
      <c r="O5" s="109">
        <v>1</v>
      </c>
      <c r="P5" s="1">
        <v>0</v>
      </c>
      <c r="Q5" s="1" t="s">
        <v>28</v>
      </c>
    </row>
    <row r="6" spans="1:17" ht="15.75" customHeight="1">
      <c r="A6" s="107" t="s">
        <v>395</v>
      </c>
      <c r="B6" s="105" t="s">
        <v>396</v>
      </c>
      <c r="C6" s="108">
        <v>3.4</v>
      </c>
      <c r="D6" s="1">
        <v>50</v>
      </c>
      <c r="E6" s="1">
        <v>6.9099999999999995E-2</v>
      </c>
      <c r="F6" s="14">
        <f t="shared" si="0"/>
        <v>3.7175260590882213E-2</v>
      </c>
      <c r="G6" s="14">
        <v>4.139089E-2</v>
      </c>
      <c r="H6" s="14">
        <v>8.5971569999999997E-2</v>
      </c>
      <c r="I6" s="14">
        <v>0.12107532999999999</v>
      </c>
      <c r="J6" s="14">
        <v>4.0563719999999998E-2</v>
      </c>
      <c r="K6" s="14">
        <v>2.6270180000000001E-2</v>
      </c>
      <c r="M6" s="107" t="s">
        <v>397</v>
      </c>
      <c r="N6" s="108">
        <v>2.02</v>
      </c>
      <c r="O6" s="109">
        <v>9</v>
      </c>
      <c r="P6" s="1">
        <v>0</v>
      </c>
      <c r="Q6" s="1" t="s">
        <v>28</v>
      </c>
    </row>
    <row r="7" spans="1:17" ht="15.75" customHeight="1">
      <c r="A7" s="107" t="s">
        <v>397</v>
      </c>
      <c r="B7" s="105" t="s">
        <v>398</v>
      </c>
      <c r="C7" s="108">
        <v>2.02</v>
      </c>
      <c r="D7" s="1">
        <v>52</v>
      </c>
      <c r="E7" s="1">
        <v>0.36859999999999998</v>
      </c>
      <c r="F7" s="14">
        <f t="shared" si="0"/>
        <v>8.419300171903564E-2</v>
      </c>
      <c r="G7" s="14">
        <v>6.4552449999999997E-2</v>
      </c>
      <c r="H7" s="14">
        <v>6.3958970000000004E-2</v>
      </c>
      <c r="I7" s="14">
        <v>6.3084769999999998E-2</v>
      </c>
      <c r="J7" s="14">
        <v>6.3898679999999999E-2</v>
      </c>
      <c r="K7" s="14">
        <v>3.7634059999999997E-2</v>
      </c>
      <c r="M7" s="107" t="s">
        <v>399</v>
      </c>
      <c r="N7" s="108">
        <v>1.6164000000000001</v>
      </c>
      <c r="O7" s="109">
        <v>5</v>
      </c>
      <c r="P7" s="1">
        <v>0</v>
      </c>
      <c r="Q7" s="1" t="s">
        <v>28</v>
      </c>
    </row>
    <row r="8" spans="1:17" ht="15.75" customHeight="1">
      <c r="A8" s="107" t="s">
        <v>399</v>
      </c>
      <c r="B8" s="105" t="s">
        <v>400</v>
      </c>
      <c r="C8" s="108">
        <v>1.6164000000000001</v>
      </c>
      <c r="D8" s="1">
        <v>34</v>
      </c>
      <c r="E8" s="1">
        <v>0.3256</v>
      </c>
      <c r="F8" s="14">
        <f t="shared" si="0"/>
        <v>9.7859443020258868E-2</v>
      </c>
      <c r="G8" s="14">
        <v>5.7878190000000003E-2</v>
      </c>
      <c r="H8" s="14">
        <v>5.6956939999999998E-2</v>
      </c>
      <c r="I8" s="14">
        <v>5.2035499999999998E-2</v>
      </c>
      <c r="J8" s="14">
        <v>5.6839550000000003E-2</v>
      </c>
      <c r="K8" s="14">
        <v>4.1878140000000001E-2</v>
      </c>
      <c r="M8" s="107" t="s">
        <v>401</v>
      </c>
      <c r="N8" s="108">
        <v>1.6286</v>
      </c>
      <c r="O8" s="109">
        <v>4</v>
      </c>
      <c r="P8" s="1">
        <v>0</v>
      </c>
      <c r="Q8" s="1" t="s">
        <v>28</v>
      </c>
    </row>
    <row r="9" spans="1:17" ht="15.75" customHeight="1">
      <c r="A9" s="107" t="s">
        <v>401</v>
      </c>
      <c r="B9" s="105" t="s">
        <v>402</v>
      </c>
      <c r="C9" s="108">
        <v>1.6286</v>
      </c>
      <c r="D9" s="1">
        <v>35</v>
      </c>
      <c r="E9" s="1">
        <v>0.32340000000000002</v>
      </c>
      <c r="F9" s="14">
        <f t="shared" si="0"/>
        <v>9.6124918725583333E-2</v>
      </c>
      <c r="G9" s="14">
        <v>5.941689E-2</v>
      </c>
      <c r="H9" s="14">
        <v>6.0426199999999999E-2</v>
      </c>
      <c r="I9" s="14">
        <v>5.2020740000000003E-2</v>
      </c>
      <c r="J9" s="14">
        <v>6.0275849999999999E-2</v>
      </c>
      <c r="K9" s="14">
        <v>4.4389489999999997E-2</v>
      </c>
      <c r="M9" s="107" t="s">
        <v>403</v>
      </c>
      <c r="N9" s="108">
        <v>1.6271</v>
      </c>
      <c r="O9" s="109">
        <v>3</v>
      </c>
      <c r="P9" s="1">
        <v>0</v>
      </c>
      <c r="Q9" s="1" t="s">
        <v>28</v>
      </c>
    </row>
    <row r="10" spans="1:17" ht="15.75" customHeight="1">
      <c r="A10" s="107" t="s">
        <v>403</v>
      </c>
      <c r="B10" s="105" t="s">
        <v>404</v>
      </c>
      <c r="C10" s="108">
        <v>1.6271</v>
      </c>
      <c r="D10" s="1">
        <v>36</v>
      </c>
      <c r="E10" s="1">
        <v>0.50460000000000005</v>
      </c>
      <c r="F10" s="14">
        <f t="shared" si="0"/>
        <v>0.11839200423452029</v>
      </c>
      <c r="G10" s="14">
        <v>6.4177910000000005E-2</v>
      </c>
      <c r="H10" s="14">
        <v>6.2826709999999994E-2</v>
      </c>
      <c r="I10" s="14">
        <v>5.7953459999999998E-2</v>
      </c>
      <c r="J10" s="14">
        <v>6.2763029999999997E-2</v>
      </c>
      <c r="K10" s="14">
        <v>5.1070499999999998E-2</v>
      </c>
      <c r="M10" s="107" t="s">
        <v>405</v>
      </c>
      <c r="N10" s="108">
        <v>1.7245999999999999</v>
      </c>
      <c r="O10" s="109">
        <v>2</v>
      </c>
      <c r="P10" s="1">
        <v>0</v>
      </c>
      <c r="Q10" s="1" t="s">
        <v>28</v>
      </c>
    </row>
    <row r="11" spans="1:17" ht="15.75" customHeight="1">
      <c r="A11" s="107" t="s">
        <v>405</v>
      </c>
      <c r="B11" s="105" t="s">
        <v>406</v>
      </c>
      <c r="C11" s="108">
        <v>1.7245999999999999</v>
      </c>
      <c r="D11" s="1">
        <v>37</v>
      </c>
      <c r="E11" s="1">
        <v>0.1018</v>
      </c>
      <c r="F11" s="14">
        <f t="shared" si="0"/>
        <v>5.2453325455602447E-2</v>
      </c>
      <c r="G11" s="14">
        <v>3.7962830000000003E-2</v>
      </c>
      <c r="H11" s="14">
        <v>3.6743640000000001E-2</v>
      </c>
      <c r="I11" s="14">
        <v>3.166281E-2</v>
      </c>
      <c r="J11" s="14">
        <v>3.6970450000000002E-2</v>
      </c>
      <c r="K11" s="14">
        <v>2.4199760000000001E-2</v>
      </c>
      <c r="M11" s="107" t="s">
        <v>407</v>
      </c>
      <c r="N11" s="108">
        <v>2.2696999999999998</v>
      </c>
      <c r="O11" s="109">
        <v>4</v>
      </c>
      <c r="P11" s="1">
        <v>0</v>
      </c>
      <c r="Q11" s="1" t="s">
        <v>28</v>
      </c>
    </row>
    <row r="12" spans="1:17" ht="15.75" customHeight="1">
      <c r="A12" s="107" t="s">
        <v>407</v>
      </c>
      <c r="B12" s="105" t="s">
        <v>408</v>
      </c>
      <c r="C12" s="108">
        <v>2.2696999999999998</v>
      </c>
      <c r="D12" s="1">
        <v>39</v>
      </c>
      <c r="E12" s="1">
        <v>0.1241</v>
      </c>
      <c r="F12" s="14">
        <f t="shared" si="0"/>
        <v>5.6409673656663557E-2</v>
      </c>
      <c r="G12" s="14">
        <v>4.2078150000000002E-2</v>
      </c>
      <c r="H12" s="14">
        <v>3.834311E-2</v>
      </c>
      <c r="I12" s="14">
        <v>3.2967429999999999E-2</v>
      </c>
      <c r="J12" s="14">
        <v>3.813536E-2</v>
      </c>
      <c r="K12" s="14">
        <v>2.7890709999999999E-2</v>
      </c>
      <c r="M12" s="107" t="s">
        <v>409</v>
      </c>
      <c r="N12" s="108">
        <v>2.1741999999999999</v>
      </c>
      <c r="O12" s="109">
        <v>6</v>
      </c>
      <c r="P12" s="1">
        <v>0</v>
      </c>
      <c r="Q12" s="1" t="s">
        <v>28</v>
      </c>
    </row>
    <row r="13" spans="1:17" ht="15.75" customHeight="1">
      <c r="A13" s="107" t="s">
        <v>409</v>
      </c>
      <c r="B13" s="105" t="s">
        <v>410</v>
      </c>
      <c r="C13" s="108">
        <v>2.1741999999999999</v>
      </c>
      <c r="D13" s="1">
        <v>43</v>
      </c>
      <c r="E13" s="1">
        <v>2.35E-2</v>
      </c>
      <c r="F13" s="14">
        <f t="shared" si="0"/>
        <v>2.3377588154191112E-2</v>
      </c>
      <c r="G13" s="14">
        <v>3.337466E-2</v>
      </c>
      <c r="H13" s="14">
        <v>3.064277E-2</v>
      </c>
      <c r="I13" s="14">
        <v>2.4211690000000001E-2</v>
      </c>
      <c r="J13" s="14">
        <v>3.0311029999999999E-2</v>
      </c>
      <c r="K13" s="14">
        <v>1.877183E-2</v>
      </c>
      <c r="M13" s="107" t="s">
        <v>411</v>
      </c>
      <c r="N13" s="108">
        <v>2.0655999999999999</v>
      </c>
      <c r="O13" s="109">
        <v>3</v>
      </c>
      <c r="P13" s="1">
        <v>0</v>
      </c>
      <c r="Q13" s="1" t="s">
        <v>28</v>
      </c>
    </row>
    <row r="14" spans="1:17" ht="15.75" customHeight="1">
      <c r="A14" s="107" t="s">
        <v>411</v>
      </c>
      <c r="B14" s="105" t="s">
        <v>412</v>
      </c>
      <c r="C14" s="108">
        <v>2.0655999999999999</v>
      </c>
      <c r="D14" s="1">
        <v>44</v>
      </c>
      <c r="E14" s="1">
        <v>0.1157</v>
      </c>
      <c r="F14" s="14">
        <f t="shared" si="0"/>
        <v>5.12790937375599E-2</v>
      </c>
      <c r="G14" s="14">
        <v>3.1991430000000001E-2</v>
      </c>
      <c r="H14" s="14">
        <v>2.9386740000000001E-2</v>
      </c>
      <c r="I14" s="14">
        <v>2.3666300000000001E-2</v>
      </c>
      <c r="J14" s="14">
        <v>2.9478750000000001E-2</v>
      </c>
      <c r="K14" s="14">
        <v>1.9039739999999999E-2</v>
      </c>
      <c r="M14" s="107" t="s">
        <v>413</v>
      </c>
      <c r="N14" s="108">
        <v>2.0615000000000001</v>
      </c>
      <c r="O14" s="109">
        <v>2</v>
      </c>
      <c r="P14" s="1">
        <v>0</v>
      </c>
      <c r="Q14" s="1" t="s">
        <v>28</v>
      </c>
    </row>
    <row r="15" spans="1:17" ht="15.75" customHeight="1">
      <c r="A15" s="107" t="s">
        <v>413</v>
      </c>
      <c r="B15" s="105" t="s">
        <v>406</v>
      </c>
      <c r="C15" s="108">
        <v>2.0615000000000001</v>
      </c>
      <c r="D15" s="1">
        <v>45</v>
      </c>
      <c r="E15" s="1">
        <v>6.3E-2</v>
      </c>
      <c r="F15" s="14">
        <f t="shared" si="0"/>
        <v>3.741657386773941E-2</v>
      </c>
      <c r="G15" s="14">
        <v>3.1967250000000003E-2</v>
      </c>
      <c r="H15" s="14">
        <v>2.994206E-2</v>
      </c>
      <c r="I15" s="14">
        <v>2.42946E-2</v>
      </c>
      <c r="J15" s="14">
        <v>2.9907710000000001E-2</v>
      </c>
      <c r="K15" s="14">
        <v>1.837956E-2</v>
      </c>
      <c r="M15" s="107" t="s">
        <v>414</v>
      </c>
      <c r="N15" s="108">
        <v>1.7769999999999999</v>
      </c>
      <c r="O15" s="109">
        <v>4</v>
      </c>
      <c r="P15" s="1">
        <v>0</v>
      </c>
      <c r="Q15" s="1" t="s">
        <v>28</v>
      </c>
    </row>
    <row r="16" spans="1:17" ht="15.75" customHeight="1">
      <c r="A16" s="107" t="s">
        <v>414</v>
      </c>
      <c r="B16" s="105" t="s">
        <v>408</v>
      </c>
      <c r="C16" s="108">
        <v>1.7769999999999999</v>
      </c>
      <c r="D16" s="1">
        <v>23</v>
      </c>
      <c r="E16" s="1">
        <v>8.5400000000000004E-2</v>
      </c>
      <c r="F16" s="14">
        <f t="shared" si="0"/>
        <v>6.0934747708190858E-2</v>
      </c>
      <c r="G16" s="14">
        <v>5.3582390000000001E-2</v>
      </c>
      <c r="H16" s="14">
        <v>5.1019380000000003E-2</v>
      </c>
      <c r="I16" s="14">
        <v>4.7079879999999998E-2</v>
      </c>
      <c r="J16" s="14">
        <v>5.0822949999999999E-2</v>
      </c>
      <c r="K16" s="14">
        <v>3.994868E-2</v>
      </c>
      <c r="M16" s="107" t="s">
        <v>415</v>
      </c>
      <c r="N16" s="110">
        <v>1.6839999999999999</v>
      </c>
      <c r="O16" s="109">
        <v>5</v>
      </c>
      <c r="P16" s="1">
        <v>0</v>
      </c>
      <c r="Q16" s="111" t="s">
        <v>416</v>
      </c>
    </row>
    <row r="17" spans="1:19" ht="15.75" customHeight="1">
      <c r="A17" s="107" t="s">
        <v>415</v>
      </c>
      <c r="B17" s="105" t="s">
        <v>400</v>
      </c>
      <c r="C17" s="110">
        <v>1.6839999999999999</v>
      </c>
      <c r="D17" s="1">
        <v>24</v>
      </c>
      <c r="E17" s="1">
        <v>0.20050000000000001</v>
      </c>
      <c r="F17" s="14">
        <f t="shared" si="0"/>
        <v>9.140113055464176E-2</v>
      </c>
      <c r="G17" s="14">
        <v>5.501963E-2</v>
      </c>
      <c r="H17" s="14">
        <v>5.0442319999999999E-2</v>
      </c>
      <c r="I17" s="14">
        <v>4.3032500000000001E-2</v>
      </c>
      <c r="J17" s="14">
        <v>5.0371489999999998E-2</v>
      </c>
      <c r="K17" s="14">
        <v>4.148992E-2</v>
      </c>
      <c r="M17" s="107" t="s">
        <v>417</v>
      </c>
      <c r="N17" s="110">
        <v>1.5407999999999999</v>
      </c>
      <c r="O17" s="109">
        <v>4</v>
      </c>
      <c r="P17" s="1">
        <v>0</v>
      </c>
      <c r="Q17" s="111" t="s">
        <v>416</v>
      </c>
    </row>
    <row r="18" spans="1:19" ht="15.75" customHeight="1">
      <c r="A18" s="107" t="s">
        <v>417</v>
      </c>
      <c r="B18" s="105" t="s">
        <v>402</v>
      </c>
      <c r="C18" s="110">
        <v>1.5407999999999999</v>
      </c>
      <c r="D18" s="1">
        <v>27</v>
      </c>
      <c r="E18" s="1">
        <v>0.27789999999999998</v>
      </c>
      <c r="F18" s="14">
        <f t="shared" si="0"/>
        <v>0.10145241541034197</v>
      </c>
      <c r="G18" s="14">
        <v>4.0833399999999999E-2</v>
      </c>
      <c r="H18" s="14">
        <v>4.0294700000000003E-2</v>
      </c>
      <c r="I18" s="14">
        <v>2.6220940000000002E-2</v>
      </c>
      <c r="J18" s="14">
        <v>2.9622539999999999E-2</v>
      </c>
      <c r="K18" s="14">
        <v>2.140483E-2</v>
      </c>
      <c r="M18" s="107" t="s">
        <v>418</v>
      </c>
      <c r="N18" s="108">
        <v>1.5327</v>
      </c>
      <c r="O18" s="109">
        <v>3</v>
      </c>
      <c r="P18" s="1">
        <v>0</v>
      </c>
      <c r="Q18" s="1" t="s">
        <v>28</v>
      </c>
    </row>
    <row r="19" spans="1:19" ht="15.75" customHeight="1">
      <c r="A19" s="107" t="s">
        <v>418</v>
      </c>
      <c r="B19" s="105" t="s">
        <v>412</v>
      </c>
      <c r="C19" s="108">
        <v>1.5327</v>
      </c>
      <c r="D19" s="1">
        <v>28</v>
      </c>
      <c r="E19" s="1">
        <v>0.13170000000000001</v>
      </c>
      <c r="F19" s="14">
        <f t="shared" si="0"/>
        <v>6.8582588377600825E-2</v>
      </c>
      <c r="G19" s="14">
        <v>8.22465E-2</v>
      </c>
      <c r="H19" s="14">
        <v>5.944725E-2</v>
      </c>
      <c r="I19" s="14">
        <v>2.784965E-2</v>
      </c>
      <c r="J19" s="14">
        <v>3.3182089999999997E-2</v>
      </c>
      <c r="K19" s="14">
        <v>2.3782919999999999E-2</v>
      </c>
      <c r="M19" s="107" t="s">
        <v>419</v>
      </c>
      <c r="N19" s="108">
        <v>1.63734</v>
      </c>
      <c r="O19" s="109">
        <v>4</v>
      </c>
      <c r="P19" s="1">
        <v>1</v>
      </c>
      <c r="Q19" s="1" t="s">
        <v>420</v>
      </c>
    </row>
    <row r="20" spans="1:19" ht="15.75" customHeight="1">
      <c r="A20" s="107" t="s">
        <v>419</v>
      </c>
      <c r="B20" s="105" t="s">
        <v>402</v>
      </c>
      <c r="C20" s="108">
        <v>1.63734</v>
      </c>
      <c r="D20" s="1">
        <v>23</v>
      </c>
      <c r="E20" s="1">
        <v>3.7400000000000003E-2</v>
      </c>
      <c r="F20" s="14">
        <f t="shared" si="0"/>
        <v>4.0324768524093717E-2</v>
      </c>
      <c r="G20" s="14">
        <v>3.5303960000000002E-2</v>
      </c>
      <c r="H20" s="14">
        <v>3.2087190000000002E-2</v>
      </c>
      <c r="I20" s="14">
        <v>2.698329E-2</v>
      </c>
      <c r="J20" s="14">
        <v>3.2409010000000002E-2</v>
      </c>
      <c r="K20" s="14">
        <v>2.3805980000000001E-2</v>
      </c>
      <c r="M20" s="107" t="s">
        <v>421</v>
      </c>
      <c r="N20" s="108">
        <v>1.5991599999999999</v>
      </c>
      <c r="O20" s="109">
        <v>5</v>
      </c>
      <c r="P20" s="1">
        <v>1</v>
      </c>
      <c r="Q20" s="1" t="s">
        <v>420</v>
      </c>
    </row>
    <row r="21" spans="1:19" ht="15.75" customHeight="1">
      <c r="A21" s="107" t="s">
        <v>421</v>
      </c>
      <c r="B21" s="105" t="s">
        <v>422</v>
      </c>
      <c r="C21" s="108">
        <v>1.5991599999999999</v>
      </c>
      <c r="D21" s="1">
        <v>24</v>
      </c>
      <c r="E21" s="1">
        <v>9.8799999999999999E-2</v>
      </c>
      <c r="F21" s="14">
        <f t="shared" si="0"/>
        <v>6.4161255183067201E-2</v>
      </c>
      <c r="G21" s="14">
        <v>3.7984980000000002E-2</v>
      </c>
      <c r="H21" s="14">
        <v>3.5280510000000001E-2</v>
      </c>
      <c r="I21" s="14">
        <v>3.020254E-2</v>
      </c>
      <c r="J21" s="14">
        <v>3.5459930000000001E-2</v>
      </c>
      <c r="K21" s="14">
        <v>2.6320820000000002E-2</v>
      </c>
      <c r="M21" s="107" t="s">
        <v>423</v>
      </c>
      <c r="N21" s="108">
        <v>1.6067400000000001</v>
      </c>
      <c r="O21" s="109">
        <v>6</v>
      </c>
      <c r="P21" s="1">
        <v>1</v>
      </c>
      <c r="Q21" s="1" t="s">
        <v>420</v>
      </c>
    </row>
    <row r="22" spans="1:19" ht="15.75" customHeight="1">
      <c r="A22" s="107" t="s">
        <v>423</v>
      </c>
      <c r="B22" s="105" t="s">
        <v>424</v>
      </c>
      <c r="C22" s="108">
        <v>1.6067400000000001</v>
      </c>
      <c r="D22" s="1">
        <v>25</v>
      </c>
      <c r="E22" s="1">
        <v>5.6300000000000003E-2</v>
      </c>
      <c r="F22" s="14">
        <f t="shared" si="0"/>
        <v>4.7455242070818686E-2</v>
      </c>
      <c r="G22" s="14">
        <v>3.6419699999999999E-2</v>
      </c>
      <c r="H22" s="14">
        <v>3.4976840000000002E-2</v>
      </c>
      <c r="I22" s="14">
        <v>2.9858240000000001E-2</v>
      </c>
      <c r="J22" s="14">
        <v>3.5026170000000002E-2</v>
      </c>
      <c r="K22" s="14">
        <v>2.3680690000000001E-2</v>
      </c>
      <c r="M22" s="107" t="s">
        <v>425</v>
      </c>
      <c r="N22" s="108">
        <v>1.47411</v>
      </c>
      <c r="O22" s="109">
        <v>3</v>
      </c>
      <c r="P22" s="1">
        <v>1</v>
      </c>
      <c r="Q22" s="1" t="s">
        <v>420</v>
      </c>
    </row>
    <row r="23" spans="1:19" ht="15.75" customHeight="1">
      <c r="A23" s="107" t="s">
        <v>425</v>
      </c>
      <c r="B23" s="105" t="s">
        <v>426</v>
      </c>
      <c r="C23" s="108">
        <v>1.47411</v>
      </c>
      <c r="D23" s="1">
        <v>28</v>
      </c>
      <c r="E23" s="1">
        <v>0.1837</v>
      </c>
      <c r="F23" s="14">
        <f t="shared" si="0"/>
        <v>8.0998236312368466E-2</v>
      </c>
      <c r="G23" s="14">
        <v>4.6282249999999997E-2</v>
      </c>
      <c r="H23" s="14">
        <v>4.2829840000000001E-2</v>
      </c>
      <c r="I23" s="14">
        <v>3.5634109999999997E-2</v>
      </c>
      <c r="J23" s="14">
        <v>4.2893239999999999E-2</v>
      </c>
      <c r="K23" s="14">
        <v>3.351987E-2</v>
      </c>
    </row>
    <row r="24" spans="1:19" ht="13.8">
      <c r="G24" s="14"/>
      <c r="H24" s="14"/>
      <c r="I24" s="14"/>
      <c r="J24" s="14"/>
      <c r="K24" s="14"/>
    </row>
    <row r="25" spans="1:19" ht="13.8">
      <c r="E25" s="1" t="s">
        <v>276</v>
      </c>
      <c r="F25" s="14">
        <f t="shared" ref="F25:K25" si="1">AVERAGE(F4:F23)</f>
        <v>8.0137052108231549E-2</v>
      </c>
      <c r="G25" s="14">
        <f t="shared" si="1"/>
        <v>4.9648619500000005E-2</v>
      </c>
      <c r="H25" s="14">
        <f t="shared" si="1"/>
        <v>4.9635420500000006E-2</v>
      </c>
      <c r="I25" s="14">
        <f t="shared" si="1"/>
        <v>4.4643714500000008E-2</v>
      </c>
      <c r="J25" s="14">
        <f t="shared" si="1"/>
        <v>4.5397038999999993E-2</v>
      </c>
      <c r="K25" s="14">
        <f t="shared" si="1"/>
        <v>3.3704604000000006E-2</v>
      </c>
    </row>
    <row r="26" spans="1:19" ht="13.8">
      <c r="B26" s="1" t="s">
        <v>427</v>
      </c>
      <c r="C26" s="1">
        <v>0.02</v>
      </c>
      <c r="E26" s="1" t="s">
        <v>428</v>
      </c>
      <c r="G26" s="14">
        <f>F25/G25</f>
        <v>1.6140841964041224</v>
      </c>
      <c r="H26" s="14">
        <f>F25/H25</f>
        <v>1.6145134120145419</v>
      </c>
      <c r="I26" s="14">
        <f>F25/I25</f>
        <v>1.7950354939267326</v>
      </c>
      <c r="J26" s="14">
        <f>F25/J25</f>
        <v>1.765248436318315</v>
      </c>
      <c r="K26" s="14">
        <f>F25/K25</f>
        <v>2.3776292434182444</v>
      </c>
    </row>
    <row r="27" spans="1:19" ht="13.8">
      <c r="B27" s="1" t="s">
        <v>429</v>
      </c>
      <c r="C27" s="1" t="s">
        <v>42</v>
      </c>
      <c r="E27" s="9" t="s">
        <v>430</v>
      </c>
      <c r="F27" s="9"/>
      <c r="G27" s="31">
        <f t="shared" ref="G27:K27" si="2">0.02/G26</f>
        <v>1.2390927341062046E-2</v>
      </c>
      <c r="H27" s="31">
        <f t="shared" si="2"/>
        <v>1.238763323436539E-2</v>
      </c>
      <c r="I27" s="31">
        <f t="shared" si="2"/>
        <v>1.1141840965076947E-2</v>
      </c>
      <c r="J27" s="31">
        <f t="shared" si="2"/>
        <v>1.1329850002140741E-2</v>
      </c>
      <c r="K27" s="31">
        <f t="shared" si="2"/>
        <v>8.4117404155269453E-3</v>
      </c>
    </row>
    <row r="28" spans="1:19" ht="13.8">
      <c r="E28" s="9" t="s">
        <v>431</v>
      </c>
      <c r="F28" s="9"/>
      <c r="G28" s="31">
        <f t="shared" ref="G28:K28" si="3">0.05/G26</f>
        <v>3.0977318352655114E-2</v>
      </c>
      <c r="H28" s="31">
        <f t="shared" si="3"/>
        <v>3.0969083085913476E-2</v>
      </c>
      <c r="I28" s="31">
        <f t="shared" si="3"/>
        <v>2.7854602412692369E-2</v>
      </c>
      <c r="J28" s="31">
        <f t="shared" si="3"/>
        <v>2.8324625005351853E-2</v>
      </c>
      <c r="K28" s="31">
        <f t="shared" si="3"/>
        <v>2.1029351038817364E-2</v>
      </c>
    </row>
    <row r="29" spans="1:19" ht="13.8">
      <c r="B29" s="1" t="s">
        <v>42</v>
      </c>
      <c r="C29" s="1" t="s">
        <v>432</v>
      </c>
    </row>
    <row r="31" spans="1:19" ht="13.8">
      <c r="E31" s="75" t="s">
        <v>433</v>
      </c>
      <c r="F31" s="5"/>
      <c r="G31" s="5"/>
      <c r="H31" s="5"/>
      <c r="I31" s="5"/>
      <c r="J31" s="5"/>
    </row>
    <row r="32" spans="1:19" ht="13.8">
      <c r="E32" s="1" t="s">
        <v>36</v>
      </c>
      <c r="F32" s="1" t="s">
        <v>39</v>
      </c>
      <c r="G32" s="1" t="s">
        <v>380</v>
      </c>
      <c r="H32" s="1" t="s">
        <v>381</v>
      </c>
      <c r="I32" s="1" t="s">
        <v>263</v>
      </c>
      <c r="J32" s="1" t="s">
        <v>264</v>
      </c>
      <c r="L32" s="1" t="s">
        <v>309</v>
      </c>
      <c r="M32" s="1" t="s">
        <v>315</v>
      </c>
      <c r="N32" s="1" t="s">
        <v>310</v>
      </c>
      <c r="O32" s="1">
        <v>0.02</v>
      </c>
      <c r="P32" s="32" t="s">
        <v>311</v>
      </c>
      <c r="S32" s="32"/>
    </row>
    <row r="33" spans="4:17" ht="14.4">
      <c r="D33" s="102" t="s">
        <v>382</v>
      </c>
      <c r="E33" s="1" t="s">
        <v>389</v>
      </c>
      <c r="F33" s="1" t="s">
        <v>390</v>
      </c>
      <c r="G33" s="1" t="s">
        <v>390</v>
      </c>
      <c r="H33" s="1" t="s">
        <v>390</v>
      </c>
      <c r="I33" s="1" t="s">
        <v>390</v>
      </c>
      <c r="J33" s="1" t="s">
        <v>390</v>
      </c>
      <c r="L33" s="32" t="s">
        <v>309</v>
      </c>
      <c r="M33" s="32" t="s">
        <v>39</v>
      </c>
      <c r="N33" s="32" t="s">
        <v>310</v>
      </c>
      <c r="O33" s="58">
        <v>1.2786582425967306E-2</v>
      </c>
      <c r="P33" s="32" t="s">
        <v>311</v>
      </c>
    </row>
    <row r="34" spans="4:17" ht="13.8">
      <c r="D34" s="104" t="s">
        <v>391</v>
      </c>
      <c r="E34" s="77" t="b">
        <f t="shared" ref="E34:E53" si="4">F4&gt;0.02</f>
        <v>1</v>
      </c>
      <c r="F34" s="77" t="b">
        <f t="shared" ref="F34:G49" si="5">G4&gt;0.013</f>
        <v>1</v>
      </c>
      <c r="G34" s="77" t="b">
        <f t="shared" si="5"/>
        <v>1</v>
      </c>
      <c r="H34" s="77" t="b">
        <f t="shared" ref="H34:H53" si="6">I4&gt;0.011</f>
        <v>1</v>
      </c>
      <c r="I34" s="77" t="b">
        <f t="shared" ref="I34:I53" si="7">J4&gt;0.012</f>
        <v>1</v>
      </c>
      <c r="J34" s="77" t="b">
        <f t="shared" ref="J34:J53" si="8">K4&gt;0.009</f>
        <v>1</v>
      </c>
      <c r="L34" s="32" t="s">
        <v>309</v>
      </c>
      <c r="M34" s="1" t="s">
        <v>380</v>
      </c>
      <c r="N34" s="32" t="s">
        <v>310</v>
      </c>
      <c r="O34" s="14">
        <v>1.2632177403031819E-2</v>
      </c>
      <c r="P34" s="32" t="s">
        <v>311</v>
      </c>
    </row>
    <row r="35" spans="4:17" ht="13.8">
      <c r="D35" s="112" t="s">
        <v>393</v>
      </c>
      <c r="E35" s="77" t="b">
        <f t="shared" si="4"/>
        <v>1</v>
      </c>
      <c r="F35" s="77" t="b">
        <f t="shared" si="5"/>
        <v>1</v>
      </c>
      <c r="G35" s="77" t="b">
        <f t="shared" si="5"/>
        <v>1</v>
      </c>
      <c r="H35" s="77" t="b">
        <f t="shared" si="6"/>
        <v>1</v>
      </c>
      <c r="I35" s="77" t="b">
        <f t="shared" si="7"/>
        <v>1</v>
      </c>
      <c r="J35" s="77" t="b">
        <f t="shared" si="8"/>
        <v>1</v>
      </c>
      <c r="L35" s="32" t="s">
        <v>309</v>
      </c>
      <c r="M35" s="1" t="s">
        <v>381</v>
      </c>
      <c r="N35" s="32" t="s">
        <v>310</v>
      </c>
      <c r="O35" s="14">
        <v>1.1438493147334326E-2</v>
      </c>
      <c r="P35" s="32" t="s">
        <v>311</v>
      </c>
    </row>
    <row r="36" spans="4:17" ht="13.8">
      <c r="D36" s="112" t="s">
        <v>395</v>
      </c>
      <c r="E36" s="77" t="b">
        <f t="shared" si="4"/>
        <v>1</v>
      </c>
      <c r="F36" s="77" t="b">
        <f t="shared" si="5"/>
        <v>1</v>
      </c>
      <c r="G36" s="77" t="b">
        <f t="shared" si="5"/>
        <v>1</v>
      </c>
      <c r="H36" s="77" t="b">
        <f t="shared" si="6"/>
        <v>1</v>
      </c>
      <c r="I36" s="77" t="b">
        <f t="shared" si="7"/>
        <v>1</v>
      </c>
      <c r="J36" s="77" t="b">
        <f t="shared" si="8"/>
        <v>1</v>
      </c>
      <c r="L36" s="32" t="s">
        <v>309</v>
      </c>
      <c r="M36" s="1" t="s">
        <v>263</v>
      </c>
      <c r="N36" s="32" t="s">
        <v>310</v>
      </c>
      <c r="O36" s="14">
        <v>1.1573289912010926E-2</v>
      </c>
      <c r="P36" s="32" t="s">
        <v>311</v>
      </c>
    </row>
    <row r="37" spans="4:17" ht="13.8">
      <c r="D37" s="112" t="s">
        <v>397</v>
      </c>
      <c r="E37" s="77" t="b">
        <f t="shared" si="4"/>
        <v>1</v>
      </c>
      <c r="F37" s="77" t="b">
        <f t="shared" si="5"/>
        <v>1</v>
      </c>
      <c r="G37" s="77" t="b">
        <f t="shared" si="5"/>
        <v>1</v>
      </c>
      <c r="H37" s="77" t="b">
        <f t="shared" si="6"/>
        <v>1</v>
      </c>
      <c r="I37" s="77" t="b">
        <f t="shared" si="7"/>
        <v>1</v>
      </c>
      <c r="J37" s="77" t="b">
        <f t="shared" si="8"/>
        <v>1</v>
      </c>
      <c r="L37" s="32" t="s">
        <v>309</v>
      </c>
      <c r="M37" s="1" t="s">
        <v>264</v>
      </c>
      <c r="N37" s="32" t="s">
        <v>310</v>
      </c>
      <c r="O37" s="14">
        <v>8.712008734027556E-3</v>
      </c>
      <c r="P37" s="32" t="s">
        <v>311</v>
      </c>
    </row>
    <row r="38" spans="4:17" ht="13.8">
      <c r="D38" s="112" t="s">
        <v>399</v>
      </c>
      <c r="E38" s="77" t="b">
        <f t="shared" si="4"/>
        <v>1</v>
      </c>
      <c r="F38" s="77" t="b">
        <f t="shared" si="5"/>
        <v>1</v>
      </c>
      <c r="G38" s="77" t="b">
        <f t="shared" si="5"/>
        <v>1</v>
      </c>
      <c r="H38" s="77" t="b">
        <f t="shared" si="6"/>
        <v>1</v>
      </c>
      <c r="I38" s="77" t="b">
        <f t="shared" si="7"/>
        <v>1</v>
      </c>
      <c r="J38" s="77" t="b">
        <f t="shared" si="8"/>
        <v>1</v>
      </c>
    </row>
    <row r="39" spans="4:17" ht="13.8">
      <c r="D39" s="112" t="s">
        <v>401</v>
      </c>
      <c r="E39" s="77" t="b">
        <f t="shared" si="4"/>
        <v>1</v>
      </c>
      <c r="F39" s="77" t="b">
        <f t="shared" si="5"/>
        <v>1</v>
      </c>
      <c r="G39" s="77" t="b">
        <f t="shared" si="5"/>
        <v>1</v>
      </c>
      <c r="H39" s="77" t="b">
        <f t="shared" si="6"/>
        <v>1</v>
      </c>
      <c r="I39" s="77" t="b">
        <f t="shared" si="7"/>
        <v>1</v>
      </c>
      <c r="J39" s="77" t="b">
        <f t="shared" si="8"/>
        <v>1</v>
      </c>
    </row>
    <row r="40" spans="4:17" ht="13.8">
      <c r="D40" s="112" t="s">
        <v>403</v>
      </c>
      <c r="E40" s="77" t="b">
        <f t="shared" si="4"/>
        <v>1</v>
      </c>
      <c r="F40" s="77" t="b">
        <f t="shared" si="5"/>
        <v>1</v>
      </c>
      <c r="G40" s="77" t="b">
        <f t="shared" si="5"/>
        <v>1</v>
      </c>
      <c r="H40" s="77" t="b">
        <f t="shared" si="6"/>
        <v>1</v>
      </c>
      <c r="I40" s="77" t="b">
        <f t="shared" si="7"/>
        <v>1</v>
      </c>
      <c r="J40" s="77" t="b">
        <f t="shared" si="8"/>
        <v>1</v>
      </c>
    </row>
    <row r="41" spans="4:17" ht="13.8">
      <c r="D41" s="112" t="s">
        <v>405</v>
      </c>
      <c r="E41" s="77" t="b">
        <f t="shared" si="4"/>
        <v>1</v>
      </c>
      <c r="F41" s="77" t="b">
        <f t="shared" si="5"/>
        <v>1</v>
      </c>
      <c r="G41" s="77" t="b">
        <f t="shared" si="5"/>
        <v>1</v>
      </c>
      <c r="H41" s="77" t="b">
        <f t="shared" si="6"/>
        <v>1</v>
      </c>
      <c r="I41" s="77" t="b">
        <f t="shared" si="7"/>
        <v>1</v>
      </c>
      <c r="J41" s="77" t="b">
        <f t="shared" si="8"/>
        <v>1</v>
      </c>
    </row>
    <row r="42" spans="4:17" ht="13.8">
      <c r="D42" s="112" t="s">
        <v>407</v>
      </c>
      <c r="E42" s="77" t="b">
        <f t="shared" si="4"/>
        <v>1</v>
      </c>
      <c r="F42" s="77" t="b">
        <f t="shared" si="5"/>
        <v>1</v>
      </c>
      <c r="G42" s="77" t="b">
        <f t="shared" si="5"/>
        <v>1</v>
      </c>
      <c r="H42" s="77" t="b">
        <f t="shared" si="6"/>
        <v>1</v>
      </c>
      <c r="I42" s="77" t="b">
        <f t="shared" si="7"/>
        <v>1</v>
      </c>
      <c r="J42" s="77" t="b">
        <f t="shared" si="8"/>
        <v>1</v>
      </c>
    </row>
    <row r="43" spans="4:17" ht="13.8">
      <c r="D43" s="112" t="s">
        <v>409</v>
      </c>
      <c r="E43" s="77" t="b">
        <f t="shared" si="4"/>
        <v>1</v>
      </c>
      <c r="F43" s="77" t="b">
        <f t="shared" si="5"/>
        <v>1</v>
      </c>
      <c r="G43" s="77" t="b">
        <f t="shared" si="5"/>
        <v>1</v>
      </c>
      <c r="H43" s="77" t="b">
        <f t="shared" si="6"/>
        <v>1</v>
      </c>
      <c r="I43" s="77" t="b">
        <f t="shared" si="7"/>
        <v>1</v>
      </c>
      <c r="J43" s="77" t="b">
        <f t="shared" si="8"/>
        <v>1</v>
      </c>
    </row>
    <row r="44" spans="4:17" ht="13.8">
      <c r="D44" s="112" t="s">
        <v>411</v>
      </c>
      <c r="E44" s="77" t="b">
        <f t="shared" si="4"/>
        <v>1</v>
      </c>
      <c r="F44" s="77" t="b">
        <f t="shared" si="5"/>
        <v>1</v>
      </c>
      <c r="G44" s="77" t="b">
        <f t="shared" si="5"/>
        <v>1</v>
      </c>
      <c r="H44" s="77" t="b">
        <f t="shared" si="6"/>
        <v>1</v>
      </c>
      <c r="I44" s="77" t="b">
        <f t="shared" si="7"/>
        <v>1</v>
      </c>
      <c r="J44" s="77" t="b">
        <f t="shared" si="8"/>
        <v>1</v>
      </c>
    </row>
    <row r="45" spans="4:17" ht="13.8">
      <c r="D45" s="112" t="s">
        <v>413</v>
      </c>
      <c r="E45" s="77" t="b">
        <f t="shared" si="4"/>
        <v>1</v>
      </c>
      <c r="F45" s="77" t="b">
        <f t="shared" si="5"/>
        <v>1</v>
      </c>
      <c r="G45" s="77" t="b">
        <f t="shared" si="5"/>
        <v>1</v>
      </c>
      <c r="H45" s="77" t="b">
        <f t="shared" si="6"/>
        <v>1</v>
      </c>
      <c r="I45" s="77" t="b">
        <f t="shared" si="7"/>
        <v>1</v>
      </c>
      <c r="J45" s="77" t="b">
        <f t="shared" si="8"/>
        <v>1</v>
      </c>
    </row>
    <row r="46" spans="4:17" ht="13.8">
      <c r="D46" s="112" t="s">
        <v>414</v>
      </c>
      <c r="E46" s="77" t="b">
        <f t="shared" si="4"/>
        <v>1</v>
      </c>
      <c r="F46" s="77" t="b">
        <f t="shared" si="5"/>
        <v>1</v>
      </c>
      <c r="G46" s="77" t="b">
        <f t="shared" si="5"/>
        <v>1</v>
      </c>
      <c r="H46" s="77" t="b">
        <f t="shared" si="6"/>
        <v>1</v>
      </c>
      <c r="I46" s="77" t="b">
        <f t="shared" si="7"/>
        <v>1</v>
      </c>
      <c r="J46" s="77" t="b">
        <f t="shared" si="8"/>
        <v>1</v>
      </c>
    </row>
    <row r="47" spans="4:17" ht="13.8">
      <c r="D47" s="112" t="s">
        <v>415</v>
      </c>
      <c r="E47" s="77" t="b">
        <f t="shared" si="4"/>
        <v>1</v>
      </c>
      <c r="F47" s="77" t="b">
        <f t="shared" si="5"/>
        <v>1</v>
      </c>
      <c r="G47" s="77" t="b">
        <f t="shared" si="5"/>
        <v>1</v>
      </c>
      <c r="H47" s="77" t="b">
        <f t="shared" si="6"/>
        <v>1</v>
      </c>
      <c r="I47" s="77" t="b">
        <f t="shared" si="7"/>
        <v>1</v>
      </c>
      <c r="J47" s="77" t="b">
        <f t="shared" si="8"/>
        <v>1</v>
      </c>
      <c r="M47" s="14"/>
      <c r="N47" s="14"/>
      <c r="O47" s="14"/>
      <c r="P47" s="14"/>
      <c r="Q47" s="14"/>
    </row>
    <row r="48" spans="4:17" ht="13.8">
      <c r="D48" s="112" t="s">
        <v>417</v>
      </c>
      <c r="E48" s="77" t="b">
        <f t="shared" si="4"/>
        <v>1</v>
      </c>
      <c r="F48" s="77" t="b">
        <f t="shared" si="5"/>
        <v>1</v>
      </c>
      <c r="G48" s="77" t="b">
        <f t="shared" si="5"/>
        <v>1</v>
      </c>
      <c r="H48" s="77" t="b">
        <f t="shared" si="6"/>
        <v>1</v>
      </c>
      <c r="I48" s="77" t="b">
        <f t="shared" si="7"/>
        <v>1</v>
      </c>
      <c r="J48" s="77" t="b">
        <f t="shared" si="8"/>
        <v>1</v>
      </c>
    </row>
    <row r="49" spans="4:11" ht="13.8">
      <c r="D49" s="112" t="s">
        <v>418</v>
      </c>
      <c r="E49" s="77" t="b">
        <f t="shared" si="4"/>
        <v>1</v>
      </c>
      <c r="F49" s="77" t="b">
        <f t="shared" si="5"/>
        <v>1</v>
      </c>
      <c r="G49" s="77" t="b">
        <f t="shared" si="5"/>
        <v>1</v>
      </c>
      <c r="H49" s="77" t="b">
        <f t="shared" si="6"/>
        <v>1</v>
      </c>
      <c r="I49" s="77" t="b">
        <f t="shared" si="7"/>
        <v>1</v>
      </c>
      <c r="J49" s="77" t="b">
        <f t="shared" si="8"/>
        <v>1</v>
      </c>
    </row>
    <row r="50" spans="4:11" ht="13.8">
      <c r="D50" s="112" t="s">
        <v>419</v>
      </c>
      <c r="E50" s="77" t="b">
        <f t="shared" si="4"/>
        <v>1</v>
      </c>
      <c r="F50" s="77" t="b">
        <f t="shared" ref="F50:G53" si="9">G20&gt;0.013</f>
        <v>1</v>
      </c>
      <c r="G50" s="77" t="b">
        <f t="shared" si="9"/>
        <v>1</v>
      </c>
      <c r="H50" s="77" t="b">
        <f t="shared" si="6"/>
        <v>1</v>
      </c>
      <c r="I50" s="77" t="b">
        <f t="shared" si="7"/>
        <v>1</v>
      </c>
      <c r="J50" s="77" t="b">
        <f t="shared" si="8"/>
        <v>1</v>
      </c>
    </row>
    <row r="51" spans="4:11" ht="13.8">
      <c r="D51" s="112" t="s">
        <v>421</v>
      </c>
      <c r="E51" s="77" t="b">
        <f t="shared" si="4"/>
        <v>1</v>
      </c>
      <c r="F51" s="77" t="b">
        <f t="shared" si="9"/>
        <v>1</v>
      </c>
      <c r="G51" s="77" t="b">
        <f t="shared" si="9"/>
        <v>1</v>
      </c>
      <c r="H51" s="77" t="b">
        <f t="shared" si="6"/>
        <v>1</v>
      </c>
      <c r="I51" s="77" t="b">
        <f t="shared" si="7"/>
        <v>1</v>
      </c>
      <c r="J51" s="77" t="b">
        <f t="shared" si="8"/>
        <v>1</v>
      </c>
    </row>
    <row r="52" spans="4:11" ht="13.8">
      <c r="D52" s="112" t="s">
        <v>423</v>
      </c>
      <c r="E52" s="77" t="b">
        <f t="shared" si="4"/>
        <v>1</v>
      </c>
      <c r="F52" s="77" t="b">
        <f t="shared" si="9"/>
        <v>1</v>
      </c>
      <c r="G52" s="77" t="b">
        <f t="shared" si="9"/>
        <v>1</v>
      </c>
      <c r="H52" s="77" t="b">
        <f t="shared" si="6"/>
        <v>1</v>
      </c>
      <c r="I52" s="77" t="b">
        <f t="shared" si="7"/>
        <v>1</v>
      </c>
      <c r="J52" s="77" t="b">
        <f t="shared" si="8"/>
        <v>1</v>
      </c>
    </row>
    <row r="53" spans="4:11" ht="13.8">
      <c r="D53" s="112" t="s">
        <v>425</v>
      </c>
      <c r="E53" s="77" t="b">
        <f t="shared" si="4"/>
        <v>1</v>
      </c>
      <c r="F53" s="77" t="b">
        <f t="shared" si="9"/>
        <v>1</v>
      </c>
      <c r="G53" s="77" t="b">
        <f t="shared" si="9"/>
        <v>1</v>
      </c>
      <c r="H53" s="77" t="b">
        <f t="shared" si="6"/>
        <v>1</v>
      </c>
      <c r="I53" s="77" t="b">
        <f t="shared" si="7"/>
        <v>1</v>
      </c>
      <c r="J53" s="77" t="b">
        <f t="shared" si="8"/>
        <v>1</v>
      </c>
    </row>
    <row r="55" spans="4:11" ht="13.8">
      <c r="E55" s="75" t="s">
        <v>434</v>
      </c>
      <c r="F55" s="5"/>
      <c r="G55" s="5"/>
      <c r="H55" s="5"/>
      <c r="I55" s="5"/>
      <c r="J55" s="5"/>
    </row>
    <row r="57" spans="4:11" ht="14.4">
      <c r="E57" s="1" t="s">
        <v>36</v>
      </c>
      <c r="F57" s="1" t="s">
        <v>39</v>
      </c>
      <c r="G57" s="1" t="s">
        <v>380</v>
      </c>
      <c r="H57" s="1" t="s">
        <v>381</v>
      </c>
      <c r="I57" s="1" t="s">
        <v>263</v>
      </c>
      <c r="J57" s="1" t="s">
        <v>264</v>
      </c>
      <c r="K57" s="102"/>
    </row>
    <row r="58" spans="4:11" ht="13.8">
      <c r="D58" s="104" t="s">
        <v>391</v>
      </c>
      <c r="E58" s="77" t="b">
        <f t="shared" ref="E58:E77" si="10">F4&gt;0.05</f>
        <v>1</v>
      </c>
      <c r="F58" s="77" t="b">
        <f t="shared" ref="F58:G73" si="11">G4&gt;0.032</f>
        <v>1</v>
      </c>
      <c r="G58" s="77" t="b">
        <f t="shared" si="11"/>
        <v>1</v>
      </c>
      <c r="H58" s="77" t="b">
        <f t="shared" ref="H58:I73" si="12">I4&gt;0.029</f>
        <v>1</v>
      </c>
      <c r="I58" s="77" t="b">
        <f t="shared" si="12"/>
        <v>1</v>
      </c>
      <c r="J58" s="77" t="b">
        <f t="shared" ref="J58:J77" si="13">K4&gt;0.022</f>
        <v>1</v>
      </c>
    </row>
    <row r="59" spans="4:11" ht="13.8">
      <c r="D59" s="112" t="s">
        <v>393</v>
      </c>
      <c r="E59" s="77" t="b">
        <f t="shared" si="10"/>
        <v>1</v>
      </c>
      <c r="F59" s="77" t="b">
        <f t="shared" si="11"/>
        <v>1</v>
      </c>
      <c r="G59" s="77" t="b">
        <f t="shared" si="11"/>
        <v>1</v>
      </c>
      <c r="H59" s="77" t="b">
        <f t="shared" si="12"/>
        <v>1</v>
      </c>
      <c r="I59" s="77" t="b">
        <f t="shared" si="12"/>
        <v>1</v>
      </c>
      <c r="J59" s="77" t="b">
        <f t="shared" si="13"/>
        <v>1</v>
      </c>
    </row>
    <row r="60" spans="4:11" ht="13.8">
      <c r="D60" s="112" t="s">
        <v>395</v>
      </c>
      <c r="E60" s="78" t="b">
        <f t="shared" si="10"/>
        <v>0</v>
      </c>
      <c r="F60" s="77" t="b">
        <f t="shared" si="11"/>
        <v>1</v>
      </c>
      <c r="G60" s="77" t="b">
        <f t="shared" si="11"/>
        <v>1</v>
      </c>
      <c r="H60" s="77" t="b">
        <f t="shared" si="12"/>
        <v>1</v>
      </c>
      <c r="I60" s="77" t="b">
        <f t="shared" si="12"/>
        <v>1</v>
      </c>
      <c r="J60" s="77" t="b">
        <f t="shared" si="13"/>
        <v>1</v>
      </c>
    </row>
    <row r="61" spans="4:11" ht="13.8">
      <c r="D61" s="112" t="s">
        <v>397</v>
      </c>
      <c r="E61" s="77" t="b">
        <f t="shared" si="10"/>
        <v>1</v>
      </c>
      <c r="F61" s="77" t="b">
        <f t="shared" si="11"/>
        <v>1</v>
      </c>
      <c r="G61" s="77" t="b">
        <f t="shared" si="11"/>
        <v>1</v>
      </c>
      <c r="H61" s="77" t="b">
        <f t="shared" si="12"/>
        <v>1</v>
      </c>
      <c r="I61" s="77" t="b">
        <f t="shared" si="12"/>
        <v>1</v>
      </c>
      <c r="J61" s="77" t="b">
        <f t="shared" si="13"/>
        <v>1</v>
      </c>
    </row>
    <row r="62" spans="4:11" ht="13.8">
      <c r="D62" s="112" t="s">
        <v>399</v>
      </c>
      <c r="E62" s="77" t="b">
        <f t="shared" si="10"/>
        <v>1</v>
      </c>
      <c r="F62" s="77" t="b">
        <f t="shared" si="11"/>
        <v>1</v>
      </c>
      <c r="G62" s="77" t="b">
        <f t="shared" si="11"/>
        <v>1</v>
      </c>
      <c r="H62" s="77" t="b">
        <f t="shared" si="12"/>
        <v>1</v>
      </c>
      <c r="I62" s="77" t="b">
        <f t="shared" si="12"/>
        <v>1</v>
      </c>
      <c r="J62" s="77" t="b">
        <f t="shared" si="13"/>
        <v>1</v>
      </c>
    </row>
    <row r="63" spans="4:11" ht="13.8">
      <c r="D63" s="112" t="s">
        <v>401</v>
      </c>
      <c r="E63" s="77" t="b">
        <f t="shared" si="10"/>
        <v>1</v>
      </c>
      <c r="F63" s="77" t="b">
        <f t="shared" si="11"/>
        <v>1</v>
      </c>
      <c r="G63" s="77" t="b">
        <f t="shared" si="11"/>
        <v>1</v>
      </c>
      <c r="H63" s="77" t="b">
        <f t="shared" si="12"/>
        <v>1</v>
      </c>
      <c r="I63" s="77" t="b">
        <f t="shared" si="12"/>
        <v>1</v>
      </c>
      <c r="J63" s="77" t="b">
        <f t="shared" si="13"/>
        <v>1</v>
      </c>
    </row>
    <row r="64" spans="4:11" ht="13.8">
      <c r="D64" s="112" t="s">
        <v>403</v>
      </c>
      <c r="E64" s="77" t="b">
        <f t="shared" si="10"/>
        <v>1</v>
      </c>
      <c r="F64" s="77" t="b">
        <f t="shared" si="11"/>
        <v>1</v>
      </c>
      <c r="G64" s="77" t="b">
        <f t="shared" si="11"/>
        <v>1</v>
      </c>
      <c r="H64" s="77" t="b">
        <f t="shared" si="12"/>
        <v>1</v>
      </c>
      <c r="I64" s="77" t="b">
        <f t="shared" si="12"/>
        <v>1</v>
      </c>
      <c r="J64" s="77" t="b">
        <f t="shared" si="13"/>
        <v>1</v>
      </c>
    </row>
    <row r="65" spans="4:10" ht="13.8">
      <c r="D65" s="112" t="s">
        <v>405</v>
      </c>
      <c r="E65" s="77" t="b">
        <f t="shared" si="10"/>
        <v>1</v>
      </c>
      <c r="F65" s="77" t="b">
        <f t="shared" si="11"/>
        <v>1</v>
      </c>
      <c r="G65" s="77" t="b">
        <f t="shared" si="11"/>
        <v>1</v>
      </c>
      <c r="H65" s="77" t="b">
        <f t="shared" si="12"/>
        <v>1</v>
      </c>
      <c r="I65" s="77" t="b">
        <f t="shared" si="12"/>
        <v>1</v>
      </c>
      <c r="J65" s="77" t="b">
        <f t="shared" si="13"/>
        <v>1</v>
      </c>
    </row>
    <row r="66" spans="4:10" ht="13.8">
      <c r="D66" s="112" t="s">
        <v>407</v>
      </c>
      <c r="E66" s="77" t="b">
        <f t="shared" si="10"/>
        <v>1</v>
      </c>
      <c r="F66" s="77" t="b">
        <f t="shared" si="11"/>
        <v>1</v>
      </c>
      <c r="G66" s="77" t="b">
        <f t="shared" si="11"/>
        <v>1</v>
      </c>
      <c r="H66" s="77" t="b">
        <f t="shared" si="12"/>
        <v>1</v>
      </c>
      <c r="I66" s="77" t="b">
        <f t="shared" si="12"/>
        <v>1</v>
      </c>
      <c r="J66" s="77" t="b">
        <f t="shared" si="13"/>
        <v>1</v>
      </c>
    </row>
    <row r="67" spans="4:10" ht="13.8">
      <c r="D67" s="112" t="s">
        <v>409</v>
      </c>
      <c r="E67" s="78" t="b">
        <f t="shared" si="10"/>
        <v>0</v>
      </c>
      <c r="F67" s="77" t="b">
        <f t="shared" si="11"/>
        <v>1</v>
      </c>
      <c r="G67" s="78" t="b">
        <f t="shared" si="11"/>
        <v>0</v>
      </c>
      <c r="H67" s="78" t="b">
        <f t="shared" si="12"/>
        <v>0</v>
      </c>
      <c r="I67" s="77" t="b">
        <f t="shared" si="12"/>
        <v>1</v>
      </c>
      <c r="J67" s="78" t="b">
        <f t="shared" si="13"/>
        <v>0</v>
      </c>
    </row>
    <row r="68" spans="4:10" ht="13.8">
      <c r="D68" s="112" t="s">
        <v>411</v>
      </c>
      <c r="E68" s="77" t="b">
        <f t="shared" si="10"/>
        <v>1</v>
      </c>
      <c r="F68" s="78" t="b">
        <f t="shared" si="11"/>
        <v>0</v>
      </c>
      <c r="G68" s="78" t="b">
        <f t="shared" si="11"/>
        <v>0</v>
      </c>
      <c r="H68" s="78" t="b">
        <f t="shared" si="12"/>
        <v>0</v>
      </c>
      <c r="I68" s="77" t="b">
        <f t="shared" si="12"/>
        <v>1</v>
      </c>
      <c r="J68" s="78" t="b">
        <f t="shared" si="13"/>
        <v>0</v>
      </c>
    </row>
    <row r="69" spans="4:10" ht="13.8">
      <c r="D69" s="112" t="s">
        <v>413</v>
      </c>
      <c r="E69" s="78" t="b">
        <f t="shared" si="10"/>
        <v>0</v>
      </c>
      <c r="F69" s="78" t="b">
        <f t="shared" si="11"/>
        <v>0</v>
      </c>
      <c r="G69" s="78" t="b">
        <f t="shared" si="11"/>
        <v>0</v>
      </c>
      <c r="H69" s="78" t="b">
        <f t="shared" si="12"/>
        <v>0</v>
      </c>
      <c r="I69" s="77" t="b">
        <f t="shared" si="12"/>
        <v>1</v>
      </c>
      <c r="J69" s="78" t="b">
        <f t="shared" si="13"/>
        <v>0</v>
      </c>
    </row>
    <row r="70" spans="4:10" ht="13.8">
      <c r="D70" s="112" t="s">
        <v>414</v>
      </c>
      <c r="E70" s="77" t="b">
        <f t="shared" si="10"/>
        <v>1</v>
      </c>
      <c r="F70" s="77" t="b">
        <f t="shared" si="11"/>
        <v>1</v>
      </c>
      <c r="G70" s="77" t="b">
        <f t="shared" si="11"/>
        <v>1</v>
      </c>
      <c r="H70" s="77" t="b">
        <f t="shared" si="12"/>
        <v>1</v>
      </c>
      <c r="I70" s="77" t="b">
        <f t="shared" si="12"/>
        <v>1</v>
      </c>
      <c r="J70" s="77" t="b">
        <f t="shared" si="13"/>
        <v>1</v>
      </c>
    </row>
    <row r="71" spans="4:10" ht="13.8">
      <c r="D71" s="112" t="s">
        <v>415</v>
      </c>
      <c r="E71" s="77" t="b">
        <f t="shared" si="10"/>
        <v>1</v>
      </c>
      <c r="F71" s="77" t="b">
        <f t="shared" si="11"/>
        <v>1</v>
      </c>
      <c r="G71" s="77" t="b">
        <f t="shared" si="11"/>
        <v>1</v>
      </c>
      <c r="H71" s="77" t="b">
        <f t="shared" si="12"/>
        <v>1</v>
      </c>
      <c r="I71" s="77" t="b">
        <f t="shared" si="12"/>
        <v>1</v>
      </c>
      <c r="J71" s="77" t="b">
        <f t="shared" si="13"/>
        <v>1</v>
      </c>
    </row>
    <row r="72" spans="4:10" ht="13.8">
      <c r="D72" s="112" t="s">
        <v>417</v>
      </c>
      <c r="E72" s="77" t="b">
        <f t="shared" si="10"/>
        <v>1</v>
      </c>
      <c r="F72" s="77" t="b">
        <f t="shared" si="11"/>
        <v>1</v>
      </c>
      <c r="G72" s="77" t="b">
        <f t="shared" si="11"/>
        <v>1</v>
      </c>
      <c r="H72" s="78" t="b">
        <f t="shared" si="12"/>
        <v>0</v>
      </c>
      <c r="I72" s="77" t="b">
        <f t="shared" si="12"/>
        <v>1</v>
      </c>
      <c r="J72" s="78" t="b">
        <f t="shared" si="13"/>
        <v>0</v>
      </c>
    </row>
    <row r="73" spans="4:10" ht="13.8">
      <c r="D73" s="112" t="s">
        <v>418</v>
      </c>
      <c r="E73" s="77" t="b">
        <f t="shared" si="10"/>
        <v>1</v>
      </c>
      <c r="F73" s="77" t="b">
        <f t="shared" si="11"/>
        <v>1</v>
      </c>
      <c r="G73" s="77" t="b">
        <f t="shared" si="11"/>
        <v>1</v>
      </c>
      <c r="H73" s="78" t="b">
        <f t="shared" si="12"/>
        <v>0</v>
      </c>
      <c r="I73" s="77" t="b">
        <f t="shared" si="12"/>
        <v>1</v>
      </c>
      <c r="J73" s="77" t="b">
        <f t="shared" si="13"/>
        <v>1</v>
      </c>
    </row>
    <row r="74" spans="4:10" ht="13.8">
      <c r="D74" s="112" t="s">
        <v>419</v>
      </c>
      <c r="E74" s="78" t="b">
        <f t="shared" si="10"/>
        <v>0</v>
      </c>
      <c r="F74" s="77" t="b">
        <f t="shared" ref="F74:G77" si="14">G20&gt;0.032</f>
        <v>1</v>
      </c>
      <c r="G74" s="77" t="b">
        <f t="shared" si="14"/>
        <v>1</v>
      </c>
      <c r="H74" s="78" t="b">
        <f t="shared" ref="H74:I77" si="15">I20&gt;0.029</f>
        <v>0</v>
      </c>
      <c r="I74" s="77" t="b">
        <f t="shared" si="15"/>
        <v>1</v>
      </c>
      <c r="J74" s="77" t="b">
        <f t="shared" si="13"/>
        <v>1</v>
      </c>
    </row>
    <row r="75" spans="4:10" ht="13.8">
      <c r="D75" s="112" t="s">
        <v>421</v>
      </c>
      <c r="E75" s="77" t="b">
        <f t="shared" si="10"/>
        <v>1</v>
      </c>
      <c r="F75" s="77" t="b">
        <f t="shared" si="14"/>
        <v>1</v>
      </c>
      <c r="G75" s="77" t="b">
        <f t="shared" si="14"/>
        <v>1</v>
      </c>
      <c r="H75" s="77" t="b">
        <f t="shared" si="15"/>
        <v>1</v>
      </c>
      <c r="I75" s="77" t="b">
        <f t="shared" si="15"/>
        <v>1</v>
      </c>
      <c r="J75" s="77" t="b">
        <f t="shared" si="13"/>
        <v>1</v>
      </c>
    </row>
    <row r="76" spans="4:10" ht="13.8">
      <c r="D76" s="112" t="s">
        <v>423</v>
      </c>
      <c r="E76" s="78" t="b">
        <f t="shared" si="10"/>
        <v>0</v>
      </c>
      <c r="F76" s="77" t="b">
        <f t="shared" si="14"/>
        <v>1</v>
      </c>
      <c r="G76" s="77" t="b">
        <f t="shared" si="14"/>
        <v>1</v>
      </c>
      <c r="H76" s="77" t="b">
        <f t="shared" si="15"/>
        <v>1</v>
      </c>
      <c r="I76" s="77" t="b">
        <f t="shared" si="15"/>
        <v>1</v>
      </c>
      <c r="J76" s="77" t="b">
        <f t="shared" si="13"/>
        <v>1</v>
      </c>
    </row>
    <row r="77" spans="4:10" ht="13.8">
      <c r="D77" s="112" t="s">
        <v>425</v>
      </c>
      <c r="E77" s="77" t="b">
        <f t="shared" si="10"/>
        <v>1</v>
      </c>
      <c r="F77" s="77" t="b">
        <f t="shared" si="14"/>
        <v>1</v>
      </c>
      <c r="G77" s="77" t="b">
        <f t="shared" si="14"/>
        <v>1</v>
      </c>
      <c r="H77" s="77" t="b">
        <f t="shared" si="15"/>
        <v>1</v>
      </c>
      <c r="I77" s="77" t="b">
        <f t="shared" si="15"/>
        <v>1</v>
      </c>
      <c r="J77" s="77" t="b">
        <f t="shared" si="13"/>
        <v>1</v>
      </c>
    </row>
    <row r="79" spans="4:10" ht="13.8">
      <c r="D79" s="1" t="s">
        <v>309</v>
      </c>
      <c r="E79" s="1" t="s">
        <v>315</v>
      </c>
      <c r="F79" s="1" t="s">
        <v>310</v>
      </c>
      <c r="G79" s="1">
        <v>0.05</v>
      </c>
      <c r="H79" s="32" t="s">
        <v>312</v>
      </c>
    </row>
    <row r="80" spans="4:10" ht="13.8">
      <c r="D80" s="32" t="s">
        <v>309</v>
      </c>
      <c r="E80" s="32" t="s">
        <v>39</v>
      </c>
      <c r="F80" s="32" t="s">
        <v>310</v>
      </c>
      <c r="G80" s="14">
        <v>3.1966456064918269E-2</v>
      </c>
      <c r="H80" s="32" t="s">
        <v>312</v>
      </c>
    </row>
    <row r="81" spans="4:10" ht="13.8">
      <c r="D81" s="32" t="s">
        <v>309</v>
      </c>
      <c r="E81" s="1" t="s">
        <v>380</v>
      </c>
      <c r="F81" s="32" t="s">
        <v>310</v>
      </c>
      <c r="G81" s="14">
        <v>3.1580443507579554E-2</v>
      </c>
      <c r="H81" s="32" t="s">
        <v>312</v>
      </c>
    </row>
    <row r="82" spans="4:10" ht="13.8">
      <c r="D82" s="32" t="s">
        <v>309</v>
      </c>
      <c r="E82" s="1" t="s">
        <v>381</v>
      </c>
      <c r="F82" s="32" t="s">
        <v>310</v>
      </c>
      <c r="G82" s="14">
        <v>2.8596232868335816E-2</v>
      </c>
      <c r="H82" s="32" t="s">
        <v>312</v>
      </c>
    </row>
    <row r="83" spans="4:10" ht="13.8">
      <c r="D83" s="32" t="s">
        <v>309</v>
      </c>
      <c r="E83" s="1" t="s">
        <v>263</v>
      </c>
      <c r="F83" s="32" t="s">
        <v>310</v>
      </c>
      <c r="G83" s="14">
        <v>2.8933224780027314E-2</v>
      </c>
      <c r="H83" s="32" t="s">
        <v>312</v>
      </c>
    </row>
    <row r="84" spans="4:10" ht="13.8">
      <c r="D84" s="32" t="s">
        <v>309</v>
      </c>
      <c r="E84" s="1" t="s">
        <v>264</v>
      </c>
      <c r="F84" s="32" t="s">
        <v>310</v>
      </c>
      <c r="G84" s="14">
        <v>2.1780021835068889E-2</v>
      </c>
      <c r="H84" s="32" t="s">
        <v>312</v>
      </c>
    </row>
    <row r="86" spans="4:10" ht="13.8">
      <c r="F86" s="16" t="s">
        <v>435</v>
      </c>
    </row>
    <row r="87" spans="4:10" ht="13.8">
      <c r="E87" s="1" t="s">
        <v>36</v>
      </c>
      <c r="F87" s="1" t="s">
        <v>39</v>
      </c>
      <c r="G87" s="1" t="s">
        <v>380</v>
      </c>
      <c r="H87" s="1" t="s">
        <v>381</v>
      </c>
      <c r="I87" s="1" t="s">
        <v>263</v>
      </c>
      <c r="J87" s="1" t="s">
        <v>264</v>
      </c>
    </row>
    <row r="88" spans="4:10" ht="13.8">
      <c r="D88" s="104" t="s">
        <v>391</v>
      </c>
      <c r="E88" s="77" t="b">
        <f t="shared" ref="E88:E107" si="16">F4&gt;0.05</f>
        <v>1</v>
      </c>
      <c r="F88" s="77" t="b">
        <f t="shared" ref="F88:J103" si="17">IF(G4&gt;0.035, IF(G4&gt;0.063, TRUE, FALSE), IF(G4&gt;0.027, TRUE, FALSE))</f>
        <v>1</v>
      </c>
      <c r="G88" s="77" t="b">
        <f t="shared" si="17"/>
        <v>1</v>
      </c>
      <c r="H88" s="77" t="b">
        <f t="shared" si="17"/>
        <v>1</v>
      </c>
      <c r="I88" s="77" t="b">
        <f t="shared" si="17"/>
        <v>1</v>
      </c>
      <c r="J88" s="77" t="b">
        <f t="shared" si="17"/>
        <v>1</v>
      </c>
    </row>
    <row r="89" spans="4:10" ht="13.8">
      <c r="D89" s="112" t="s">
        <v>393</v>
      </c>
      <c r="E89" s="77" t="b">
        <f t="shared" si="16"/>
        <v>1</v>
      </c>
      <c r="F89" s="77" t="b">
        <f t="shared" si="17"/>
        <v>1</v>
      </c>
      <c r="G89" s="77" t="b">
        <f t="shared" si="17"/>
        <v>1</v>
      </c>
      <c r="H89" s="77" t="b">
        <f t="shared" si="17"/>
        <v>1</v>
      </c>
      <c r="I89" s="77" t="b">
        <f t="shared" si="17"/>
        <v>1</v>
      </c>
      <c r="J89" s="78" t="b">
        <f t="shared" si="17"/>
        <v>0</v>
      </c>
    </row>
    <row r="90" spans="4:10" ht="13.8">
      <c r="D90" s="112" t="s">
        <v>395</v>
      </c>
      <c r="E90" s="78" t="b">
        <f t="shared" si="16"/>
        <v>0</v>
      </c>
      <c r="F90" s="78" t="b">
        <f t="shared" si="17"/>
        <v>0</v>
      </c>
      <c r="G90" s="77" t="b">
        <f t="shared" si="17"/>
        <v>1</v>
      </c>
      <c r="H90" s="77" t="b">
        <f t="shared" si="17"/>
        <v>1</v>
      </c>
      <c r="I90" s="78" t="b">
        <f t="shared" si="17"/>
        <v>0</v>
      </c>
      <c r="J90" s="78" t="b">
        <f t="shared" si="17"/>
        <v>0</v>
      </c>
    </row>
    <row r="91" spans="4:10" ht="13.8">
      <c r="D91" s="112" t="s">
        <v>397</v>
      </c>
      <c r="E91" s="77" t="b">
        <f t="shared" si="16"/>
        <v>1</v>
      </c>
      <c r="F91" s="77" t="b">
        <f t="shared" si="17"/>
        <v>1</v>
      </c>
      <c r="G91" s="77" t="b">
        <f t="shared" si="17"/>
        <v>1</v>
      </c>
      <c r="H91" s="77" t="b">
        <f t="shared" si="17"/>
        <v>1</v>
      </c>
      <c r="I91" s="77" t="b">
        <f t="shared" si="17"/>
        <v>1</v>
      </c>
      <c r="J91" s="78" t="b">
        <f t="shared" si="17"/>
        <v>0</v>
      </c>
    </row>
    <row r="92" spans="4:10" ht="13.8">
      <c r="D92" s="112" t="s">
        <v>399</v>
      </c>
      <c r="E92" s="77" t="b">
        <f t="shared" si="16"/>
        <v>1</v>
      </c>
      <c r="F92" s="78" t="b">
        <f t="shared" si="17"/>
        <v>0</v>
      </c>
      <c r="G92" s="78" t="b">
        <f t="shared" si="17"/>
        <v>0</v>
      </c>
      <c r="H92" s="78" t="b">
        <f t="shared" si="17"/>
        <v>0</v>
      </c>
      <c r="I92" s="78" t="b">
        <f t="shared" si="17"/>
        <v>0</v>
      </c>
      <c r="J92" s="78" t="b">
        <f t="shared" si="17"/>
        <v>0</v>
      </c>
    </row>
    <row r="93" spans="4:10" ht="13.8">
      <c r="D93" s="112" t="s">
        <v>401</v>
      </c>
      <c r="E93" s="77" t="b">
        <f t="shared" si="16"/>
        <v>1</v>
      </c>
      <c r="F93" s="78" t="b">
        <f t="shared" si="17"/>
        <v>0</v>
      </c>
      <c r="G93" s="78" t="b">
        <f t="shared" si="17"/>
        <v>0</v>
      </c>
      <c r="H93" s="78" t="b">
        <f t="shared" si="17"/>
        <v>0</v>
      </c>
      <c r="I93" s="78" t="b">
        <f t="shared" si="17"/>
        <v>0</v>
      </c>
      <c r="J93" s="78" t="b">
        <f t="shared" si="17"/>
        <v>0</v>
      </c>
    </row>
    <row r="94" spans="4:10" ht="13.8">
      <c r="D94" s="112" t="s">
        <v>403</v>
      </c>
      <c r="E94" s="77" t="b">
        <f t="shared" si="16"/>
        <v>1</v>
      </c>
      <c r="F94" s="77" t="b">
        <f t="shared" si="17"/>
        <v>1</v>
      </c>
      <c r="G94" s="78" t="b">
        <f t="shared" si="17"/>
        <v>0</v>
      </c>
      <c r="H94" s="78" t="b">
        <f t="shared" si="17"/>
        <v>0</v>
      </c>
      <c r="I94" s="78" t="b">
        <f t="shared" si="17"/>
        <v>0</v>
      </c>
      <c r="J94" s="78" t="b">
        <f t="shared" si="17"/>
        <v>0</v>
      </c>
    </row>
    <row r="95" spans="4:10" ht="13.8">
      <c r="D95" s="112" t="s">
        <v>405</v>
      </c>
      <c r="E95" s="77" t="b">
        <f t="shared" si="16"/>
        <v>1</v>
      </c>
      <c r="F95" s="78" t="b">
        <f t="shared" si="17"/>
        <v>0</v>
      </c>
      <c r="G95" s="78" t="b">
        <f t="shared" si="17"/>
        <v>0</v>
      </c>
      <c r="H95" s="77" t="b">
        <f t="shared" si="17"/>
        <v>1</v>
      </c>
      <c r="I95" s="78" t="b">
        <f t="shared" si="17"/>
        <v>0</v>
      </c>
      <c r="J95" s="78" t="b">
        <f t="shared" si="17"/>
        <v>0</v>
      </c>
    </row>
    <row r="96" spans="4:10" ht="13.8">
      <c r="D96" s="112" t="s">
        <v>407</v>
      </c>
      <c r="E96" s="77" t="b">
        <f t="shared" si="16"/>
        <v>1</v>
      </c>
      <c r="F96" s="78" t="b">
        <f t="shared" si="17"/>
        <v>0</v>
      </c>
      <c r="G96" s="78" t="b">
        <f t="shared" si="17"/>
        <v>0</v>
      </c>
      <c r="H96" s="77" t="b">
        <f t="shared" si="17"/>
        <v>1</v>
      </c>
      <c r="I96" s="78" t="b">
        <f t="shared" si="17"/>
        <v>0</v>
      </c>
      <c r="J96" s="77" t="b">
        <f t="shared" si="17"/>
        <v>1</v>
      </c>
    </row>
    <row r="97" spans="4:10" ht="13.8">
      <c r="D97" s="112" t="s">
        <v>409</v>
      </c>
      <c r="E97" s="78" t="b">
        <f t="shared" si="16"/>
        <v>0</v>
      </c>
      <c r="F97" s="77" t="b">
        <f t="shared" si="17"/>
        <v>1</v>
      </c>
      <c r="G97" s="77" t="b">
        <f t="shared" si="17"/>
        <v>1</v>
      </c>
      <c r="H97" s="78" t="b">
        <f t="shared" si="17"/>
        <v>0</v>
      </c>
      <c r="I97" s="77" t="b">
        <f t="shared" si="17"/>
        <v>1</v>
      </c>
      <c r="J97" s="78" t="b">
        <f t="shared" si="17"/>
        <v>0</v>
      </c>
    </row>
    <row r="98" spans="4:10" ht="13.8">
      <c r="D98" s="112" t="s">
        <v>411</v>
      </c>
      <c r="E98" s="77" t="b">
        <f t="shared" si="16"/>
        <v>1</v>
      </c>
      <c r="F98" s="77" t="b">
        <f t="shared" si="17"/>
        <v>1</v>
      </c>
      <c r="G98" s="77" t="b">
        <f t="shared" si="17"/>
        <v>1</v>
      </c>
      <c r="H98" s="78" t="b">
        <f t="shared" si="17"/>
        <v>0</v>
      </c>
      <c r="I98" s="77" t="b">
        <f t="shared" si="17"/>
        <v>1</v>
      </c>
      <c r="J98" s="78" t="b">
        <f t="shared" si="17"/>
        <v>0</v>
      </c>
    </row>
    <row r="99" spans="4:10" ht="13.8">
      <c r="D99" s="112" t="s">
        <v>413</v>
      </c>
      <c r="E99" s="78" t="b">
        <f t="shared" si="16"/>
        <v>0</v>
      </c>
      <c r="F99" s="77" t="b">
        <f t="shared" si="17"/>
        <v>1</v>
      </c>
      <c r="G99" s="77" t="b">
        <f t="shared" si="17"/>
        <v>1</v>
      </c>
      <c r="H99" s="78" t="b">
        <f t="shared" si="17"/>
        <v>0</v>
      </c>
      <c r="I99" s="77" t="b">
        <f t="shared" si="17"/>
        <v>1</v>
      </c>
      <c r="J99" s="78" t="b">
        <f t="shared" si="17"/>
        <v>0</v>
      </c>
    </row>
    <row r="100" spans="4:10" ht="13.8">
      <c r="D100" s="112" t="s">
        <v>414</v>
      </c>
      <c r="E100" s="77" t="b">
        <f t="shared" si="16"/>
        <v>1</v>
      </c>
      <c r="F100" s="78" t="b">
        <f t="shared" si="17"/>
        <v>0</v>
      </c>
      <c r="G100" s="78" t="b">
        <f t="shared" si="17"/>
        <v>0</v>
      </c>
      <c r="H100" s="78" t="b">
        <f t="shared" si="17"/>
        <v>0</v>
      </c>
      <c r="I100" s="78" t="b">
        <f t="shared" si="17"/>
        <v>0</v>
      </c>
      <c r="J100" s="78" t="b">
        <f t="shared" si="17"/>
        <v>0</v>
      </c>
    </row>
    <row r="101" spans="4:10" ht="13.8">
      <c r="D101" s="112" t="s">
        <v>415</v>
      </c>
      <c r="E101" s="77" t="b">
        <f t="shared" si="16"/>
        <v>1</v>
      </c>
      <c r="F101" s="78" t="b">
        <f t="shared" si="17"/>
        <v>0</v>
      </c>
      <c r="G101" s="78" t="b">
        <f t="shared" si="17"/>
        <v>0</v>
      </c>
      <c r="H101" s="78" t="b">
        <f t="shared" si="17"/>
        <v>0</v>
      </c>
      <c r="I101" s="78" t="b">
        <f t="shared" si="17"/>
        <v>0</v>
      </c>
      <c r="J101" s="78" t="b">
        <f t="shared" si="17"/>
        <v>0</v>
      </c>
    </row>
    <row r="102" spans="4:10" ht="13.8">
      <c r="D102" s="112" t="s">
        <v>417</v>
      </c>
      <c r="E102" s="77" t="b">
        <f t="shared" si="16"/>
        <v>1</v>
      </c>
      <c r="F102" s="78" t="b">
        <f t="shared" si="17"/>
        <v>0</v>
      </c>
      <c r="G102" s="78" t="b">
        <f t="shared" si="17"/>
        <v>0</v>
      </c>
      <c r="H102" s="78" t="b">
        <f t="shared" si="17"/>
        <v>0</v>
      </c>
      <c r="I102" s="77" t="b">
        <f t="shared" si="17"/>
        <v>1</v>
      </c>
      <c r="J102" s="78" t="b">
        <f t="shared" si="17"/>
        <v>0</v>
      </c>
    </row>
    <row r="103" spans="4:10" ht="13.8">
      <c r="D103" s="112" t="s">
        <v>418</v>
      </c>
      <c r="E103" s="77" t="b">
        <f t="shared" si="16"/>
        <v>1</v>
      </c>
      <c r="F103" s="77" t="b">
        <f t="shared" si="17"/>
        <v>1</v>
      </c>
      <c r="G103" s="78" t="b">
        <f t="shared" si="17"/>
        <v>0</v>
      </c>
      <c r="H103" s="77" t="b">
        <f t="shared" si="17"/>
        <v>1</v>
      </c>
      <c r="I103" s="77" t="b">
        <f t="shared" si="17"/>
        <v>1</v>
      </c>
      <c r="J103" s="78" t="b">
        <f t="shared" si="17"/>
        <v>0</v>
      </c>
    </row>
    <row r="104" spans="4:10" ht="13.8">
      <c r="D104" s="112" t="s">
        <v>419</v>
      </c>
      <c r="E104" s="77" t="b">
        <f t="shared" si="16"/>
        <v>0</v>
      </c>
      <c r="F104" s="78" t="b">
        <f t="shared" ref="F104:J107" si="18">IF(G20&gt;0.035, IF(G20&gt;0.063, TRUE, FALSE), IF(G20&gt;0.027, TRUE, FALSE))</f>
        <v>0</v>
      </c>
      <c r="G104" s="77" t="b">
        <f t="shared" si="18"/>
        <v>1</v>
      </c>
      <c r="H104" s="78" t="b">
        <f t="shared" si="18"/>
        <v>0</v>
      </c>
      <c r="I104" s="77" t="b">
        <f t="shared" si="18"/>
        <v>1</v>
      </c>
      <c r="J104" s="78" t="b">
        <f t="shared" si="18"/>
        <v>0</v>
      </c>
    </row>
    <row r="105" spans="4:10" ht="13.8">
      <c r="D105" s="112" t="s">
        <v>421</v>
      </c>
      <c r="E105" s="77" t="b">
        <f t="shared" si="16"/>
        <v>1</v>
      </c>
      <c r="F105" s="78" t="b">
        <f t="shared" si="18"/>
        <v>0</v>
      </c>
      <c r="G105" s="78" t="b">
        <f t="shared" si="18"/>
        <v>0</v>
      </c>
      <c r="H105" s="77" t="b">
        <f t="shared" si="18"/>
        <v>1</v>
      </c>
      <c r="I105" s="78" t="b">
        <f t="shared" si="18"/>
        <v>0</v>
      </c>
      <c r="J105" s="78" t="b">
        <f t="shared" si="18"/>
        <v>0</v>
      </c>
    </row>
    <row r="106" spans="4:10" ht="13.8">
      <c r="D106" s="112" t="s">
        <v>423</v>
      </c>
      <c r="E106" s="78" t="b">
        <f t="shared" si="16"/>
        <v>0</v>
      </c>
      <c r="F106" s="78" t="b">
        <f t="shared" si="18"/>
        <v>0</v>
      </c>
      <c r="G106" s="77" t="b">
        <f t="shared" si="18"/>
        <v>1</v>
      </c>
      <c r="H106" s="77" t="b">
        <f t="shared" si="18"/>
        <v>1</v>
      </c>
      <c r="I106" s="78" t="b">
        <f t="shared" si="18"/>
        <v>0</v>
      </c>
      <c r="J106" s="78" t="b">
        <f t="shared" si="18"/>
        <v>0</v>
      </c>
    </row>
    <row r="107" spans="4:10" ht="13.8">
      <c r="D107" s="112" t="s">
        <v>425</v>
      </c>
      <c r="E107" s="77" t="b">
        <f t="shared" si="16"/>
        <v>1</v>
      </c>
      <c r="F107" s="78" t="b">
        <f t="shared" si="18"/>
        <v>0</v>
      </c>
      <c r="G107" s="78" t="b">
        <f t="shared" si="18"/>
        <v>0</v>
      </c>
      <c r="H107" s="78" t="b">
        <f t="shared" si="18"/>
        <v>0</v>
      </c>
      <c r="I107" s="78" t="b">
        <f t="shared" si="18"/>
        <v>0</v>
      </c>
      <c r="J107" s="77" t="b">
        <f t="shared" si="18"/>
        <v>1</v>
      </c>
    </row>
    <row r="108" spans="4:10" ht="13.8">
      <c r="D108" s="112"/>
    </row>
    <row r="109" spans="4:10" ht="13.8">
      <c r="D109" s="112"/>
    </row>
    <row r="110" spans="4:10" ht="13.8">
      <c r="F110" s="16" t="s">
        <v>436</v>
      </c>
    </row>
    <row r="111" spans="4:10" ht="13.8">
      <c r="E111" s="1" t="s">
        <v>36</v>
      </c>
      <c r="F111" s="1" t="s">
        <v>39</v>
      </c>
      <c r="G111" s="1" t="s">
        <v>380</v>
      </c>
      <c r="H111" s="1" t="s">
        <v>381</v>
      </c>
      <c r="I111" s="1" t="s">
        <v>263</v>
      </c>
      <c r="J111" s="1" t="s">
        <v>264</v>
      </c>
    </row>
    <row r="112" spans="4:10" ht="13.8">
      <c r="D112" s="104" t="s">
        <v>391</v>
      </c>
      <c r="E112" s="1" t="b">
        <f t="shared" ref="E112:E131" si="19">F4&gt;0.05</f>
        <v>1</v>
      </c>
      <c r="F112" s="1" t="b">
        <f t="shared" ref="F112:I127" si="20">IF(G4&gt;0.035, IF(G4&gt;0.063, TRUE, FALSE), IF(G4&gt;0.027, TRUE, FALSE))</f>
        <v>1</v>
      </c>
      <c r="G112" s="1" t="b">
        <f t="shared" si="20"/>
        <v>1</v>
      </c>
      <c r="H112" s="1" t="b">
        <f t="shared" si="20"/>
        <v>1</v>
      </c>
      <c r="I112" s="1" t="b">
        <f t="shared" si="20"/>
        <v>1</v>
      </c>
      <c r="J112" s="1" t="b">
        <f t="shared" ref="J112:J131" si="21">K4&gt;0.027</f>
        <v>1</v>
      </c>
    </row>
    <row r="113" spans="4:10" ht="13.8">
      <c r="D113" s="112" t="s">
        <v>393</v>
      </c>
      <c r="E113" s="1" t="b">
        <f t="shared" si="19"/>
        <v>1</v>
      </c>
      <c r="F113" s="1" t="b">
        <f t="shared" si="20"/>
        <v>1</v>
      </c>
      <c r="G113" s="1" t="b">
        <f t="shared" si="20"/>
        <v>1</v>
      </c>
      <c r="H113" s="1" t="b">
        <f t="shared" si="20"/>
        <v>1</v>
      </c>
      <c r="I113" s="1" t="b">
        <f t="shared" si="20"/>
        <v>1</v>
      </c>
      <c r="J113" s="1" t="b">
        <f t="shared" si="21"/>
        <v>1</v>
      </c>
    </row>
    <row r="114" spans="4:10" ht="13.8">
      <c r="D114" s="112" t="s">
        <v>395</v>
      </c>
      <c r="E114" s="1" t="b">
        <f t="shared" si="19"/>
        <v>0</v>
      </c>
      <c r="F114" s="1" t="b">
        <f t="shared" si="20"/>
        <v>0</v>
      </c>
      <c r="G114" s="1" t="b">
        <f t="shared" si="20"/>
        <v>1</v>
      </c>
      <c r="H114" s="1" t="b">
        <f t="shared" si="20"/>
        <v>1</v>
      </c>
      <c r="I114" s="1" t="b">
        <f t="shared" si="20"/>
        <v>0</v>
      </c>
      <c r="J114" s="1" t="b">
        <f t="shared" si="21"/>
        <v>0</v>
      </c>
    </row>
    <row r="115" spans="4:10" ht="13.8">
      <c r="D115" s="112" t="s">
        <v>397</v>
      </c>
      <c r="E115" s="1" t="b">
        <f t="shared" si="19"/>
        <v>1</v>
      </c>
      <c r="F115" s="1" t="b">
        <f t="shared" si="20"/>
        <v>1</v>
      </c>
      <c r="G115" s="1" t="b">
        <f t="shared" si="20"/>
        <v>1</v>
      </c>
      <c r="H115" s="1" t="b">
        <f t="shared" si="20"/>
        <v>1</v>
      </c>
      <c r="I115" s="1" t="b">
        <f t="shared" si="20"/>
        <v>1</v>
      </c>
      <c r="J115" s="1" t="b">
        <f t="shared" si="21"/>
        <v>1</v>
      </c>
    </row>
    <row r="116" spans="4:10" ht="13.8">
      <c r="D116" s="112" t="s">
        <v>399</v>
      </c>
      <c r="E116" s="1" t="b">
        <f t="shared" si="19"/>
        <v>1</v>
      </c>
      <c r="F116" s="1" t="b">
        <f t="shared" si="20"/>
        <v>0</v>
      </c>
      <c r="G116" s="1" t="b">
        <f t="shared" si="20"/>
        <v>0</v>
      </c>
      <c r="H116" s="1" t="b">
        <f t="shared" si="20"/>
        <v>0</v>
      </c>
      <c r="I116" s="1" t="b">
        <f t="shared" si="20"/>
        <v>0</v>
      </c>
      <c r="J116" s="1" t="b">
        <f t="shared" si="21"/>
        <v>1</v>
      </c>
    </row>
    <row r="117" spans="4:10" ht="13.8">
      <c r="D117" s="112" t="s">
        <v>401</v>
      </c>
      <c r="E117" s="1" t="b">
        <f t="shared" si="19"/>
        <v>1</v>
      </c>
      <c r="F117" s="1" t="b">
        <f t="shared" si="20"/>
        <v>0</v>
      </c>
      <c r="G117" s="1" t="b">
        <f t="shared" si="20"/>
        <v>0</v>
      </c>
      <c r="H117" s="1" t="b">
        <f t="shared" si="20"/>
        <v>0</v>
      </c>
      <c r="I117" s="1" t="b">
        <f t="shared" si="20"/>
        <v>0</v>
      </c>
      <c r="J117" s="1" t="b">
        <f t="shared" si="21"/>
        <v>1</v>
      </c>
    </row>
    <row r="118" spans="4:10" ht="13.8">
      <c r="D118" s="112" t="s">
        <v>403</v>
      </c>
      <c r="E118" s="1" t="b">
        <f t="shared" si="19"/>
        <v>1</v>
      </c>
      <c r="F118" s="1" t="b">
        <f t="shared" si="20"/>
        <v>1</v>
      </c>
      <c r="G118" s="1" t="b">
        <f t="shared" si="20"/>
        <v>0</v>
      </c>
      <c r="H118" s="1" t="b">
        <f t="shared" si="20"/>
        <v>0</v>
      </c>
      <c r="I118" s="1" t="b">
        <f t="shared" si="20"/>
        <v>0</v>
      </c>
      <c r="J118" s="1" t="b">
        <f t="shared" si="21"/>
        <v>1</v>
      </c>
    </row>
    <row r="119" spans="4:10" ht="13.8">
      <c r="D119" s="112" t="s">
        <v>405</v>
      </c>
      <c r="E119" s="1" t="b">
        <f t="shared" si="19"/>
        <v>1</v>
      </c>
      <c r="F119" s="1" t="b">
        <f t="shared" si="20"/>
        <v>0</v>
      </c>
      <c r="G119" s="1" t="b">
        <f t="shared" si="20"/>
        <v>0</v>
      </c>
      <c r="H119" s="1" t="b">
        <f t="shared" si="20"/>
        <v>1</v>
      </c>
      <c r="I119" s="1" t="b">
        <f t="shared" si="20"/>
        <v>0</v>
      </c>
      <c r="J119" s="1" t="b">
        <f t="shared" si="21"/>
        <v>0</v>
      </c>
    </row>
    <row r="120" spans="4:10" ht="13.8">
      <c r="D120" s="112" t="s">
        <v>407</v>
      </c>
      <c r="E120" s="1" t="b">
        <f t="shared" si="19"/>
        <v>1</v>
      </c>
      <c r="F120" s="1" t="b">
        <f t="shared" si="20"/>
        <v>0</v>
      </c>
      <c r="G120" s="1" t="b">
        <f t="shared" si="20"/>
        <v>0</v>
      </c>
      <c r="H120" s="1" t="b">
        <f t="shared" si="20"/>
        <v>1</v>
      </c>
      <c r="I120" s="1" t="b">
        <f t="shared" si="20"/>
        <v>0</v>
      </c>
      <c r="J120" s="1" t="b">
        <f t="shared" si="21"/>
        <v>1</v>
      </c>
    </row>
    <row r="121" spans="4:10" ht="13.8">
      <c r="D121" s="112" t="s">
        <v>409</v>
      </c>
      <c r="E121" s="1" t="b">
        <f t="shared" si="19"/>
        <v>0</v>
      </c>
      <c r="F121" s="1" t="b">
        <f t="shared" si="20"/>
        <v>1</v>
      </c>
      <c r="G121" s="1" t="b">
        <f t="shared" si="20"/>
        <v>1</v>
      </c>
      <c r="H121" s="1" t="b">
        <f t="shared" si="20"/>
        <v>0</v>
      </c>
      <c r="I121" s="1" t="b">
        <f t="shared" si="20"/>
        <v>1</v>
      </c>
      <c r="J121" s="1" t="b">
        <f t="shared" si="21"/>
        <v>0</v>
      </c>
    </row>
    <row r="122" spans="4:10" ht="13.8">
      <c r="D122" s="112" t="s">
        <v>411</v>
      </c>
      <c r="E122" s="1" t="b">
        <f t="shared" si="19"/>
        <v>1</v>
      </c>
      <c r="F122" s="1" t="b">
        <f t="shared" si="20"/>
        <v>1</v>
      </c>
      <c r="G122" s="1" t="b">
        <f t="shared" si="20"/>
        <v>1</v>
      </c>
      <c r="H122" s="1" t="b">
        <f t="shared" si="20"/>
        <v>0</v>
      </c>
      <c r="I122" s="1" t="b">
        <f t="shared" si="20"/>
        <v>1</v>
      </c>
      <c r="J122" s="1" t="b">
        <f t="shared" si="21"/>
        <v>0</v>
      </c>
    </row>
    <row r="123" spans="4:10" ht="13.8">
      <c r="D123" s="112" t="s">
        <v>413</v>
      </c>
      <c r="E123" s="1" t="b">
        <f t="shared" si="19"/>
        <v>0</v>
      </c>
      <c r="F123" s="1" t="b">
        <f t="shared" si="20"/>
        <v>1</v>
      </c>
      <c r="G123" s="1" t="b">
        <f t="shared" si="20"/>
        <v>1</v>
      </c>
      <c r="H123" s="1" t="b">
        <f t="shared" si="20"/>
        <v>0</v>
      </c>
      <c r="I123" s="1" t="b">
        <f t="shared" si="20"/>
        <v>1</v>
      </c>
      <c r="J123" s="1" t="b">
        <f t="shared" si="21"/>
        <v>0</v>
      </c>
    </row>
    <row r="124" spans="4:10" ht="13.8">
      <c r="D124" s="112" t="s">
        <v>414</v>
      </c>
      <c r="E124" s="1" t="b">
        <f t="shared" si="19"/>
        <v>1</v>
      </c>
      <c r="F124" s="1" t="b">
        <f t="shared" si="20"/>
        <v>0</v>
      </c>
      <c r="G124" s="1" t="b">
        <f t="shared" si="20"/>
        <v>0</v>
      </c>
      <c r="H124" s="1" t="b">
        <f t="shared" si="20"/>
        <v>0</v>
      </c>
      <c r="I124" s="1" t="b">
        <f t="shared" si="20"/>
        <v>0</v>
      </c>
      <c r="J124" s="1" t="b">
        <f t="shared" si="21"/>
        <v>1</v>
      </c>
    </row>
    <row r="125" spans="4:10" ht="13.8">
      <c r="D125" s="112" t="s">
        <v>415</v>
      </c>
      <c r="E125" s="1" t="b">
        <f t="shared" si="19"/>
        <v>1</v>
      </c>
      <c r="F125" s="1" t="b">
        <f t="shared" si="20"/>
        <v>0</v>
      </c>
      <c r="G125" s="1" t="b">
        <f t="shared" si="20"/>
        <v>0</v>
      </c>
      <c r="H125" s="1" t="b">
        <f t="shared" si="20"/>
        <v>0</v>
      </c>
      <c r="I125" s="1" t="b">
        <f t="shared" si="20"/>
        <v>0</v>
      </c>
      <c r="J125" s="1" t="b">
        <f t="shared" si="21"/>
        <v>1</v>
      </c>
    </row>
    <row r="126" spans="4:10" ht="13.8">
      <c r="D126" s="112" t="s">
        <v>417</v>
      </c>
      <c r="E126" s="1" t="b">
        <f t="shared" si="19"/>
        <v>1</v>
      </c>
      <c r="F126" s="1" t="b">
        <f t="shared" si="20"/>
        <v>0</v>
      </c>
      <c r="G126" s="1" t="b">
        <f t="shared" si="20"/>
        <v>0</v>
      </c>
      <c r="H126" s="1" t="b">
        <f t="shared" si="20"/>
        <v>0</v>
      </c>
      <c r="I126" s="1" t="b">
        <f t="shared" si="20"/>
        <v>1</v>
      </c>
      <c r="J126" s="1" t="b">
        <f t="shared" si="21"/>
        <v>0</v>
      </c>
    </row>
    <row r="127" spans="4:10" ht="13.8">
      <c r="D127" s="112" t="s">
        <v>418</v>
      </c>
      <c r="E127" s="1" t="b">
        <f t="shared" si="19"/>
        <v>1</v>
      </c>
      <c r="F127" s="1" t="b">
        <f t="shared" si="20"/>
        <v>1</v>
      </c>
      <c r="G127" s="1" t="b">
        <f t="shared" si="20"/>
        <v>0</v>
      </c>
      <c r="H127" s="1" t="b">
        <f t="shared" si="20"/>
        <v>1</v>
      </c>
      <c r="I127" s="1" t="b">
        <f t="shared" si="20"/>
        <v>1</v>
      </c>
      <c r="J127" s="1" t="b">
        <f t="shared" si="21"/>
        <v>0</v>
      </c>
    </row>
    <row r="128" spans="4:10" ht="13.8">
      <c r="D128" s="112" t="s">
        <v>419</v>
      </c>
      <c r="E128" s="1" t="b">
        <f t="shared" si="19"/>
        <v>0</v>
      </c>
      <c r="F128" s="1" t="b">
        <f t="shared" ref="F128:I131" si="22">IF(G20&gt;0.035, IF(G20&gt;0.063, TRUE, FALSE), IF(G20&gt;0.027, TRUE, FALSE))</f>
        <v>0</v>
      </c>
      <c r="G128" s="1" t="b">
        <f t="shared" si="22"/>
        <v>1</v>
      </c>
      <c r="H128" s="1" t="b">
        <f t="shared" si="22"/>
        <v>0</v>
      </c>
      <c r="I128" s="1" t="b">
        <f t="shared" si="22"/>
        <v>1</v>
      </c>
      <c r="J128" s="1" t="b">
        <f t="shared" si="21"/>
        <v>0</v>
      </c>
    </row>
    <row r="129" spans="4:10" ht="13.8">
      <c r="D129" s="112" t="s">
        <v>421</v>
      </c>
      <c r="E129" s="1" t="b">
        <f t="shared" si="19"/>
        <v>1</v>
      </c>
      <c r="F129" s="1" t="b">
        <f t="shared" si="22"/>
        <v>0</v>
      </c>
      <c r="G129" s="1" t="b">
        <f t="shared" si="22"/>
        <v>0</v>
      </c>
      <c r="H129" s="1" t="b">
        <f t="shared" si="22"/>
        <v>1</v>
      </c>
      <c r="I129" s="1" t="b">
        <f t="shared" si="22"/>
        <v>0</v>
      </c>
      <c r="J129" s="1" t="b">
        <f t="shared" si="21"/>
        <v>0</v>
      </c>
    </row>
    <row r="130" spans="4:10" ht="13.8">
      <c r="D130" s="112" t="s">
        <v>423</v>
      </c>
      <c r="E130" s="1" t="b">
        <f t="shared" si="19"/>
        <v>0</v>
      </c>
      <c r="F130" s="1" t="b">
        <f t="shared" si="22"/>
        <v>0</v>
      </c>
      <c r="G130" s="1" t="b">
        <f t="shared" si="22"/>
        <v>1</v>
      </c>
      <c r="H130" s="1" t="b">
        <f t="shared" si="22"/>
        <v>1</v>
      </c>
      <c r="I130" s="1" t="b">
        <f t="shared" si="22"/>
        <v>0</v>
      </c>
      <c r="J130" s="1" t="b">
        <f t="shared" si="21"/>
        <v>0</v>
      </c>
    </row>
    <row r="131" spans="4:10" ht="13.8">
      <c r="D131" s="112" t="s">
        <v>425</v>
      </c>
      <c r="E131" s="1" t="b">
        <f t="shared" si="19"/>
        <v>1</v>
      </c>
      <c r="F131" s="1" t="b">
        <f t="shared" si="22"/>
        <v>0</v>
      </c>
      <c r="G131" s="1" t="b">
        <f t="shared" si="22"/>
        <v>0</v>
      </c>
      <c r="H131" s="1" t="b">
        <f t="shared" si="22"/>
        <v>0</v>
      </c>
      <c r="I131" s="1" t="b">
        <f t="shared" si="22"/>
        <v>0</v>
      </c>
      <c r="J131" s="1" t="b">
        <f t="shared" si="21"/>
        <v>1</v>
      </c>
    </row>
  </sheetData>
  <mergeCells count="2">
    <mergeCell ref="E31:J31"/>
    <mergeCell ref="E55:J5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13F1-5550-42D3-B82A-A654845AB494}">
  <sheetPr>
    <outlinePr summaryBelow="0" summaryRight="0"/>
  </sheetPr>
  <dimension ref="A1:N51"/>
  <sheetViews>
    <sheetView workbookViewId="0"/>
  </sheetViews>
  <sheetFormatPr defaultColWidth="12.6640625" defaultRowHeight="15.75" customHeight="1"/>
  <cols>
    <col min="1" max="16384" width="12.6640625" style="2"/>
  </cols>
  <sheetData>
    <row r="1" spans="1:14" ht="15.75" customHeight="1">
      <c r="B1" s="1" t="s">
        <v>86</v>
      </c>
      <c r="J1" s="1" t="s">
        <v>437</v>
      </c>
    </row>
    <row r="2" spans="1:14" ht="15.75" customHeight="1">
      <c r="A2" s="113" t="s">
        <v>438</v>
      </c>
      <c r="B2" s="1" t="s">
        <v>60</v>
      </c>
      <c r="C2" s="1" t="s">
        <v>62</v>
      </c>
      <c r="D2" s="1" t="s">
        <v>439</v>
      </c>
      <c r="E2" s="1" t="s">
        <v>440</v>
      </c>
      <c r="F2" s="1" t="s">
        <v>441</v>
      </c>
      <c r="G2" s="1" t="s">
        <v>442</v>
      </c>
      <c r="I2" s="113" t="s">
        <v>438</v>
      </c>
      <c r="J2" s="1" t="s">
        <v>62</v>
      </c>
      <c r="K2" s="1" t="s">
        <v>439</v>
      </c>
      <c r="L2" s="1" t="s">
        <v>440</v>
      </c>
      <c r="M2" s="1" t="s">
        <v>441</v>
      </c>
      <c r="N2" s="1" t="s">
        <v>442</v>
      </c>
    </row>
    <row r="3" spans="1:14" ht="15.75" customHeight="1">
      <c r="A3" s="113" t="s">
        <v>391</v>
      </c>
      <c r="B3" s="114">
        <v>0.13509699999999999</v>
      </c>
      <c r="C3" s="114">
        <v>1.4718999999999999E-2</v>
      </c>
      <c r="D3" s="114">
        <v>1.2787E-2</v>
      </c>
      <c r="E3" s="114">
        <v>1.3188999999999999E-2</v>
      </c>
      <c r="F3" s="114">
        <v>1.6929E-2</v>
      </c>
      <c r="G3" s="114">
        <v>1.5192000000000001E-2</v>
      </c>
      <c r="I3" s="1" t="s">
        <v>443</v>
      </c>
      <c r="J3" s="14">
        <v>0.83244625000000005</v>
      </c>
      <c r="K3" s="14">
        <v>0.78256460999999999</v>
      </c>
      <c r="L3" s="14">
        <v>0.77698847999999998</v>
      </c>
      <c r="M3" s="14">
        <v>0.65399837999999999</v>
      </c>
      <c r="N3" s="14">
        <v>0.49181578999999997</v>
      </c>
    </row>
    <row r="4" spans="1:14" ht="15.75" customHeight="1">
      <c r="A4" s="113" t="s">
        <v>393</v>
      </c>
      <c r="B4" s="114">
        <v>0.12052499999999999</v>
      </c>
      <c r="C4" s="114">
        <v>1.3344999999999999E-2</v>
      </c>
      <c r="D4" s="114">
        <v>1.4756999999999999E-2</v>
      </c>
      <c r="E4" s="114">
        <v>1.4444E-2</v>
      </c>
      <c r="F4" s="114">
        <v>3.1606000000000002E-2</v>
      </c>
      <c r="G4" s="114">
        <v>3.8921999999999998E-2</v>
      </c>
      <c r="I4" s="1" t="s">
        <v>444</v>
      </c>
      <c r="J4" s="14">
        <v>1.9013726200000001</v>
      </c>
      <c r="K4" s="14">
        <v>0.66186643999999994</v>
      </c>
      <c r="L4" s="14">
        <v>1.3137364899999999</v>
      </c>
      <c r="M4" s="14">
        <v>0.58625530000000003</v>
      </c>
      <c r="N4" s="14">
        <v>0.47854563999999999</v>
      </c>
    </row>
    <row r="5" spans="1:14" ht="15.75" customHeight="1">
      <c r="A5" s="113" t="s">
        <v>395</v>
      </c>
      <c r="B5" s="114">
        <v>4.3825000000000003E-2</v>
      </c>
      <c r="C5" s="114">
        <v>4.8023000000000003E-2</v>
      </c>
      <c r="D5" s="114">
        <v>4.7870999999999997E-2</v>
      </c>
      <c r="E5" s="114">
        <v>5.4012999999999999E-2</v>
      </c>
      <c r="F5" s="114">
        <v>0.12837499999999999</v>
      </c>
      <c r="G5" s="114">
        <v>1.2633E-2</v>
      </c>
      <c r="I5" s="1" t="s">
        <v>445</v>
      </c>
      <c r="J5" s="14">
        <v>1.35569429</v>
      </c>
      <c r="K5" s="14">
        <v>1.32896572</v>
      </c>
      <c r="L5" s="14">
        <v>1.33125564</v>
      </c>
      <c r="M5" s="14">
        <v>1.2106110800000001</v>
      </c>
      <c r="N5" s="14">
        <v>0.97974053999999999</v>
      </c>
    </row>
    <row r="6" spans="1:14" ht="15.75" customHeight="1">
      <c r="A6" s="113" t="s">
        <v>397</v>
      </c>
      <c r="B6" s="114">
        <v>6.5340999999999996E-2</v>
      </c>
      <c r="C6" s="114">
        <v>2.2620000000000001E-2</v>
      </c>
      <c r="D6" s="114">
        <v>1.8889E-2</v>
      </c>
      <c r="E6" s="114">
        <v>1.9349999999999999E-2</v>
      </c>
      <c r="F6" s="114">
        <v>1.49E-2</v>
      </c>
      <c r="G6" s="114">
        <v>1.5224E-2</v>
      </c>
      <c r="I6" s="1" t="s">
        <v>446</v>
      </c>
      <c r="J6" s="14">
        <v>0.74737648000000001</v>
      </c>
      <c r="K6" s="14">
        <v>0.71419719000000004</v>
      </c>
      <c r="L6" s="14">
        <v>0.71025828999999996</v>
      </c>
      <c r="M6" s="14">
        <v>0.63563709999999995</v>
      </c>
      <c r="N6" s="14">
        <v>0.54670319999999994</v>
      </c>
    </row>
    <row r="7" spans="1:14" ht="15.75" customHeight="1">
      <c r="A7" s="113" t="s">
        <v>399</v>
      </c>
      <c r="B7" s="114">
        <v>8.8442999999999994E-2</v>
      </c>
      <c r="C7" s="114">
        <v>2.6549E-2</v>
      </c>
      <c r="D7" s="114">
        <v>2.6120000000000001E-2</v>
      </c>
      <c r="E7" s="114">
        <v>2.6440999999999999E-2</v>
      </c>
      <c r="F7" s="114">
        <v>1.8773000000000001E-2</v>
      </c>
      <c r="G7" s="114">
        <v>1.2992999999999999E-2</v>
      </c>
      <c r="I7" s="1" t="s">
        <v>447</v>
      </c>
      <c r="J7" s="14">
        <v>1.0108347200000001</v>
      </c>
      <c r="K7" s="14">
        <v>0.99099784000000002</v>
      </c>
      <c r="L7" s="14">
        <v>0.98303479999999999</v>
      </c>
      <c r="M7" s="14">
        <v>0.85501114</v>
      </c>
      <c r="N7" s="14">
        <v>0.62358060000000004</v>
      </c>
    </row>
    <row r="8" spans="1:14" ht="15.75" customHeight="1">
      <c r="A8" s="113" t="s">
        <v>401</v>
      </c>
      <c r="B8" s="114">
        <v>9.4685000000000005E-2</v>
      </c>
      <c r="C8" s="114">
        <v>2.0382999999999998E-2</v>
      </c>
      <c r="D8" s="114">
        <v>2.1038000000000001E-2</v>
      </c>
      <c r="E8" s="114">
        <v>2.2027999999999999E-2</v>
      </c>
      <c r="F8" s="114">
        <v>1.366E-2</v>
      </c>
      <c r="G8" s="114">
        <v>1.1656E-2</v>
      </c>
      <c r="I8" s="1" t="s">
        <v>448</v>
      </c>
      <c r="J8" s="14">
        <v>2.1706151500000002</v>
      </c>
      <c r="K8" s="14">
        <v>2.1626482400000002</v>
      </c>
      <c r="L8" s="14">
        <v>2.1641653600000001</v>
      </c>
      <c r="M8" s="14">
        <v>2.1595299899999998</v>
      </c>
      <c r="N8" s="14">
        <v>1.2212625500000001</v>
      </c>
    </row>
    <row r="9" spans="1:14" ht="15.75" customHeight="1">
      <c r="A9" s="113" t="s">
        <v>403</v>
      </c>
      <c r="B9" s="114">
        <v>9.9465999999999999E-2</v>
      </c>
      <c r="C9" s="114">
        <v>1.5897000000000001E-2</v>
      </c>
      <c r="D9" s="114">
        <v>1.5827000000000001E-2</v>
      </c>
      <c r="E9" s="114">
        <v>1.6211E-2</v>
      </c>
      <c r="F9" s="114">
        <v>1.223E-2</v>
      </c>
      <c r="G9" s="114">
        <v>1.3861999999999999E-2</v>
      </c>
      <c r="I9" s="1" t="s">
        <v>449</v>
      </c>
      <c r="J9" s="14">
        <v>0.8234551</v>
      </c>
      <c r="K9" s="14">
        <v>0.76014981999999998</v>
      </c>
      <c r="L9" s="14">
        <v>0.76773261999999998</v>
      </c>
      <c r="M9" s="14">
        <v>0.61531628000000005</v>
      </c>
      <c r="N9" s="14">
        <v>0.45824733000000001</v>
      </c>
    </row>
    <row r="10" spans="1:14" ht="15.75" customHeight="1">
      <c r="A10" s="113" t="s">
        <v>405</v>
      </c>
      <c r="B10" s="114">
        <v>3.2752999999999997E-2</v>
      </c>
      <c r="C10" s="114">
        <v>3.3008000000000003E-2</v>
      </c>
      <c r="D10" s="114">
        <v>3.1521E-2</v>
      </c>
      <c r="E10" s="114">
        <v>3.1031E-2</v>
      </c>
      <c r="F10" s="114">
        <v>2.2120000000000001E-2</v>
      </c>
      <c r="G10" s="114">
        <v>1.0168999999999999E-2</v>
      </c>
      <c r="I10" s="1" t="s">
        <v>450</v>
      </c>
      <c r="J10" s="14">
        <v>0.85210850999999999</v>
      </c>
      <c r="K10" s="14">
        <v>0.58710552000000005</v>
      </c>
      <c r="L10" s="14">
        <v>0.87872653000000001</v>
      </c>
      <c r="M10" s="14">
        <v>0.54023471999999995</v>
      </c>
      <c r="N10" s="14">
        <v>0.4321468</v>
      </c>
    </row>
    <row r="11" spans="1:14" ht="15.75" customHeight="1">
      <c r="A11" s="113" t="s">
        <v>407</v>
      </c>
      <c r="B11" s="114">
        <v>1.8253999999999999E-2</v>
      </c>
      <c r="C11" s="114">
        <v>5.5835999999999997E-2</v>
      </c>
      <c r="D11" s="114">
        <v>4.8716000000000002E-2</v>
      </c>
      <c r="E11" s="114">
        <v>4.6717000000000002E-2</v>
      </c>
      <c r="F11" s="114">
        <v>4.1512E-2</v>
      </c>
      <c r="G11" s="114">
        <v>2.8240000000000001E-2</v>
      </c>
      <c r="I11" s="1" t="s">
        <v>451</v>
      </c>
      <c r="J11" s="14">
        <v>1.2887588699999999</v>
      </c>
      <c r="K11" s="14">
        <v>1.29107799</v>
      </c>
      <c r="L11" s="14">
        <v>1.2922585099999999</v>
      </c>
      <c r="M11" s="14">
        <v>1.2238013000000001</v>
      </c>
      <c r="N11" s="14">
        <v>0.96940185999999995</v>
      </c>
    </row>
    <row r="12" spans="1:14" ht="15.75" customHeight="1">
      <c r="A12" s="113" t="s">
        <v>409</v>
      </c>
      <c r="B12" s="114">
        <v>1.8672000000000001E-2</v>
      </c>
      <c r="C12" s="114">
        <v>3.6936999999999998E-2</v>
      </c>
      <c r="D12" s="114">
        <v>3.2916000000000001E-2</v>
      </c>
      <c r="E12" s="114">
        <v>3.3434999999999999E-2</v>
      </c>
      <c r="F12" s="114">
        <v>2.341E-2</v>
      </c>
      <c r="G12" s="114">
        <v>1.3547E-2</v>
      </c>
      <c r="I12" s="1" t="s">
        <v>452</v>
      </c>
      <c r="J12" s="14">
        <v>1.5745122600000001</v>
      </c>
      <c r="K12" s="14">
        <v>1.58386559</v>
      </c>
      <c r="L12" s="14">
        <v>2.5102093299999999</v>
      </c>
      <c r="M12" s="14">
        <v>4.2110282000000003</v>
      </c>
      <c r="N12" s="14">
        <v>1.0023261699999999</v>
      </c>
    </row>
    <row r="13" spans="1:14" ht="15.75" customHeight="1">
      <c r="A13" s="113" t="s">
        <v>411</v>
      </c>
      <c r="B13" s="114">
        <v>9.4575999999999993E-2</v>
      </c>
      <c r="C13" s="114">
        <v>3.1657999999999999E-2</v>
      </c>
      <c r="D13" s="114">
        <v>2.5413999999999999E-2</v>
      </c>
      <c r="E13" s="114">
        <v>2.5690000000000001E-2</v>
      </c>
      <c r="F13" s="114">
        <v>2.1061E-2</v>
      </c>
      <c r="G13" s="114">
        <v>1.6077999999999999E-2</v>
      </c>
      <c r="I13" s="1" t="s">
        <v>453</v>
      </c>
      <c r="J13" s="14">
        <v>0.81547069999999999</v>
      </c>
      <c r="K13" s="14">
        <v>0.80210519999999996</v>
      </c>
      <c r="L13" s="14">
        <v>0.79919408000000003</v>
      </c>
      <c r="M13" s="14">
        <v>0.70507461000000005</v>
      </c>
      <c r="N13" s="14">
        <v>0.54236830999999996</v>
      </c>
    </row>
    <row r="14" spans="1:14" ht="15.75" customHeight="1">
      <c r="A14" s="113" t="s">
        <v>413</v>
      </c>
      <c r="B14" s="114">
        <v>2.5745000000000001E-2</v>
      </c>
      <c r="C14" s="114">
        <v>2.3494999999999999E-2</v>
      </c>
      <c r="D14" s="114">
        <v>2.1559999999999999E-2</v>
      </c>
      <c r="E14" s="114">
        <v>2.1756999999999999E-2</v>
      </c>
      <c r="F14" s="114">
        <v>1.7167000000000002E-2</v>
      </c>
      <c r="G14" s="114">
        <v>9.3419999999999996E-3</v>
      </c>
      <c r="I14" s="1" t="s">
        <v>454</v>
      </c>
      <c r="J14" s="14">
        <v>0.87129926999999996</v>
      </c>
      <c r="K14" s="14">
        <v>0.82008457999999995</v>
      </c>
      <c r="L14" s="14">
        <v>0.81906663000000002</v>
      </c>
      <c r="M14" s="14">
        <v>0.67618060000000002</v>
      </c>
      <c r="N14" s="14">
        <v>0.47242898</v>
      </c>
    </row>
    <row r="15" spans="1:14" ht="15.75" customHeight="1">
      <c r="A15" s="113" t="s">
        <v>414</v>
      </c>
      <c r="B15" s="114">
        <v>4.3493999999999998E-2</v>
      </c>
      <c r="C15" s="114">
        <v>4.2167000000000003E-2</v>
      </c>
      <c r="D15" s="114">
        <v>4.2320999999999998E-2</v>
      </c>
      <c r="E15" s="114">
        <v>4.3243999999999998E-2</v>
      </c>
      <c r="F15" s="114">
        <v>3.3237999999999997E-2</v>
      </c>
      <c r="G15" s="114">
        <v>2.9415E-2</v>
      </c>
      <c r="I15" s="1" t="s">
        <v>455</v>
      </c>
      <c r="J15" s="14">
        <v>1.06046902</v>
      </c>
      <c r="K15" s="14">
        <v>0.99079187999999996</v>
      </c>
      <c r="L15" s="14">
        <v>0.99069242999999996</v>
      </c>
      <c r="M15" s="14">
        <v>0.84076499000000005</v>
      </c>
      <c r="N15" s="14">
        <v>0.80332437999999995</v>
      </c>
    </row>
    <row r="16" spans="1:14" ht="15.75" customHeight="1">
      <c r="A16" s="113" t="s">
        <v>415</v>
      </c>
      <c r="B16" s="114">
        <v>7.2454000000000005E-2</v>
      </c>
      <c r="C16" s="114">
        <v>4.6619000000000001E-2</v>
      </c>
      <c r="D16" s="114">
        <v>3.9172999999999999E-2</v>
      </c>
      <c r="E16" s="114">
        <v>3.9562E-2</v>
      </c>
      <c r="F16" s="114">
        <v>2.8045E-2</v>
      </c>
      <c r="G16" s="114">
        <v>2.4056999999999999E-2</v>
      </c>
      <c r="I16" s="1" t="s">
        <v>456</v>
      </c>
      <c r="J16" s="14">
        <v>1.45997504</v>
      </c>
      <c r="K16" s="14">
        <v>1.43373847</v>
      </c>
      <c r="L16" s="14">
        <v>1.43441978</v>
      </c>
      <c r="M16" s="14">
        <v>1.3396338400000001</v>
      </c>
      <c r="N16" s="14">
        <v>1.1926088100000001</v>
      </c>
    </row>
    <row r="17" spans="1:14" ht="15.75" customHeight="1">
      <c r="A17" s="113" t="s">
        <v>417</v>
      </c>
      <c r="B17" s="114">
        <v>7.9458000000000001E-2</v>
      </c>
      <c r="C17" s="114">
        <v>4.4163000000000001E-2</v>
      </c>
      <c r="D17" s="114">
        <v>4.6996000000000003E-2</v>
      </c>
      <c r="E17" s="114">
        <v>4.9133000000000003E-2</v>
      </c>
      <c r="F17" s="114">
        <v>3.0765000000000001E-2</v>
      </c>
      <c r="G17" s="114">
        <v>2.3890999999999999E-2</v>
      </c>
      <c r="I17" s="1" t="s">
        <v>457</v>
      </c>
      <c r="J17" s="14">
        <v>2.0415811700000002</v>
      </c>
      <c r="K17" s="14">
        <v>2.3860255800000001</v>
      </c>
      <c r="L17" s="14">
        <v>2.45458234</v>
      </c>
      <c r="M17" s="14">
        <v>2.4876958899999999</v>
      </c>
      <c r="N17" s="14">
        <v>2.4940048300000002</v>
      </c>
    </row>
    <row r="18" spans="1:14" ht="15.75" customHeight="1">
      <c r="A18" s="113" t="s">
        <v>418</v>
      </c>
      <c r="B18" s="114">
        <v>3.5638000000000003E-2</v>
      </c>
      <c r="C18" s="114">
        <v>4.4568000000000003E-2</v>
      </c>
      <c r="D18" s="114">
        <v>2.3227999999999999E-2</v>
      </c>
      <c r="E18" s="114">
        <v>2.3283000000000002E-2</v>
      </c>
      <c r="F18" s="114">
        <v>1.5374000000000001E-2</v>
      </c>
      <c r="G18" s="114">
        <v>8.7899999999999992E-3</v>
      </c>
      <c r="I18" s="1" t="s">
        <v>458</v>
      </c>
      <c r="J18" s="14">
        <v>1.0815713199999999</v>
      </c>
      <c r="K18" s="14">
        <v>1.0108697</v>
      </c>
      <c r="L18" s="14">
        <v>1.0173856299999999</v>
      </c>
      <c r="M18" s="14">
        <v>0.92435414999999999</v>
      </c>
      <c r="N18" s="14">
        <v>0.77369997000000001</v>
      </c>
    </row>
    <row r="19" spans="1:14" ht="15.75" customHeight="1">
      <c r="A19" s="113" t="s">
        <v>419</v>
      </c>
      <c r="B19" s="114">
        <v>2.6362E-2</v>
      </c>
      <c r="C19" s="114">
        <v>5.2919000000000001E-2</v>
      </c>
      <c r="D19" s="114">
        <v>3.8827E-2</v>
      </c>
      <c r="E19" s="114">
        <v>3.8086000000000002E-2</v>
      </c>
      <c r="F19" s="114">
        <v>2.2572999999999999E-2</v>
      </c>
      <c r="G19" s="114">
        <v>1.6677000000000001E-2</v>
      </c>
      <c r="I19" s="1" t="s">
        <v>459</v>
      </c>
      <c r="J19" s="14">
        <v>1.0477544400000001</v>
      </c>
      <c r="K19" s="14">
        <v>1.00437719</v>
      </c>
      <c r="L19" s="14">
        <v>1.0103134499999999</v>
      </c>
      <c r="M19" s="14">
        <v>0.94334094999999996</v>
      </c>
      <c r="N19" s="14">
        <v>0.81318256</v>
      </c>
    </row>
    <row r="20" spans="1:14" ht="15.75" customHeight="1">
      <c r="A20" s="113" t="s">
        <v>421</v>
      </c>
      <c r="B20" s="114">
        <v>4.3923999999999998E-2</v>
      </c>
      <c r="C20" s="114">
        <v>2.7938000000000001E-2</v>
      </c>
      <c r="D20" s="114">
        <v>2.4135E-2</v>
      </c>
      <c r="E20" s="114">
        <v>2.3762999999999999E-2</v>
      </c>
      <c r="F20" s="114">
        <v>1.8185E-2</v>
      </c>
      <c r="G20" s="114">
        <v>1.2851E-2</v>
      </c>
      <c r="I20" s="1" t="s">
        <v>460</v>
      </c>
      <c r="J20" s="14">
        <v>2.26170749</v>
      </c>
      <c r="K20" s="14">
        <v>2.2507286500000001</v>
      </c>
      <c r="L20" s="14">
        <v>2.25179062</v>
      </c>
      <c r="M20" s="14">
        <v>2.0225023200000001</v>
      </c>
      <c r="N20" s="14">
        <v>1.6498548200000001</v>
      </c>
    </row>
    <row r="21" spans="1:14" ht="15.75" customHeight="1">
      <c r="A21" s="113" t="s">
        <v>423</v>
      </c>
      <c r="B21" s="114">
        <v>2.2495999999999999E-2</v>
      </c>
      <c r="C21" s="114">
        <v>3.2426999999999997E-2</v>
      </c>
      <c r="D21" s="114">
        <v>3.066E-2</v>
      </c>
      <c r="E21" s="114">
        <v>3.0407E-2</v>
      </c>
      <c r="F21" s="114">
        <v>2.4247999999999999E-2</v>
      </c>
      <c r="G21" s="114">
        <v>1.3698E-2</v>
      </c>
      <c r="I21" s="1" t="s">
        <v>461</v>
      </c>
      <c r="J21" s="14">
        <v>1.11768537</v>
      </c>
      <c r="K21" s="14">
        <v>1.03138858</v>
      </c>
      <c r="L21" s="14">
        <v>1.0352888499999999</v>
      </c>
      <c r="M21" s="14">
        <v>0.88996911999999995</v>
      </c>
      <c r="N21" s="14">
        <v>0.89210334000000002</v>
      </c>
    </row>
    <row r="22" spans="1:14" ht="15.75" customHeight="1">
      <c r="A22" s="113" t="s">
        <v>425</v>
      </c>
      <c r="B22" s="114">
        <v>4.3395000000000003E-2</v>
      </c>
      <c r="C22" s="114">
        <v>2.8494999999999999E-2</v>
      </c>
      <c r="D22" s="114">
        <v>2.2290999999999998E-2</v>
      </c>
      <c r="E22" s="114">
        <v>2.24E-2</v>
      </c>
      <c r="F22" s="114">
        <v>9.9970000000000007E-3</v>
      </c>
      <c r="G22" s="114">
        <v>6.6569999999999997E-3</v>
      </c>
      <c r="I22" s="1" t="s">
        <v>462</v>
      </c>
      <c r="J22" s="14">
        <v>0.67681557999999997</v>
      </c>
      <c r="K22" s="14">
        <v>0.63657496999999996</v>
      </c>
      <c r="L22" s="14">
        <v>0.62992106000000003</v>
      </c>
      <c r="M22" s="14">
        <v>0.55411193000000003</v>
      </c>
      <c r="N22" s="14">
        <v>0.47908802</v>
      </c>
    </row>
    <row r="23" spans="1:14" ht="15.75" customHeight="1">
      <c r="B23" s="14"/>
      <c r="C23" s="14"/>
      <c r="D23" s="14"/>
      <c r="E23" s="14"/>
      <c r="F23" s="14"/>
      <c r="G23" s="14"/>
      <c r="J23" s="14"/>
      <c r="K23" s="14"/>
      <c r="L23" s="14"/>
      <c r="M23" s="14"/>
      <c r="N23" s="14"/>
    </row>
    <row r="24" spans="1:14" ht="15.75" customHeight="1">
      <c r="A24" s="1" t="s">
        <v>463</v>
      </c>
      <c r="B24" s="14">
        <f t="shared" ref="B24:G24" si="0">AVERAGE(B3:B22)</f>
        <v>6.0230150000000017E-2</v>
      </c>
      <c r="C24" s="14">
        <f t="shared" si="0"/>
        <v>3.3088300000000008E-2</v>
      </c>
      <c r="D24" s="14">
        <f t="shared" si="0"/>
        <v>2.9252350000000003E-2</v>
      </c>
      <c r="E24" s="14">
        <f t="shared" si="0"/>
        <v>2.9709199999999991E-2</v>
      </c>
      <c r="F24" s="14">
        <f t="shared" si="0"/>
        <v>2.7208400000000001E-2</v>
      </c>
      <c r="G24" s="14">
        <f t="shared" si="0"/>
        <v>1.66947E-2</v>
      </c>
      <c r="I24" s="1" t="s">
        <v>464</v>
      </c>
      <c r="J24" s="14">
        <f t="shared" ref="J24:N24" si="1">AVERAGE(J3:J22)</f>
        <v>1.2495751824999999</v>
      </c>
      <c r="K24" s="14">
        <f t="shared" si="1"/>
        <v>1.1615061880000002</v>
      </c>
      <c r="L24" s="14">
        <f t="shared" si="1"/>
        <v>1.2585510459999998</v>
      </c>
      <c r="M24" s="14">
        <f t="shared" si="1"/>
        <v>1.2037525945000003</v>
      </c>
      <c r="N24" s="14">
        <f t="shared" si="1"/>
        <v>0.86582172499999965</v>
      </c>
    </row>
    <row r="28" spans="1:14" ht="15.75" customHeight="1">
      <c r="C28" s="115" t="s">
        <v>39</v>
      </c>
      <c r="D28" s="5"/>
      <c r="E28" s="115" t="s">
        <v>263</v>
      </c>
      <c r="F28" s="5"/>
      <c r="G28" s="115" t="s">
        <v>380</v>
      </c>
      <c r="H28" s="5"/>
      <c r="I28" s="115" t="s">
        <v>381</v>
      </c>
      <c r="J28" s="5"/>
      <c r="K28" s="115" t="s">
        <v>264</v>
      </c>
      <c r="L28" s="5"/>
    </row>
    <row r="29" spans="1:14" ht="15.75" customHeight="1">
      <c r="A29" s="113" t="s">
        <v>438</v>
      </c>
      <c r="B29" s="1" t="s">
        <v>388</v>
      </c>
      <c r="C29" s="1" t="s">
        <v>295</v>
      </c>
      <c r="D29" s="1" t="s">
        <v>389</v>
      </c>
      <c r="E29" s="1" t="s">
        <v>295</v>
      </c>
      <c r="F29" s="1" t="s">
        <v>389</v>
      </c>
      <c r="G29" s="1" t="s">
        <v>295</v>
      </c>
      <c r="H29" s="1" t="s">
        <v>389</v>
      </c>
      <c r="I29" s="1" t="s">
        <v>295</v>
      </c>
      <c r="J29" s="1" t="s">
        <v>389</v>
      </c>
      <c r="K29" s="1" t="s">
        <v>295</v>
      </c>
      <c r="L29" s="1" t="s">
        <v>389</v>
      </c>
    </row>
    <row r="30" spans="1:14" ht="15.75" customHeight="1">
      <c r="A30" s="1" t="s">
        <v>443</v>
      </c>
      <c r="B30" s="1">
        <v>44</v>
      </c>
      <c r="C30" s="1">
        <v>6.7100000000000007E-2</v>
      </c>
      <c r="D30" s="14">
        <f t="shared" ref="D30:D49" si="2">SQRT(C30)/SQRT(B30)</f>
        <v>3.9051248379533277E-2</v>
      </c>
      <c r="E30" s="1">
        <v>5.3100000000000001E-2</v>
      </c>
      <c r="F30" s="14">
        <f t="shared" ref="F30:F49" si="3">SQRT(E30)/SQRT(B30)</f>
        <v>3.4739288735064537E-2</v>
      </c>
      <c r="G30" s="1">
        <v>5.33E-2</v>
      </c>
      <c r="H30" s="14">
        <f t="shared" ref="H30:H49" si="4">SQRT(G30)/SQRT(B30)</f>
        <v>3.4804649637133776E-2</v>
      </c>
      <c r="I30" s="1">
        <v>3.2500000000000001E-2</v>
      </c>
      <c r="J30" s="14">
        <f t="shared" ref="J30:J49" si="5">SQRT(I30)/SQRT(B30)</f>
        <v>2.7177865325230453E-2</v>
      </c>
      <c r="K30" s="1">
        <v>2.7199999999999998E-2</v>
      </c>
      <c r="L30" s="14">
        <f t="shared" ref="L30:L49" si="6">SQRT(K30)/SQRT($B$30)</f>
        <v>2.4863262420322441E-2</v>
      </c>
    </row>
    <row r="31" spans="1:14" ht="15.75" customHeight="1">
      <c r="A31" s="1" t="s">
        <v>444</v>
      </c>
      <c r="B31" s="1">
        <v>28</v>
      </c>
      <c r="C31" s="1">
        <v>4.4499999999999998E-2</v>
      </c>
      <c r="D31" s="14">
        <f t="shared" si="2"/>
        <v>3.9865846463930925E-2</v>
      </c>
      <c r="E31" s="1">
        <v>3.7699999999999997E-2</v>
      </c>
      <c r="F31" s="14">
        <f t="shared" si="3"/>
        <v>3.6693712968689493E-2</v>
      </c>
      <c r="G31" s="1">
        <v>4.5199999999999997E-2</v>
      </c>
      <c r="H31" s="14">
        <f t="shared" si="4"/>
        <v>4.017817460121495E-2</v>
      </c>
      <c r="I31" s="1">
        <v>3.7600000000000001E-2</v>
      </c>
      <c r="J31" s="14">
        <f t="shared" si="5"/>
        <v>3.6645015252516171E-2</v>
      </c>
      <c r="K31" s="1">
        <v>3.61E-2</v>
      </c>
      <c r="L31" s="14">
        <f t="shared" si="6"/>
        <v>2.8643577734887543E-2</v>
      </c>
    </row>
    <row r="32" spans="1:14" ht="15.75" customHeight="1">
      <c r="A32" s="1" t="s">
        <v>445</v>
      </c>
      <c r="B32" s="1">
        <v>35</v>
      </c>
      <c r="C32" s="1">
        <v>5.0799999999999998E-2</v>
      </c>
      <c r="D32" s="14">
        <f t="shared" si="2"/>
        <v>3.8097618973218936E-2</v>
      </c>
      <c r="E32" s="1">
        <v>2.47E-2</v>
      </c>
      <c r="F32" s="14">
        <f t="shared" si="3"/>
        <v>2.6565283467606473E-2</v>
      </c>
      <c r="G32" s="1">
        <v>2.5000000000000001E-2</v>
      </c>
      <c r="H32" s="14">
        <f t="shared" si="4"/>
        <v>2.6726124191242439E-2</v>
      </c>
      <c r="I32" s="1">
        <v>3.5299999999999998E-2</v>
      </c>
      <c r="J32" s="14">
        <f t="shared" si="5"/>
        <v>3.1758013611865407E-2</v>
      </c>
      <c r="K32" s="1">
        <v>1.3100000000000001E-2</v>
      </c>
      <c r="L32" s="14">
        <f t="shared" si="6"/>
        <v>1.7254775360093007E-2</v>
      </c>
    </row>
    <row r="33" spans="1:12" ht="15.75" customHeight="1">
      <c r="A33" s="1" t="s">
        <v>446</v>
      </c>
      <c r="B33" s="1">
        <v>24</v>
      </c>
      <c r="C33" s="1">
        <v>4.8500000000000001E-2</v>
      </c>
      <c r="D33" s="14">
        <f t="shared" si="2"/>
        <v>4.4953679864203927E-2</v>
      </c>
      <c r="E33" s="1">
        <v>4.41E-2</v>
      </c>
      <c r="F33" s="14">
        <f t="shared" si="3"/>
        <v>4.2866070498705618E-2</v>
      </c>
      <c r="G33" s="1">
        <v>4.3799999999999999E-2</v>
      </c>
      <c r="H33" s="14">
        <f t="shared" si="4"/>
        <v>4.2720018726587664E-2</v>
      </c>
      <c r="I33" s="1">
        <v>3.5799999999999998E-2</v>
      </c>
      <c r="J33" s="14">
        <f t="shared" si="5"/>
        <v>3.8622100754188232E-2</v>
      </c>
      <c r="K33" s="1">
        <v>3.1399999999999997E-2</v>
      </c>
      <c r="L33" s="14">
        <f t="shared" si="6"/>
        <v>2.6713973190754751E-2</v>
      </c>
    </row>
    <row r="34" spans="1:12" ht="15.75" customHeight="1">
      <c r="A34" s="1" t="s">
        <v>447</v>
      </c>
      <c r="B34" s="1">
        <v>37</v>
      </c>
      <c r="C34" s="1">
        <v>7.1199999999999999E-2</v>
      </c>
      <c r="D34" s="14">
        <f t="shared" si="2"/>
        <v>4.3867121222212931E-2</v>
      </c>
      <c r="E34" s="1">
        <v>6.4600000000000005E-2</v>
      </c>
      <c r="F34" s="14">
        <f t="shared" si="3"/>
        <v>4.1784518017394266E-2</v>
      </c>
      <c r="G34" s="1">
        <v>6.2600000000000003E-2</v>
      </c>
      <c r="H34" s="14">
        <f t="shared" si="4"/>
        <v>4.1132613482392444E-2</v>
      </c>
      <c r="I34" s="1">
        <v>3.4500000000000003E-2</v>
      </c>
      <c r="J34" s="14">
        <f t="shared" si="5"/>
        <v>3.0535756621253594E-2</v>
      </c>
      <c r="K34" s="1">
        <v>0.01</v>
      </c>
      <c r="L34" s="14">
        <f t="shared" si="6"/>
        <v>1.5075567228888182E-2</v>
      </c>
    </row>
    <row r="35" spans="1:12" ht="15.75" customHeight="1">
      <c r="A35" s="1" t="s">
        <v>448</v>
      </c>
      <c r="B35" s="1">
        <v>52</v>
      </c>
      <c r="C35" s="1">
        <v>7.8700000000000006E-2</v>
      </c>
      <c r="D35" s="14">
        <f t="shared" si="2"/>
        <v>3.8903233007830322E-2</v>
      </c>
      <c r="E35" s="1">
        <v>7.6600000000000001E-2</v>
      </c>
      <c r="F35" s="14">
        <f t="shared" si="3"/>
        <v>3.8380684244511888E-2</v>
      </c>
      <c r="G35" s="1">
        <v>7.7499999999999999E-2</v>
      </c>
      <c r="H35" s="14">
        <f t="shared" si="4"/>
        <v>3.860549980747064E-2</v>
      </c>
      <c r="I35" s="1">
        <v>7.1800000000000003E-2</v>
      </c>
      <c r="J35" s="14">
        <f t="shared" si="5"/>
        <v>3.7158703297736732E-2</v>
      </c>
      <c r="K35" s="1">
        <v>0.16739999999999999</v>
      </c>
      <c r="L35" s="14">
        <f t="shared" si="6"/>
        <v>6.168099751581077E-2</v>
      </c>
    </row>
    <row r="36" spans="1:12" ht="15.75" customHeight="1">
      <c r="A36" s="1" t="s">
        <v>449</v>
      </c>
      <c r="B36" s="1">
        <v>43</v>
      </c>
      <c r="C36" s="1">
        <v>8.4699999999999998E-2</v>
      </c>
      <c r="D36" s="14">
        <f t="shared" si="2"/>
        <v>4.4382062163226092E-2</v>
      </c>
      <c r="E36" s="1">
        <v>6.6699999999999995E-2</v>
      </c>
      <c r="F36" s="14">
        <f t="shared" si="3"/>
        <v>3.938480405813484E-2</v>
      </c>
      <c r="G36" s="1">
        <v>6.8500000000000005E-2</v>
      </c>
      <c r="H36" s="14">
        <f t="shared" si="4"/>
        <v>3.9912695421556704E-2</v>
      </c>
      <c r="I36" s="1">
        <v>3.3500000000000002E-2</v>
      </c>
      <c r="J36" s="14">
        <f t="shared" si="5"/>
        <v>2.7911821284929809E-2</v>
      </c>
      <c r="K36" s="1">
        <v>1.15E-2</v>
      </c>
      <c r="L36" s="14">
        <f t="shared" si="6"/>
        <v>1.616674476707158E-2</v>
      </c>
    </row>
    <row r="37" spans="1:12" ht="15.75" customHeight="1">
      <c r="A37" s="1" t="s">
        <v>450</v>
      </c>
      <c r="B37" s="1">
        <v>27</v>
      </c>
      <c r="C37" s="1">
        <v>0.10829999999999999</v>
      </c>
      <c r="D37" s="14">
        <f t="shared" si="2"/>
        <v>6.3333333333333325E-2</v>
      </c>
      <c r="E37" s="1">
        <v>0.1196</v>
      </c>
      <c r="F37" s="14">
        <f t="shared" si="3"/>
        <v>6.6555462808319713E-2</v>
      </c>
      <c r="G37" s="1">
        <v>0.26229999999999998</v>
      </c>
      <c r="H37" s="14">
        <f t="shared" si="4"/>
        <v>9.8563760149533733E-2</v>
      </c>
      <c r="I37" s="1">
        <v>0.1197</v>
      </c>
      <c r="J37" s="14">
        <f t="shared" si="5"/>
        <v>6.6583281184793924E-2</v>
      </c>
      <c r="K37" s="1">
        <v>0.13350000000000001</v>
      </c>
      <c r="L37" s="14">
        <f t="shared" si="6"/>
        <v>5.5082582629093463E-2</v>
      </c>
    </row>
    <row r="38" spans="1:12" ht="15.75" customHeight="1">
      <c r="A38" s="1" t="s">
        <v>451</v>
      </c>
      <c r="B38" s="1">
        <v>34</v>
      </c>
      <c r="C38" s="1">
        <v>4.9200000000000001E-2</v>
      </c>
      <c r="D38" s="14">
        <f t="shared" si="2"/>
        <v>3.8040226386411156E-2</v>
      </c>
      <c r="E38" s="1">
        <v>4.4900000000000002E-2</v>
      </c>
      <c r="F38" s="14">
        <f t="shared" si="3"/>
        <v>3.6339898669287975E-2</v>
      </c>
      <c r="G38" s="1">
        <v>4.53E-2</v>
      </c>
      <c r="H38" s="14">
        <f t="shared" si="4"/>
        <v>3.6501410125863228E-2</v>
      </c>
      <c r="I38" s="1">
        <v>3.39E-2</v>
      </c>
      <c r="J38" s="14">
        <f t="shared" si="5"/>
        <v>3.1576238273888987E-2</v>
      </c>
      <c r="K38" s="1">
        <v>3.0599999999999999E-2</v>
      </c>
      <c r="L38" s="14">
        <f t="shared" si="6"/>
        <v>2.6371472189745976E-2</v>
      </c>
    </row>
    <row r="39" spans="1:12" ht="15.75" customHeight="1">
      <c r="A39" s="1" t="s">
        <v>452</v>
      </c>
      <c r="B39" s="1">
        <v>50</v>
      </c>
      <c r="C39" s="1">
        <v>0.3135</v>
      </c>
      <c r="D39" s="14">
        <f t="shared" si="2"/>
        <v>7.9183331579316604E-2</v>
      </c>
      <c r="E39" s="1">
        <v>0.34089999999999998</v>
      </c>
      <c r="F39" s="14">
        <f t="shared" si="3"/>
        <v>8.2571181413372052E-2</v>
      </c>
      <c r="G39" s="1">
        <v>0.08</v>
      </c>
      <c r="H39" s="14">
        <f t="shared" si="4"/>
        <v>0.04</v>
      </c>
      <c r="I39" s="1">
        <v>3.9399999999999998E-2</v>
      </c>
      <c r="J39" s="14">
        <f t="shared" si="5"/>
        <v>2.8071337695236398E-2</v>
      </c>
      <c r="K39" s="1">
        <v>8.9999999999999993E-3</v>
      </c>
      <c r="L39" s="14">
        <f t="shared" si="6"/>
        <v>1.4301938838683885E-2</v>
      </c>
    </row>
    <row r="40" spans="1:12" ht="15.75" customHeight="1">
      <c r="A40" s="1" t="s">
        <v>453</v>
      </c>
      <c r="B40" s="1">
        <v>25</v>
      </c>
      <c r="C40" s="1">
        <v>5.79E-2</v>
      </c>
      <c r="D40" s="14">
        <f t="shared" si="2"/>
        <v>4.8124837662063859E-2</v>
      </c>
      <c r="E40" s="1">
        <v>5.5399999999999998E-2</v>
      </c>
      <c r="F40" s="14">
        <f t="shared" si="3"/>
        <v>4.7074409183759283E-2</v>
      </c>
      <c r="G40" s="1">
        <v>5.4800000000000001E-2</v>
      </c>
      <c r="H40" s="14">
        <f t="shared" si="4"/>
        <v>4.6818799642878502E-2</v>
      </c>
      <c r="I40" s="1">
        <v>4.1300000000000003E-2</v>
      </c>
      <c r="J40" s="14">
        <f t="shared" si="5"/>
        <v>4.0644802865803152E-2</v>
      </c>
      <c r="K40" s="1">
        <v>2.2499999999999999E-2</v>
      </c>
      <c r="L40" s="14">
        <f t="shared" si="6"/>
        <v>2.2613350843332269E-2</v>
      </c>
    </row>
    <row r="41" spans="1:12" ht="15.75" customHeight="1">
      <c r="A41" s="1" t="s">
        <v>454</v>
      </c>
      <c r="B41" s="1">
        <v>45</v>
      </c>
      <c r="C41" s="1">
        <v>8.14E-2</v>
      </c>
      <c r="D41" s="14">
        <f t="shared" si="2"/>
        <v>4.253103442063088E-2</v>
      </c>
      <c r="E41" s="1">
        <v>6.08E-2</v>
      </c>
      <c r="F41" s="14">
        <f t="shared" si="3"/>
        <v>3.6757463338907254E-2</v>
      </c>
      <c r="G41" s="1">
        <v>6.08E-2</v>
      </c>
      <c r="H41" s="14">
        <f t="shared" si="4"/>
        <v>3.6757463338907254E-2</v>
      </c>
      <c r="I41" s="1">
        <v>2.7799999999999998E-2</v>
      </c>
      <c r="J41" s="14">
        <f t="shared" si="5"/>
        <v>2.4855135843076331E-2</v>
      </c>
      <c r="K41" s="1">
        <v>1.01E-2</v>
      </c>
      <c r="L41" s="14">
        <f t="shared" si="6"/>
        <v>1.5150757556817235E-2</v>
      </c>
    </row>
    <row r="42" spans="1:12" ht="15.75" customHeight="1">
      <c r="A42" s="1" t="s">
        <v>455</v>
      </c>
      <c r="B42" s="1">
        <v>28</v>
      </c>
      <c r="C42" s="1">
        <v>3.2599999999999997E-2</v>
      </c>
      <c r="D42" s="14">
        <f t="shared" si="2"/>
        <v>3.4121631178560534E-2</v>
      </c>
      <c r="E42" s="1">
        <v>1.9599999999999999E-2</v>
      </c>
      <c r="F42" s="14">
        <f t="shared" si="3"/>
        <v>2.6457513110645901E-2</v>
      </c>
      <c r="G42" s="1">
        <v>1.9800000000000002E-2</v>
      </c>
      <c r="H42" s="14">
        <f t="shared" si="4"/>
        <v>2.6592157812837549E-2</v>
      </c>
      <c r="I42" s="1">
        <v>5.4999999999999997E-3</v>
      </c>
      <c r="J42" s="14">
        <f t="shared" si="5"/>
        <v>1.4015297764534701E-2</v>
      </c>
      <c r="K42" s="1">
        <v>4.8999999999999998E-3</v>
      </c>
      <c r="L42" s="14">
        <f t="shared" si="6"/>
        <v>1.0552897060221725E-2</v>
      </c>
    </row>
    <row r="43" spans="1:12" ht="15.75" customHeight="1">
      <c r="A43" s="1" t="s">
        <v>456</v>
      </c>
      <c r="B43" s="1">
        <v>36</v>
      </c>
      <c r="C43" s="1">
        <v>2.6200000000000001E-2</v>
      </c>
      <c r="D43" s="14">
        <f t="shared" si="2"/>
        <v>2.6977356760397742E-2</v>
      </c>
      <c r="E43" s="1">
        <v>2.4E-2</v>
      </c>
      <c r="F43" s="14">
        <f t="shared" si="3"/>
        <v>2.5819888974716113E-2</v>
      </c>
      <c r="G43" s="1">
        <v>2.3800000000000002E-2</v>
      </c>
      <c r="H43" s="14">
        <f t="shared" si="4"/>
        <v>2.5712081034235858E-2</v>
      </c>
      <c r="I43" s="1">
        <v>1.67E-2</v>
      </c>
      <c r="J43" s="14">
        <f t="shared" si="5"/>
        <v>2.1538079972200141E-2</v>
      </c>
      <c r="K43" s="1">
        <v>2.1299999999999999E-2</v>
      </c>
      <c r="L43" s="14">
        <f t="shared" si="6"/>
        <v>2.2002066018692631E-2</v>
      </c>
    </row>
    <row r="44" spans="1:12" ht="15.75" customHeight="1">
      <c r="A44" s="1" t="s">
        <v>457</v>
      </c>
      <c r="B44" s="1">
        <v>44</v>
      </c>
      <c r="C44" s="1">
        <v>1.38E-2</v>
      </c>
      <c r="D44" s="14">
        <f t="shared" si="2"/>
        <v>1.7709781580707414E-2</v>
      </c>
      <c r="E44" s="1">
        <v>9.7999999999999997E-3</v>
      </c>
      <c r="F44" s="14">
        <f t="shared" si="3"/>
        <v>1.4924050144892729E-2</v>
      </c>
      <c r="G44" s="1">
        <v>1.03E-2</v>
      </c>
      <c r="H44" s="14">
        <f t="shared" si="4"/>
        <v>1.5300029708824395E-2</v>
      </c>
      <c r="I44" s="1">
        <v>1.4800000000000001E-2</v>
      </c>
      <c r="J44" s="14">
        <f t="shared" si="5"/>
        <v>1.834021909257456E-2</v>
      </c>
      <c r="K44" s="1">
        <v>1.29E-2</v>
      </c>
      <c r="L44" s="14">
        <f t="shared" si="6"/>
        <v>1.712255291076124E-2</v>
      </c>
    </row>
    <row r="45" spans="1:12" ht="15.75" customHeight="1">
      <c r="A45" s="1" t="s">
        <v>458</v>
      </c>
      <c r="B45" s="1">
        <v>39</v>
      </c>
      <c r="C45" s="1">
        <v>0.13239999999999999</v>
      </c>
      <c r="D45" s="14">
        <f t="shared" si="2"/>
        <v>5.8265528358299422E-2</v>
      </c>
      <c r="E45" s="1">
        <v>0.1008</v>
      </c>
      <c r="F45" s="14">
        <f t="shared" si="3"/>
        <v>5.0839112744179404E-2</v>
      </c>
      <c r="G45" s="1">
        <v>0.1033</v>
      </c>
      <c r="H45" s="14">
        <f t="shared" si="4"/>
        <v>5.146569681562612E-2</v>
      </c>
      <c r="I45" s="1">
        <v>7.5399999999999995E-2</v>
      </c>
      <c r="J45" s="14">
        <f t="shared" si="5"/>
        <v>4.3969686527576393E-2</v>
      </c>
      <c r="K45" s="1">
        <v>3.6700000000000003E-2</v>
      </c>
      <c r="L45" s="14">
        <f t="shared" si="6"/>
        <v>2.8880632075681954E-2</v>
      </c>
    </row>
    <row r="46" spans="1:12" ht="15.75" customHeight="1">
      <c r="A46" s="1" t="s">
        <v>459</v>
      </c>
      <c r="B46" s="1">
        <v>23</v>
      </c>
      <c r="C46" s="1">
        <v>8.8499999999999995E-2</v>
      </c>
      <c r="D46" s="14">
        <f t="shared" si="2"/>
        <v>6.2030847865852369E-2</v>
      </c>
      <c r="E46" s="1">
        <v>7.7700000000000005E-2</v>
      </c>
      <c r="F46" s="14">
        <f t="shared" si="3"/>
        <v>5.8122808514086952E-2</v>
      </c>
      <c r="G46" s="1">
        <v>7.9699999999999993E-2</v>
      </c>
      <c r="H46" s="14">
        <f t="shared" si="4"/>
        <v>5.8866097129879003E-2</v>
      </c>
      <c r="I46" s="1">
        <v>6.4299999999999996E-2</v>
      </c>
      <c r="J46" s="14">
        <f t="shared" si="5"/>
        <v>5.2873927165598772E-2</v>
      </c>
      <c r="K46" s="1">
        <v>3.2099999999999997E-2</v>
      </c>
      <c r="L46" s="14">
        <f t="shared" si="6"/>
        <v>2.7010099121355602E-2</v>
      </c>
    </row>
    <row r="47" spans="1:12" ht="15.75" customHeight="1">
      <c r="A47" s="1" t="s">
        <v>460</v>
      </c>
      <c r="B47" s="1">
        <v>46</v>
      </c>
      <c r="C47" s="1">
        <v>1.2500000000000001E-2</v>
      </c>
      <c r="D47" s="14">
        <f t="shared" si="2"/>
        <v>1.6484511834894675E-2</v>
      </c>
      <c r="E47" s="1">
        <v>1.46E-2</v>
      </c>
      <c r="F47" s="14">
        <f t="shared" si="3"/>
        <v>1.7815479346563374E-2</v>
      </c>
      <c r="G47" s="1">
        <v>1.41E-2</v>
      </c>
      <c r="H47" s="14">
        <f t="shared" si="4"/>
        <v>1.7507762253652942E-2</v>
      </c>
      <c r="I47" s="1">
        <v>3.5000000000000003E-2</v>
      </c>
      <c r="J47" s="14">
        <f t="shared" si="5"/>
        <v>2.7583864218368524E-2</v>
      </c>
      <c r="K47" s="1">
        <v>0.12720000000000001</v>
      </c>
      <c r="L47" s="14">
        <f t="shared" si="6"/>
        <v>5.3767174845895445E-2</v>
      </c>
    </row>
    <row r="48" spans="1:12" ht="15.75" customHeight="1">
      <c r="A48" s="1" t="s">
        <v>461</v>
      </c>
      <c r="B48" s="1">
        <v>24</v>
      </c>
      <c r="C48" s="1">
        <v>5.62E-2</v>
      </c>
      <c r="D48" s="14">
        <f t="shared" si="2"/>
        <v>4.8390770469859921E-2</v>
      </c>
      <c r="E48" s="1">
        <v>3.7900000000000003E-2</v>
      </c>
      <c r="F48" s="14">
        <f t="shared" si="3"/>
        <v>3.973873005855455E-2</v>
      </c>
      <c r="G48" s="1">
        <v>3.85E-2</v>
      </c>
      <c r="H48" s="14">
        <f t="shared" si="4"/>
        <v>4.0052049468993059E-2</v>
      </c>
      <c r="I48" s="1">
        <v>0.02</v>
      </c>
      <c r="J48" s="14">
        <f t="shared" si="5"/>
        <v>2.8867513459481291E-2</v>
      </c>
      <c r="K48" s="1">
        <v>1.5900000000000001E-2</v>
      </c>
      <c r="L48" s="14">
        <f t="shared" si="6"/>
        <v>1.9009566969387715E-2</v>
      </c>
    </row>
    <row r="49" spans="1:12" ht="15.75" customHeight="1">
      <c r="A49" s="1" t="s">
        <v>462</v>
      </c>
      <c r="B49" s="1">
        <v>23</v>
      </c>
      <c r="C49" s="1">
        <v>3.4599999999999999E-2</v>
      </c>
      <c r="D49" s="14">
        <f t="shared" si="2"/>
        <v>3.8785923040285594E-2</v>
      </c>
      <c r="E49" s="1">
        <v>2.8400000000000002E-2</v>
      </c>
      <c r="F49" s="14">
        <f t="shared" si="3"/>
        <v>3.5139473654220439E-2</v>
      </c>
      <c r="G49" s="1">
        <v>2.76E-2</v>
      </c>
      <c r="H49" s="14">
        <f t="shared" si="4"/>
        <v>3.4641016151377546E-2</v>
      </c>
      <c r="I49" s="1">
        <v>1.8599999999999998E-2</v>
      </c>
      <c r="J49" s="14">
        <f t="shared" si="5"/>
        <v>2.8437574653509271E-2</v>
      </c>
      <c r="K49" s="1">
        <v>1.14E-2</v>
      </c>
      <c r="L49" s="14">
        <f t="shared" si="6"/>
        <v>1.6096301099659795E-2</v>
      </c>
    </row>
    <row r="51" spans="1:12" ht="15.75" customHeight="1">
      <c r="B51" s="14"/>
      <c r="C51" s="1" t="s">
        <v>463</v>
      </c>
      <c r="D51" s="14">
        <f>AVERAGE(D30:D49)</f>
        <v>4.3154996227238493E-2</v>
      </c>
      <c r="F51" s="14">
        <f>AVERAGE(F30:F49)</f>
        <v>3.9928491697580636E-2</v>
      </c>
      <c r="H51" s="14">
        <f>AVERAGE(H30:H49)</f>
        <v>3.9642904975010385E-2</v>
      </c>
      <c r="J51" s="14">
        <f>AVERAGE(J30:J49)</f>
        <v>3.2858311743218141E-2</v>
      </c>
      <c r="L51" s="14">
        <f>AVERAGE(L30:L49)</f>
        <v>2.5918014518857856E-2</v>
      </c>
    </row>
  </sheetData>
  <mergeCells count="5">
    <mergeCell ref="C28:D28"/>
    <mergeCell ref="E28:F28"/>
    <mergeCell ref="G28:H28"/>
    <mergeCell ref="I28:J28"/>
    <mergeCell ref="K28:L2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302A-9D6F-40E6-9883-F77F17CD9C9C}">
  <sheetPr>
    <outlinePr summaryBelow="0" summaryRight="0"/>
  </sheetPr>
  <dimension ref="A2:P32"/>
  <sheetViews>
    <sheetView workbookViewId="0"/>
  </sheetViews>
  <sheetFormatPr defaultColWidth="12.6640625" defaultRowHeight="15.75" customHeight="1"/>
  <cols>
    <col min="1" max="16384" width="12.6640625" style="2"/>
  </cols>
  <sheetData>
    <row r="2" spans="1:16" ht="15.75" customHeight="1">
      <c r="A2" s="14"/>
      <c r="B2" s="14" t="s">
        <v>388</v>
      </c>
      <c r="C2" s="14" t="s">
        <v>36</v>
      </c>
      <c r="D2" s="1" t="s">
        <v>36</v>
      </c>
      <c r="E2" s="1" t="s">
        <v>39</v>
      </c>
      <c r="F2" s="1" t="s">
        <v>380</v>
      </c>
      <c r="G2" s="1" t="s">
        <v>381</v>
      </c>
      <c r="H2" s="1" t="s">
        <v>263</v>
      </c>
      <c r="I2" s="1" t="s">
        <v>264</v>
      </c>
      <c r="K2" s="1" t="s">
        <v>465</v>
      </c>
    </row>
    <row r="3" spans="1:16" ht="15.75" customHeight="1">
      <c r="A3" s="14"/>
      <c r="B3" s="14"/>
      <c r="C3" s="14" t="s">
        <v>295</v>
      </c>
      <c r="D3" s="14" t="s">
        <v>389</v>
      </c>
      <c r="E3" s="14" t="s">
        <v>390</v>
      </c>
      <c r="F3" s="14" t="s">
        <v>390</v>
      </c>
      <c r="G3" s="14" t="s">
        <v>390</v>
      </c>
      <c r="H3" s="14" t="s">
        <v>390</v>
      </c>
      <c r="I3" s="14" t="s">
        <v>390</v>
      </c>
    </row>
    <row r="4" spans="1:16" ht="15.75" customHeight="1">
      <c r="A4" s="14" t="s">
        <v>466</v>
      </c>
      <c r="B4" s="14">
        <v>50</v>
      </c>
      <c r="C4" s="14">
        <v>6.9500000000000006E-2</v>
      </c>
      <c r="D4" s="14">
        <f t="shared" ref="D4:D7" si="0">SQRT(C4)/SQRT(B4)</f>
        <v>3.7282703764614497E-2</v>
      </c>
      <c r="E4" s="14">
        <v>4.139089E-2</v>
      </c>
      <c r="F4" s="14">
        <v>8.5971569999999997E-2</v>
      </c>
      <c r="G4" s="14">
        <v>0.12107532999999999</v>
      </c>
      <c r="H4" s="14">
        <v>4.0563719999999998E-2</v>
      </c>
      <c r="I4" s="14">
        <v>2.6270180000000001E-2</v>
      </c>
      <c r="K4" s="1" t="s">
        <v>467</v>
      </c>
    </row>
    <row r="5" spans="1:16" ht="15.75" customHeight="1">
      <c r="A5" s="14" t="s">
        <v>468</v>
      </c>
      <c r="B5" s="14">
        <v>36</v>
      </c>
      <c r="C5" s="14">
        <v>0.50339999999999996</v>
      </c>
      <c r="D5" s="14">
        <f t="shared" si="0"/>
        <v>0.11825114516711173</v>
      </c>
      <c r="E5" s="14">
        <v>6.4177910000000005E-2</v>
      </c>
      <c r="F5" s="14">
        <v>6.2826709999999994E-2</v>
      </c>
      <c r="G5" s="14">
        <v>5.7953459999999998E-2</v>
      </c>
      <c r="H5" s="14">
        <v>6.2763029999999997E-2</v>
      </c>
      <c r="I5" s="14">
        <v>5.1070499999999998E-2</v>
      </c>
      <c r="K5" s="1" t="s">
        <v>469</v>
      </c>
    </row>
    <row r="6" spans="1:16" ht="15.75" customHeight="1">
      <c r="A6" s="14" t="s">
        <v>470</v>
      </c>
      <c r="B6" s="14">
        <v>44</v>
      </c>
      <c r="C6" s="14">
        <v>0.1158</v>
      </c>
      <c r="D6" s="14">
        <f t="shared" si="0"/>
        <v>5.1301249320247377E-2</v>
      </c>
      <c r="E6" s="14">
        <v>3.1991430000000001E-2</v>
      </c>
      <c r="F6" s="14">
        <v>2.9386740000000001E-2</v>
      </c>
      <c r="G6" s="14">
        <v>2.3666300000000001E-2</v>
      </c>
      <c r="H6" s="14">
        <v>2.9478750000000001E-2</v>
      </c>
      <c r="I6" s="14">
        <v>1.9039739999999999E-2</v>
      </c>
      <c r="K6" s="1" t="s">
        <v>469</v>
      </c>
    </row>
    <row r="7" spans="1:16" ht="15.75" customHeight="1">
      <c r="A7" s="14" t="s">
        <v>471</v>
      </c>
      <c r="B7" s="14">
        <v>24</v>
      </c>
      <c r="C7" s="1">
        <v>0.20050000000000001</v>
      </c>
      <c r="D7" s="14">
        <f t="shared" si="0"/>
        <v>9.140113055464176E-2</v>
      </c>
      <c r="E7" s="14">
        <v>5.501963E-2</v>
      </c>
      <c r="F7" s="14">
        <v>5.0442319999999999E-2</v>
      </c>
      <c r="G7" s="14">
        <v>4.3032500000000001E-2</v>
      </c>
      <c r="H7" s="14">
        <v>5.0371489999999998E-2</v>
      </c>
      <c r="I7" s="14">
        <v>4.148992E-2</v>
      </c>
      <c r="K7" s="1" t="s">
        <v>469</v>
      </c>
    </row>
    <row r="9" spans="1:16" ht="15.75" customHeight="1">
      <c r="D9" s="75" t="s">
        <v>433</v>
      </c>
      <c r="E9" s="5"/>
      <c r="F9" s="5"/>
      <c r="G9" s="5"/>
      <c r="H9" s="5"/>
      <c r="I9" s="5"/>
      <c r="K9" s="32" t="s">
        <v>309</v>
      </c>
      <c r="L9" s="32" t="s">
        <v>315</v>
      </c>
      <c r="M9" s="32" t="s">
        <v>310</v>
      </c>
      <c r="N9" s="116">
        <v>0.02</v>
      </c>
      <c r="O9" s="32" t="s">
        <v>311</v>
      </c>
      <c r="P9" s="32"/>
    </row>
    <row r="10" spans="1:16" ht="15.75" customHeight="1">
      <c r="D10" s="1" t="s">
        <v>36</v>
      </c>
      <c r="E10" s="1" t="s">
        <v>39</v>
      </c>
      <c r="F10" s="1" t="s">
        <v>380</v>
      </c>
      <c r="G10" s="1" t="s">
        <v>381</v>
      </c>
      <c r="H10" s="1" t="s">
        <v>263</v>
      </c>
      <c r="I10" s="1" t="s">
        <v>264</v>
      </c>
      <c r="K10" s="32" t="s">
        <v>309</v>
      </c>
      <c r="L10" s="32" t="s">
        <v>317</v>
      </c>
      <c r="M10" s="32" t="s">
        <v>310</v>
      </c>
      <c r="N10" s="58">
        <v>2.0208333333333335E-2</v>
      </c>
      <c r="O10" s="32" t="s">
        <v>311</v>
      </c>
      <c r="P10" s="32"/>
    </row>
    <row r="11" spans="1:16" ht="15.75" customHeight="1">
      <c r="D11" s="1" t="s">
        <v>389</v>
      </c>
      <c r="E11" s="1" t="s">
        <v>390</v>
      </c>
      <c r="F11" s="1" t="s">
        <v>390</v>
      </c>
      <c r="G11" s="1" t="s">
        <v>390</v>
      </c>
      <c r="H11" s="1" t="s">
        <v>390</v>
      </c>
      <c r="I11" s="1" t="s">
        <v>390</v>
      </c>
      <c r="K11" s="32" t="s">
        <v>309</v>
      </c>
      <c r="L11" s="32" t="s">
        <v>318</v>
      </c>
      <c r="M11" s="32" t="s">
        <v>310</v>
      </c>
      <c r="N11" s="58">
        <v>2.6380000000000001E-2</v>
      </c>
      <c r="O11" s="32" t="s">
        <v>311</v>
      </c>
      <c r="P11" s="32"/>
    </row>
    <row r="12" spans="1:16" ht="15.75" customHeight="1">
      <c r="C12" s="1" t="s">
        <v>466</v>
      </c>
      <c r="D12" s="77" t="b">
        <f t="shared" ref="D12:E15" si="1">D4&gt;0.02</f>
        <v>1</v>
      </c>
      <c r="E12" s="77" t="b">
        <f t="shared" si="1"/>
        <v>1</v>
      </c>
      <c r="F12" s="77" t="b">
        <f t="shared" ref="F12:F15" si="2">F4&gt;0.022</f>
        <v>1</v>
      </c>
      <c r="G12" s="77" t="b">
        <f t="shared" ref="G12:G15" si="3">G4&gt;0.03</f>
        <v>1</v>
      </c>
      <c r="H12" s="77" t="b">
        <f t="shared" ref="H12:H15" si="4">H4&gt;0.022</f>
        <v>1</v>
      </c>
      <c r="I12" s="101" t="b">
        <f t="shared" ref="I12:I15" si="5">I4&gt;0.027</f>
        <v>0</v>
      </c>
      <c r="K12" s="32" t="s">
        <v>309</v>
      </c>
      <c r="L12" s="32" t="s">
        <v>319</v>
      </c>
      <c r="M12" s="32" t="s">
        <v>310</v>
      </c>
      <c r="N12" s="58">
        <v>2.1730158730158732E-2</v>
      </c>
      <c r="O12" s="32" t="s">
        <v>311</v>
      </c>
      <c r="P12" s="32"/>
    </row>
    <row r="13" spans="1:16" ht="15.75" customHeight="1">
      <c r="C13" s="1" t="s">
        <v>468</v>
      </c>
      <c r="D13" s="77" t="b">
        <f t="shared" si="1"/>
        <v>1</v>
      </c>
      <c r="E13" s="77" t="b">
        <f t="shared" si="1"/>
        <v>1</v>
      </c>
      <c r="F13" s="77" t="b">
        <f t="shared" si="2"/>
        <v>1</v>
      </c>
      <c r="G13" s="77" t="b">
        <f t="shared" si="3"/>
        <v>1</v>
      </c>
      <c r="H13" s="77" t="b">
        <f t="shared" si="4"/>
        <v>1</v>
      </c>
      <c r="I13" s="77" t="b">
        <f t="shared" si="5"/>
        <v>1</v>
      </c>
      <c r="K13" s="32" t="s">
        <v>309</v>
      </c>
      <c r="L13" s="32" t="s">
        <v>320</v>
      </c>
      <c r="M13" s="32" t="s">
        <v>310</v>
      </c>
      <c r="N13" s="58">
        <v>3.0292929292929295E-2</v>
      </c>
      <c r="O13" s="32" t="s">
        <v>311</v>
      </c>
      <c r="P13" s="32"/>
    </row>
    <row r="14" spans="1:16" ht="15.75" customHeight="1">
      <c r="C14" s="1" t="s">
        <v>470</v>
      </c>
      <c r="D14" s="77" t="b">
        <f t="shared" si="1"/>
        <v>1</v>
      </c>
      <c r="E14" s="77" t="b">
        <f t="shared" si="1"/>
        <v>1</v>
      </c>
      <c r="F14" s="77" t="b">
        <f t="shared" si="2"/>
        <v>1</v>
      </c>
      <c r="G14" s="101" t="b">
        <f t="shared" si="3"/>
        <v>0</v>
      </c>
      <c r="H14" s="77" t="b">
        <f t="shared" si="4"/>
        <v>1</v>
      </c>
      <c r="I14" s="101" t="b">
        <f t="shared" si="5"/>
        <v>0</v>
      </c>
      <c r="K14" s="32" t="s">
        <v>309</v>
      </c>
      <c r="L14" s="32" t="s">
        <v>321</v>
      </c>
      <c r="M14" s="32" t="s">
        <v>310</v>
      </c>
      <c r="N14" s="58">
        <v>2.1950764006791173E-2</v>
      </c>
      <c r="O14" s="32" t="s">
        <v>311</v>
      </c>
      <c r="P14" s="32"/>
    </row>
    <row r="15" spans="1:16" ht="15.75" customHeight="1">
      <c r="C15" s="1" t="s">
        <v>471</v>
      </c>
      <c r="D15" s="77" t="b">
        <f t="shared" si="1"/>
        <v>1</v>
      </c>
      <c r="E15" s="77" t="b">
        <f t="shared" si="1"/>
        <v>1</v>
      </c>
      <c r="F15" s="77" t="b">
        <f t="shared" si="2"/>
        <v>1</v>
      </c>
      <c r="G15" s="77" t="b">
        <f t="shared" si="3"/>
        <v>1</v>
      </c>
      <c r="H15" s="77" t="b">
        <f t="shared" si="4"/>
        <v>1</v>
      </c>
      <c r="I15" s="77" t="b">
        <f t="shared" si="5"/>
        <v>1</v>
      </c>
      <c r="K15" s="32" t="s">
        <v>309</v>
      </c>
      <c r="L15" s="32" t="s">
        <v>322</v>
      </c>
      <c r="M15" s="32" t="s">
        <v>310</v>
      </c>
      <c r="N15" s="58">
        <v>2.7497607655502396E-2</v>
      </c>
      <c r="O15" s="32" t="s">
        <v>311</v>
      </c>
      <c r="P15" s="32"/>
    </row>
    <row r="17" spans="3:16" ht="15.75" customHeight="1">
      <c r="D17" s="75" t="s">
        <v>434</v>
      </c>
      <c r="E17" s="5"/>
      <c r="F17" s="5"/>
      <c r="G17" s="5"/>
      <c r="H17" s="5"/>
      <c r="I17" s="5"/>
      <c r="K17" s="32" t="s">
        <v>309</v>
      </c>
      <c r="L17" s="32" t="s">
        <v>39</v>
      </c>
      <c r="M17" s="32" t="s">
        <v>310</v>
      </c>
      <c r="N17" s="58">
        <v>5.0520833333333334E-2</v>
      </c>
      <c r="O17" s="32" t="s">
        <v>312</v>
      </c>
      <c r="P17" s="32"/>
    </row>
    <row r="18" spans="3:16" ht="15.75" customHeight="1">
      <c r="D18" s="1" t="s">
        <v>36</v>
      </c>
      <c r="E18" s="1" t="s">
        <v>39</v>
      </c>
      <c r="F18" s="1" t="s">
        <v>380</v>
      </c>
      <c r="G18" s="1" t="s">
        <v>381</v>
      </c>
      <c r="H18" s="1" t="s">
        <v>263</v>
      </c>
      <c r="I18" s="1" t="s">
        <v>264</v>
      </c>
      <c r="K18" s="32" t="s">
        <v>309</v>
      </c>
      <c r="L18" s="32" t="s">
        <v>38</v>
      </c>
      <c r="M18" s="32" t="s">
        <v>310</v>
      </c>
      <c r="N18" s="58">
        <v>6.5950000000000009E-2</v>
      </c>
      <c r="O18" s="32" t="s">
        <v>312</v>
      </c>
      <c r="P18" s="32"/>
    </row>
    <row r="19" spans="3:16" ht="15.75" customHeight="1">
      <c r="D19" s="1" t="s">
        <v>389</v>
      </c>
      <c r="E19" s="1" t="s">
        <v>390</v>
      </c>
      <c r="F19" s="1" t="s">
        <v>390</v>
      </c>
      <c r="G19" s="1" t="s">
        <v>390</v>
      </c>
      <c r="H19" s="1" t="s">
        <v>390</v>
      </c>
      <c r="I19" s="1" t="s">
        <v>390</v>
      </c>
      <c r="K19" s="32" t="s">
        <v>309</v>
      </c>
      <c r="L19" s="32" t="s">
        <v>263</v>
      </c>
      <c r="M19" s="32" t="s">
        <v>310</v>
      </c>
      <c r="N19" s="58">
        <v>5.4325396825396832E-2</v>
      </c>
      <c r="O19" s="32" t="s">
        <v>312</v>
      </c>
      <c r="P19" s="32"/>
    </row>
    <row r="20" spans="3:16" ht="15.75" customHeight="1">
      <c r="C20" s="1" t="s">
        <v>466</v>
      </c>
      <c r="D20" s="78" t="b">
        <f t="shared" ref="D20:D23" si="6">D4&gt;0.05</f>
        <v>0</v>
      </c>
      <c r="E20" s="78" t="b">
        <f t="shared" ref="E20:E23" si="7">E4&gt;0.051</f>
        <v>0</v>
      </c>
      <c r="F20" s="77" t="b">
        <f t="shared" ref="F20:F23" si="8">F4&gt;0.054</f>
        <v>1</v>
      </c>
      <c r="G20" s="77" t="b">
        <f t="shared" ref="G20:G23" si="9">G4&gt;0.076</f>
        <v>1</v>
      </c>
      <c r="H20" s="78" t="b">
        <f t="shared" ref="H20:H23" si="10">H4&gt;0.055</f>
        <v>0</v>
      </c>
      <c r="I20" s="78" t="b">
        <f t="shared" ref="I20:I23" si="11">I4&gt;0.069</f>
        <v>0</v>
      </c>
      <c r="K20" s="32" t="s">
        <v>309</v>
      </c>
      <c r="L20" s="32" t="s">
        <v>264</v>
      </c>
      <c r="M20" s="32" t="s">
        <v>310</v>
      </c>
      <c r="N20" s="58">
        <v>7.5732323232323234E-2</v>
      </c>
      <c r="O20" s="32" t="s">
        <v>312</v>
      </c>
      <c r="P20" s="32"/>
    </row>
    <row r="21" spans="3:16" ht="15.75" customHeight="1">
      <c r="C21" s="1" t="s">
        <v>468</v>
      </c>
      <c r="D21" s="77" t="b">
        <f t="shared" si="6"/>
        <v>1</v>
      </c>
      <c r="E21" s="77" t="b">
        <f t="shared" si="7"/>
        <v>1</v>
      </c>
      <c r="F21" s="77" t="b">
        <f t="shared" si="8"/>
        <v>1</v>
      </c>
      <c r="G21" s="78" t="b">
        <f t="shared" si="9"/>
        <v>0</v>
      </c>
      <c r="H21" s="77" t="b">
        <f t="shared" si="10"/>
        <v>1</v>
      </c>
      <c r="I21" s="78" t="b">
        <f t="shared" si="11"/>
        <v>0</v>
      </c>
      <c r="K21" s="32" t="s">
        <v>309</v>
      </c>
      <c r="L21" s="32" t="s">
        <v>63</v>
      </c>
      <c r="M21" s="32" t="s">
        <v>310</v>
      </c>
      <c r="N21" s="58">
        <v>5.4876910016977934E-2</v>
      </c>
      <c r="O21" s="32" t="s">
        <v>312</v>
      </c>
      <c r="P21" s="32"/>
    </row>
    <row r="22" spans="3:16" ht="15.75" customHeight="1">
      <c r="C22" s="1" t="s">
        <v>470</v>
      </c>
      <c r="D22" s="77" t="b">
        <f t="shared" si="6"/>
        <v>1</v>
      </c>
      <c r="E22" s="78" t="b">
        <f t="shared" si="7"/>
        <v>0</v>
      </c>
      <c r="F22" s="78" t="b">
        <f t="shared" si="8"/>
        <v>0</v>
      </c>
      <c r="G22" s="78" t="b">
        <f t="shared" si="9"/>
        <v>0</v>
      </c>
      <c r="H22" s="78" t="b">
        <f t="shared" si="10"/>
        <v>0</v>
      </c>
      <c r="I22" s="78" t="b">
        <f t="shared" si="11"/>
        <v>0</v>
      </c>
      <c r="K22" s="32" t="s">
        <v>309</v>
      </c>
      <c r="L22" s="32" t="s">
        <v>265</v>
      </c>
      <c r="M22" s="32" t="s">
        <v>310</v>
      </c>
      <c r="N22" s="58">
        <v>6.8744019138755982E-2</v>
      </c>
      <c r="O22" s="32" t="s">
        <v>312</v>
      </c>
      <c r="P22" s="32"/>
    </row>
    <row r="23" spans="3:16" ht="15.75" customHeight="1">
      <c r="C23" s="1" t="s">
        <v>471</v>
      </c>
      <c r="D23" s="77" t="b">
        <f t="shared" si="6"/>
        <v>1</v>
      </c>
      <c r="E23" s="77" t="b">
        <f t="shared" si="7"/>
        <v>1</v>
      </c>
      <c r="F23" s="78" t="b">
        <f t="shared" si="8"/>
        <v>0</v>
      </c>
      <c r="G23" s="78" t="b">
        <f t="shared" si="9"/>
        <v>0</v>
      </c>
      <c r="H23" s="78" t="b">
        <f t="shared" si="10"/>
        <v>0</v>
      </c>
      <c r="I23" s="78" t="b">
        <f t="shared" si="11"/>
        <v>0</v>
      </c>
    </row>
    <row r="26" spans="3:16" ht="15.75" customHeight="1">
      <c r="D26" s="1" t="s">
        <v>472</v>
      </c>
      <c r="E26" s="1"/>
      <c r="F26" s="1"/>
      <c r="G26" s="1"/>
      <c r="H26" s="1"/>
      <c r="I26" s="1"/>
    </row>
    <row r="27" spans="3:16" ht="15.75" customHeight="1">
      <c r="D27" s="1" t="s">
        <v>36</v>
      </c>
      <c r="E27" s="1" t="s">
        <v>39</v>
      </c>
      <c r="F27" s="1" t="s">
        <v>380</v>
      </c>
      <c r="G27" s="1" t="s">
        <v>381</v>
      </c>
      <c r="H27" s="1" t="s">
        <v>263</v>
      </c>
      <c r="I27" s="1" t="s">
        <v>264</v>
      </c>
    </row>
    <row r="28" spans="3:16" ht="15.75" customHeight="1">
      <c r="D28" s="1" t="s">
        <v>389</v>
      </c>
      <c r="E28" s="1" t="s">
        <v>390</v>
      </c>
      <c r="F28" s="1" t="s">
        <v>390</v>
      </c>
      <c r="G28" s="1" t="s">
        <v>390</v>
      </c>
      <c r="H28" s="1" t="s">
        <v>390</v>
      </c>
      <c r="I28" s="1" t="s">
        <v>390</v>
      </c>
    </row>
    <row r="29" spans="3:16" ht="15.75" customHeight="1">
      <c r="C29" s="1" t="s">
        <v>466</v>
      </c>
      <c r="D29" s="78" t="b">
        <f t="shared" ref="D29:D32" si="12">D4&gt;0.05</f>
        <v>0</v>
      </c>
      <c r="E29" s="78" t="b">
        <f t="shared" ref="E29:H32" si="13">IF(E4&gt;0.035, IF(E4&gt;0.063, TRUE, FALSE), IF(E4&gt;0.027, TRUE, FALSE))</f>
        <v>0</v>
      </c>
      <c r="F29" s="77" t="b">
        <f t="shared" si="13"/>
        <v>1</v>
      </c>
      <c r="G29" s="77" t="b">
        <f t="shared" si="13"/>
        <v>1</v>
      </c>
      <c r="H29" s="78" t="b">
        <f t="shared" si="13"/>
        <v>0</v>
      </c>
      <c r="I29" s="78" t="b">
        <f t="shared" ref="I29:I32" si="14">I4&gt;0.027</f>
        <v>0</v>
      </c>
    </row>
    <row r="30" spans="3:16" ht="15.75" customHeight="1">
      <c r="C30" s="1" t="s">
        <v>468</v>
      </c>
      <c r="D30" s="77" t="b">
        <f t="shared" si="12"/>
        <v>1</v>
      </c>
      <c r="E30" s="77" t="b">
        <f t="shared" si="13"/>
        <v>1</v>
      </c>
      <c r="F30" s="95" t="b">
        <f t="shared" si="13"/>
        <v>0</v>
      </c>
      <c r="G30" s="78" t="b">
        <f t="shared" si="13"/>
        <v>0</v>
      </c>
      <c r="H30" s="78" t="b">
        <f t="shared" si="13"/>
        <v>0</v>
      </c>
      <c r="I30" s="77" t="b">
        <f t="shared" si="14"/>
        <v>1</v>
      </c>
      <c r="J30" s="1" t="s">
        <v>473</v>
      </c>
    </row>
    <row r="31" spans="3:16" ht="15.75" customHeight="1">
      <c r="C31" s="1" t="s">
        <v>470</v>
      </c>
      <c r="D31" s="77" t="b">
        <f t="shared" si="12"/>
        <v>1</v>
      </c>
      <c r="E31" s="77" t="b">
        <f t="shared" si="13"/>
        <v>1</v>
      </c>
      <c r="F31" s="77" t="b">
        <f t="shared" si="13"/>
        <v>1</v>
      </c>
      <c r="G31" s="78" t="b">
        <f t="shared" si="13"/>
        <v>0</v>
      </c>
      <c r="H31" s="77" t="b">
        <f t="shared" si="13"/>
        <v>1</v>
      </c>
      <c r="I31" s="78" t="b">
        <f t="shared" si="14"/>
        <v>0</v>
      </c>
    </row>
    <row r="32" spans="3:16" ht="15.75" customHeight="1">
      <c r="C32" s="1" t="s">
        <v>471</v>
      </c>
      <c r="D32" s="77" t="b">
        <f t="shared" si="12"/>
        <v>1</v>
      </c>
      <c r="E32" s="78" t="b">
        <f t="shared" si="13"/>
        <v>0</v>
      </c>
      <c r="F32" s="78" t="b">
        <f t="shared" si="13"/>
        <v>0</v>
      </c>
      <c r="G32" s="78" t="b">
        <f t="shared" si="13"/>
        <v>0</v>
      </c>
      <c r="H32" s="78" t="b">
        <f t="shared" si="13"/>
        <v>0</v>
      </c>
      <c r="I32" s="78" t="b">
        <f t="shared" si="14"/>
        <v>1</v>
      </c>
    </row>
  </sheetData>
  <mergeCells count="2">
    <mergeCell ref="D9:I9"/>
    <mergeCell ref="D17:I1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5377-5A6E-426E-BF7E-05D0C08CFD06}">
  <sheetPr>
    <outlinePr summaryBelow="0" summaryRight="0"/>
  </sheetPr>
  <dimension ref="A1:S131"/>
  <sheetViews>
    <sheetView workbookViewId="0"/>
  </sheetViews>
  <sheetFormatPr defaultColWidth="12.6640625" defaultRowHeight="15.75" customHeight="1"/>
  <cols>
    <col min="1" max="16384" width="12.6640625" style="2"/>
  </cols>
  <sheetData>
    <row r="1" spans="1:17" ht="13.8">
      <c r="F1" s="1" t="s">
        <v>378</v>
      </c>
      <c r="G1" s="1" t="s">
        <v>379</v>
      </c>
    </row>
    <row r="2" spans="1:17" ht="14.4">
      <c r="E2" s="1" t="s">
        <v>36</v>
      </c>
      <c r="F2" s="1" t="s">
        <v>36</v>
      </c>
      <c r="G2" s="1" t="s">
        <v>39</v>
      </c>
      <c r="H2" s="1" t="s">
        <v>380</v>
      </c>
      <c r="I2" s="1" t="s">
        <v>381</v>
      </c>
      <c r="J2" s="1" t="s">
        <v>263</v>
      </c>
      <c r="K2" s="1" t="s">
        <v>264</v>
      </c>
      <c r="M2" s="102" t="s">
        <v>382</v>
      </c>
      <c r="N2" s="1" t="s">
        <v>383</v>
      </c>
      <c r="O2" s="1" t="s">
        <v>384</v>
      </c>
      <c r="P2" s="1" t="s">
        <v>385</v>
      </c>
      <c r="Q2" s="1" t="s">
        <v>386</v>
      </c>
    </row>
    <row r="3" spans="1:17" ht="15.75" customHeight="1">
      <c r="A3" s="102" t="s">
        <v>382</v>
      </c>
      <c r="B3" s="1" t="s">
        <v>387</v>
      </c>
      <c r="C3" s="1" t="s">
        <v>383</v>
      </c>
      <c r="D3" s="1" t="s">
        <v>388</v>
      </c>
      <c r="E3" s="1" t="s">
        <v>295</v>
      </c>
      <c r="F3" s="1" t="s">
        <v>389</v>
      </c>
      <c r="G3" s="1" t="s">
        <v>390</v>
      </c>
      <c r="H3" s="1" t="s">
        <v>390</v>
      </c>
      <c r="I3" s="1" t="s">
        <v>390</v>
      </c>
      <c r="J3" s="1" t="s">
        <v>390</v>
      </c>
      <c r="K3" s="1" t="s">
        <v>390</v>
      </c>
      <c r="M3" s="104" t="s">
        <v>391</v>
      </c>
      <c r="N3" s="117">
        <v>1.9421999999999999</v>
      </c>
      <c r="O3" s="118">
        <v>3</v>
      </c>
      <c r="P3" s="1">
        <v>0</v>
      </c>
      <c r="Q3" s="1" t="s">
        <v>28</v>
      </c>
    </row>
    <row r="4" spans="1:17" ht="15.75" customHeight="1">
      <c r="A4" s="104" t="s">
        <v>391</v>
      </c>
      <c r="B4" s="118" t="s">
        <v>392</v>
      </c>
      <c r="C4" s="117">
        <v>1.9421999999999999</v>
      </c>
      <c r="D4" s="1">
        <v>44</v>
      </c>
      <c r="E4" s="1">
        <v>1.9624999999999999</v>
      </c>
      <c r="F4" s="14">
        <f t="shared" ref="F4:F23" si="0">SQRT(E4)/SQRT(D4)</f>
        <v>0.21119250158865188</v>
      </c>
      <c r="G4" s="14">
        <v>6.3223189999999999E-2</v>
      </c>
      <c r="H4" s="14">
        <v>7.5371300000000002E-2</v>
      </c>
      <c r="I4" s="14">
        <v>7.4549400000000002E-2</v>
      </c>
      <c r="J4" s="14">
        <v>7.3353559999999998E-2</v>
      </c>
      <c r="K4" s="14">
        <v>7.4336879999999994E-2</v>
      </c>
      <c r="M4" s="112" t="s">
        <v>393</v>
      </c>
      <c r="N4" s="119">
        <v>1.766</v>
      </c>
      <c r="O4" s="120">
        <v>3</v>
      </c>
      <c r="P4" s="1">
        <v>0</v>
      </c>
      <c r="Q4" s="1" t="s">
        <v>28</v>
      </c>
    </row>
    <row r="5" spans="1:17" ht="15.75" customHeight="1">
      <c r="A5" s="112" t="s">
        <v>393</v>
      </c>
      <c r="B5" s="117" t="s">
        <v>394</v>
      </c>
      <c r="C5" s="119">
        <v>1.766</v>
      </c>
      <c r="D5" s="1">
        <v>46</v>
      </c>
      <c r="E5" s="1">
        <v>1.5163</v>
      </c>
      <c r="F5" s="14">
        <f t="shared" si="0"/>
        <v>0.18155727327281843</v>
      </c>
      <c r="G5" s="14">
        <v>7.7285740000000006E-2</v>
      </c>
      <c r="H5" s="14">
        <v>7.5760369999999994E-2</v>
      </c>
      <c r="I5" s="14">
        <v>6.8491109999999994E-2</v>
      </c>
      <c r="J5" s="14">
        <v>7.5655669999999994E-2</v>
      </c>
      <c r="K5" s="14">
        <v>5.6277519999999998E-2</v>
      </c>
      <c r="M5" s="112" t="s">
        <v>395</v>
      </c>
      <c r="N5" s="119">
        <v>3.4</v>
      </c>
      <c r="O5" s="120">
        <v>1</v>
      </c>
      <c r="P5" s="1">
        <v>0</v>
      </c>
      <c r="Q5" s="1" t="s">
        <v>28</v>
      </c>
    </row>
    <row r="6" spans="1:17" ht="15.75" customHeight="1">
      <c r="A6" s="112" t="s">
        <v>395</v>
      </c>
      <c r="B6" s="105" t="s">
        <v>396</v>
      </c>
      <c r="C6" s="108">
        <v>3.4</v>
      </c>
      <c r="D6" s="1">
        <v>50</v>
      </c>
      <c r="E6" s="1">
        <v>6.9099999999999995E-2</v>
      </c>
      <c r="F6" s="14">
        <f t="shared" si="0"/>
        <v>3.7175260590882213E-2</v>
      </c>
      <c r="G6" s="14">
        <v>4.139089E-2</v>
      </c>
      <c r="H6" s="14">
        <v>8.5971569999999997E-2</v>
      </c>
      <c r="I6" s="14">
        <v>0.12107532999999999</v>
      </c>
      <c r="J6" s="14">
        <v>4.0563719999999998E-2</v>
      </c>
      <c r="K6" s="14">
        <v>2.6270180000000001E-2</v>
      </c>
      <c r="M6" s="107" t="s">
        <v>397</v>
      </c>
      <c r="N6" s="108">
        <v>2.02</v>
      </c>
      <c r="O6" s="109">
        <v>9</v>
      </c>
      <c r="P6" s="1">
        <v>0</v>
      </c>
      <c r="Q6" s="1" t="s">
        <v>28</v>
      </c>
    </row>
    <row r="7" spans="1:17" ht="15.75" customHeight="1">
      <c r="A7" s="112" t="s">
        <v>397</v>
      </c>
      <c r="B7" s="105" t="s">
        <v>398</v>
      </c>
      <c r="C7" s="108">
        <v>2.02</v>
      </c>
      <c r="D7" s="1">
        <v>52</v>
      </c>
      <c r="E7" s="1">
        <v>0.36859999999999998</v>
      </c>
      <c r="F7" s="14">
        <f t="shared" si="0"/>
        <v>8.419300171903564E-2</v>
      </c>
      <c r="G7" s="14">
        <v>6.4552449999999997E-2</v>
      </c>
      <c r="H7" s="14">
        <v>6.3958970000000004E-2</v>
      </c>
      <c r="I7" s="14">
        <v>6.3084769999999998E-2</v>
      </c>
      <c r="J7" s="14">
        <v>6.3898679999999999E-2</v>
      </c>
      <c r="K7" s="14">
        <v>3.7634059999999997E-2</v>
      </c>
      <c r="M7" s="107" t="s">
        <v>399</v>
      </c>
      <c r="N7" s="108">
        <v>1.6164000000000001</v>
      </c>
      <c r="O7" s="109">
        <v>5</v>
      </c>
      <c r="P7" s="1">
        <v>0</v>
      </c>
      <c r="Q7" s="1" t="s">
        <v>28</v>
      </c>
    </row>
    <row r="8" spans="1:17" ht="15.75" customHeight="1">
      <c r="A8" s="112" t="s">
        <v>399</v>
      </c>
      <c r="B8" s="105" t="s">
        <v>400</v>
      </c>
      <c r="C8" s="108">
        <v>1.6164000000000001</v>
      </c>
      <c r="D8" s="1">
        <v>34</v>
      </c>
      <c r="E8" s="1">
        <v>0.3256</v>
      </c>
      <c r="F8" s="14">
        <f t="shared" si="0"/>
        <v>9.7859443020258868E-2</v>
      </c>
      <c r="G8" s="14">
        <v>5.7878190000000003E-2</v>
      </c>
      <c r="H8" s="14">
        <v>5.6956939999999998E-2</v>
      </c>
      <c r="I8" s="14">
        <v>5.2035499999999998E-2</v>
      </c>
      <c r="J8" s="14">
        <v>5.6839550000000003E-2</v>
      </c>
      <c r="K8" s="14">
        <v>4.1878140000000001E-2</v>
      </c>
      <c r="M8" s="107" t="s">
        <v>401</v>
      </c>
      <c r="N8" s="108">
        <v>1.6286</v>
      </c>
      <c r="O8" s="109">
        <v>4</v>
      </c>
      <c r="P8" s="1">
        <v>0</v>
      </c>
      <c r="Q8" s="1" t="s">
        <v>28</v>
      </c>
    </row>
    <row r="9" spans="1:17" ht="15.75" customHeight="1">
      <c r="A9" s="112" t="s">
        <v>401</v>
      </c>
      <c r="B9" s="105" t="s">
        <v>402</v>
      </c>
      <c r="C9" s="108">
        <v>1.6286</v>
      </c>
      <c r="D9" s="1">
        <v>35</v>
      </c>
      <c r="E9" s="1">
        <v>0.32340000000000002</v>
      </c>
      <c r="F9" s="14">
        <f t="shared" si="0"/>
        <v>9.6124918725583333E-2</v>
      </c>
      <c r="G9" s="14">
        <v>5.941689E-2</v>
      </c>
      <c r="H9" s="14">
        <v>6.0426199999999999E-2</v>
      </c>
      <c r="I9" s="14">
        <v>5.2020740000000003E-2</v>
      </c>
      <c r="J9" s="14">
        <v>6.0275849999999999E-2</v>
      </c>
      <c r="K9" s="14">
        <v>4.4389489999999997E-2</v>
      </c>
      <c r="M9" s="107" t="s">
        <v>403</v>
      </c>
      <c r="N9" s="108">
        <v>1.6271</v>
      </c>
      <c r="O9" s="109">
        <v>3</v>
      </c>
      <c r="P9" s="1">
        <v>0</v>
      </c>
      <c r="Q9" s="1" t="s">
        <v>28</v>
      </c>
    </row>
    <row r="10" spans="1:17" ht="15.75" customHeight="1">
      <c r="A10" s="112" t="s">
        <v>403</v>
      </c>
      <c r="B10" s="105" t="s">
        <v>404</v>
      </c>
      <c r="C10" s="108">
        <v>1.6271</v>
      </c>
      <c r="D10" s="1">
        <v>36</v>
      </c>
      <c r="E10" s="1">
        <v>0.50460000000000005</v>
      </c>
      <c r="F10" s="14">
        <f t="shared" si="0"/>
        <v>0.11839200423452029</v>
      </c>
      <c r="G10" s="14">
        <v>6.4177910000000005E-2</v>
      </c>
      <c r="H10" s="14">
        <v>6.2826709999999994E-2</v>
      </c>
      <c r="I10" s="14">
        <v>5.7953459999999998E-2</v>
      </c>
      <c r="J10" s="14">
        <v>6.2763029999999997E-2</v>
      </c>
      <c r="K10" s="14">
        <v>5.1070499999999998E-2</v>
      </c>
      <c r="M10" s="107" t="s">
        <v>405</v>
      </c>
      <c r="N10" s="108">
        <v>1.7245999999999999</v>
      </c>
      <c r="O10" s="109">
        <v>2</v>
      </c>
      <c r="P10" s="1">
        <v>0</v>
      </c>
      <c r="Q10" s="1" t="s">
        <v>28</v>
      </c>
    </row>
    <row r="11" spans="1:17" ht="15.75" customHeight="1">
      <c r="A11" s="112" t="s">
        <v>405</v>
      </c>
      <c r="B11" s="105" t="s">
        <v>406</v>
      </c>
      <c r="C11" s="108">
        <v>1.7245999999999999</v>
      </c>
      <c r="D11" s="1">
        <v>37</v>
      </c>
      <c r="E11" s="1">
        <v>0.1018</v>
      </c>
      <c r="F11" s="14">
        <f t="shared" si="0"/>
        <v>5.2453325455602447E-2</v>
      </c>
      <c r="G11" s="14">
        <v>3.7962830000000003E-2</v>
      </c>
      <c r="H11" s="14">
        <v>3.6743640000000001E-2</v>
      </c>
      <c r="I11" s="14">
        <v>3.166281E-2</v>
      </c>
      <c r="J11" s="14">
        <v>3.6970450000000002E-2</v>
      </c>
      <c r="K11" s="14">
        <v>2.4199760000000001E-2</v>
      </c>
      <c r="M11" s="107" t="s">
        <v>407</v>
      </c>
      <c r="N11" s="108">
        <v>2.2696999999999998</v>
      </c>
      <c r="O11" s="109">
        <v>4</v>
      </c>
      <c r="P11" s="1">
        <v>0</v>
      </c>
      <c r="Q11" s="1" t="s">
        <v>28</v>
      </c>
    </row>
    <row r="12" spans="1:17" ht="15.75" customHeight="1">
      <c r="A12" s="112" t="s">
        <v>407</v>
      </c>
      <c r="B12" s="105" t="s">
        <v>408</v>
      </c>
      <c r="C12" s="108">
        <v>2.2696999999999998</v>
      </c>
      <c r="D12" s="1">
        <v>39</v>
      </c>
      <c r="E12" s="1">
        <v>0.1241</v>
      </c>
      <c r="F12" s="14">
        <f t="shared" si="0"/>
        <v>5.6409673656663557E-2</v>
      </c>
      <c r="G12" s="14">
        <v>4.2078150000000002E-2</v>
      </c>
      <c r="H12" s="14">
        <v>3.834311E-2</v>
      </c>
      <c r="I12" s="14">
        <v>3.2967429999999999E-2</v>
      </c>
      <c r="J12" s="14">
        <v>3.813536E-2</v>
      </c>
      <c r="K12" s="14">
        <v>2.7890709999999999E-2</v>
      </c>
      <c r="M12" s="107" t="s">
        <v>409</v>
      </c>
      <c r="N12" s="108">
        <v>2.1741999999999999</v>
      </c>
      <c r="O12" s="109">
        <v>6</v>
      </c>
      <c r="P12" s="1">
        <v>0</v>
      </c>
      <c r="Q12" s="1" t="s">
        <v>28</v>
      </c>
    </row>
    <row r="13" spans="1:17" ht="15.75" customHeight="1">
      <c r="A13" s="112" t="s">
        <v>409</v>
      </c>
      <c r="B13" s="105" t="s">
        <v>410</v>
      </c>
      <c r="C13" s="108">
        <v>2.1741999999999999</v>
      </c>
      <c r="D13" s="1">
        <v>43</v>
      </c>
      <c r="E13" s="1">
        <v>2.35E-2</v>
      </c>
      <c r="F13" s="14">
        <f t="shared" si="0"/>
        <v>2.3377588154191112E-2</v>
      </c>
      <c r="G13" s="14">
        <v>3.337466E-2</v>
      </c>
      <c r="H13" s="14">
        <v>3.064277E-2</v>
      </c>
      <c r="I13" s="14">
        <v>2.4211690000000001E-2</v>
      </c>
      <c r="J13" s="14">
        <v>3.0311029999999999E-2</v>
      </c>
      <c r="K13" s="14">
        <v>1.877183E-2</v>
      </c>
      <c r="M13" s="107" t="s">
        <v>411</v>
      </c>
      <c r="N13" s="108">
        <v>2.0655999999999999</v>
      </c>
      <c r="O13" s="109">
        <v>3</v>
      </c>
      <c r="P13" s="1">
        <v>0</v>
      </c>
      <c r="Q13" s="1" t="s">
        <v>28</v>
      </c>
    </row>
    <row r="14" spans="1:17" ht="15.75" customHeight="1">
      <c r="A14" s="112" t="s">
        <v>411</v>
      </c>
      <c r="B14" s="105" t="s">
        <v>412</v>
      </c>
      <c r="C14" s="108">
        <v>2.0655999999999999</v>
      </c>
      <c r="D14" s="1">
        <v>44</v>
      </c>
      <c r="E14" s="1">
        <v>0.1157</v>
      </c>
      <c r="F14" s="14">
        <f t="shared" si="0"/>
        <v>5.12790937375599E-2</v>
      </c>
      <c r="G14" s="14">
        <v>3.1991430000000001E-2</v>
      </c>
      <c r="H14" s="14">
        <v>2.9386740000000001E-2</v>
      </c>
      <c r="I14" s="14">
        <v>2.3666300000000001E-2</v>
      </c>
      <c r="J14" s="14">
        <v>2.9478750000000001E-2</v>
      </c>
      <c r="K14" s="14">
        <v>1.9039739999999999E-2</v>
      </c>
      <c r="M14" s="107" t="s">
        <v>413</v>
      </c>
      <c r="N14" s="108">
        <v>2.0615000000000001</v>
      </c>
      <c r="O14" s="109">
        <v>2</v>
      </c>
      <c r="P14" s="1">
        <v>0</v>
      </c>
      <c r="Q14" s="1" t="s">
        <v>28</v>
      </c>
    </row>
    <row r="15" spans="1:17" ht="15.75" customHeight="1">
      <c r="A15" s="112" t="s">
        <v>413</v>
      </c>
      <c r="B15" s="105" t="s">
        <v>406</v>
      </c>
      <c r="C15" s="108">
        <v>2.0615000000000001</v>
      </c>
      <c r="D15" s="1">
        <v>45</v>
      </c>
      <c r="E15" s="1">
        <v>6.3E-2</v>
      </c>
      <c r="F15" s="14">
        <f t="shared" si="0"/>
        <v>3.741657386773941E-2</v>
      </c>
      <c r="G15" s="14">
        <v>3.1967250000000003E-2</v>
      </c>
      <c r="H15" s="14">
        <v>2.994206E-2</v>
      </c>
      <c r="I15" s="14">
        <v>2.42946E-2</v>
      </c>
      <c r="J15" s="14">
        <v>2.9907710000000001E-2</v>
      </c>
      <c r="K15" s="14">
        <v>1.837956E-2</v>
      </c>
      <c r="M15" s="107" t="s">
        <v>414</v>
      </c>
      <c r="N15" s="108">
        <v>1.7769999999999999</v>
      </c>
      <c r="O15" s="109">
        <v>4</v>
      </c>
      <c r="P15" s="1">
        <v>0</v>
      </c>
      <c r="Q15" s="1" t="s">
        <v>28</v>
      </c>
    </row>
    <row r="16" spans="1:17" ht="15.75" customHeight="1">
      <c r="A16" s="112" t="s">
        <v>414</v>
      </c>
      <c r="B16" s="105" t="s">
        <v>408</v>
      </c>
      <c r="C16" s="108">
        <v>1.7769999999999999</v>
      </c>
      <c r="D16" s="1">
        <v>23</v>
      </c>
      <c r="E16" s="1">
        <v>8.5400000000000004E-2</v>
      </c>
      <c r="F16" s="14">
        <f t="shared" si="0"/>
        <v>6.0934747708190858E-2</v>
      </c>
      <c r="G16" s="14">
        <v>5.3582390000000001E-2</v>
      </c>
      <c r="H16" s="14">
        <v>5.1019380000000003E-2</v>
      </c>
      <c r="I16" s="14">
        <v>4.7079879999999998E-2</v>
      </c>
      <c r="J16" s="14">
        <v>5.0822949999999999E-2</v>
      </c>
      <c r="K16" s="14">
        <v>3.994868E-2</v>
      </c>
      <c r="M16" s="107" t="s">
        <v>415</v>
      </c>
      <c r="N16" s="110">
        <v>1.6839999999999999</v>
      </c>
      <c r="O16" s="109">
        <v>5</v>
      </c>
      <c r="P16" s="1">
        <v>0</v>
      </c>
      <c r="Q16" s="121" t="s">
        <v>416</v>
      </c>
    </row>
    <row r="17" spans="1:19" ht="15.75" customHeight="1">
      <c r="A17" s="112" t="s">
        <v>415</v>
      </c>
      <c r="B17" s="105" t="s">
        <v>400</v>
      </c>
      <c r="C17" s="110">
        <v>1.6839999999999999</v>
      </c>
      <c r="D17" s="1">
        <v>24</v>
      </c>
      <c r="E17" s="1">
        <v>0.20050000000000001</v>
      </c>
      <c r="F17" s="14">
        <f t="shared" si="0"/>
        <v>9.140113055464176E-2</v>
      </c>
      <c r="G17" s="14">
        <v>5.501963E-2</v>
      </c>
      <c r="H17" s="14">
        <v>5.0442319999999999E-2</v>
      </c>
      <c r="I17" s="14">
        <v>4.3032500000000001E-2</v>
      </c>
      <c r="J17" s="14">
        <v>5.0371489999999998E-2</v>
      </c>
      <c r="K17" s="14">
        <v>4.148992E-2</v>
      </c>
      <c r="M17" s="107" t="s">
        <v>417</v>
      </c>
      <c r="N17" s="110">
        <v>1.5407999999999999</v>
      </c>
      <c r="O17" s="109">
        <v>4</v>
      </c>
      <c r="P17" s="1">
        <v>0</v>
      </c>
      <c r="Q17" s="121" t="s">
        <v>416</v>
      </c>
    </row>
    <row r="18" spans="1:19" ht="15.75" customHeight="1">
      <c r="A18" s="112" t="s">
        <v>417</v>
      </c>
      <c r="B18" s="105" t="s">
        <v>402</v>
      </c>
      <c r="C18" s="110">
        <v>1.5407999999999999</v>
      </c>
      <c r="D18" s="1">
        <v>27</v>
      </c>
      <c r="E18" s="1">
        <v>0.27789999999999998</v>
      </c>
      <c r="F18" s="14">
        <f t="shared" si="0"/>
        <v>0.10145241541034197</v>
      </c>
      <c r="G18" s="14">
        <v>4.0833399999999999E-2</v>
      </c>
      <c r="H18" s="14">
        <v>4.0294700000000003E-2</v>
      </c>
      <c r="I18" s="14">
        <v>2.6220940000000002E-2</v>
      </c>
      <c r="J18" s="14">
        <v>2.9622539999999999E-2</v>
      </c>
      <c r="K18" s="14">
        <v>2.140483E-2</v>
      </c>
      <c r="M18" s="107" t="s">
        <v>418</v>
      </c>
      <c r="N18" s="108">
        <v>1.5327</v>
      </c>
      <c r="O18" s="109">
        <v>3</v>
      </c>
      <c r="P18" s="1">
        <v>0</v>
      </c>
      <c r="Q18" s="1" t="s">
        <v>28</v>
      </c>
    </row>
    <row r="19" spans="1:19" ht="15.75" customHeight="1">
      <c r="A19" s="112" t="s">
        <v>418</v>
      </c>
      <c r="B19" s="105" t="s">
        <v>412</v>
      </c>
      <c r="C19" s="108">
        <v>1.5327</v>
      </c>
      <c r="D19" s="1">
        <v>28</v>
      </c>
      <c r="E19" s="1">
        <v>0.13170000000000001</v>
      </c>
      <c r="F19" s="14">
        <f t="shared" si="0"/>
        <v>6.8582588377600825E-2</v>
      </c>
      <c r="G19" s="14">
        <v>8.22465E-2</v>
      </c>
      <c r="H19" s="14">
        <v>5.944725E-2</v>
      </c>
      <c r="I19" s="14">
        <v>2.784965E-2</v>
      </c>
      <c r="J19" s="14">
        <v>3.3182089999999997E-2</v>
      </c>
      <c r="K19" s="14">
        <v>2.3782919999999999E-2</v>
      </c>
      <c r="M19" s="107" t="s">
        <v>419</v>
      </c>
      <c r="N19" s="108">
        <v>1.63734</v>
      </c>
      <c r="O19" s="109">
        <v>4</v>
      </c>
      <c r="P19" s="1">
        <v>1</v>
      </c>
      <c r="Q19" s="1" t="s">
        <v>420</v>
      </c>
    </row>
    <row r="20" spans="1:19" ht="15.75" customHeight="1">
      <c r="A20" s="112" t="s">
        <v>419</v>
      </c>
      <c r="B20" s="105" t="s">
        <v>402</v>
      </c>
      <c r="C20" s="108">
        <v>1.63734</v>
      </c>
      <c r="D20" s="1">
        <v>24</v>
      </c>
      <c r="E20" s="1">
        <v>3.7400000000000003E-2</v>
      </c>
      <c r="F20" s="14">
        <f t="shared" si="0"/>
        <v>3.947573094109004E-2</v>
      </c>
      <c r="G20" s="14">
        <v>3.5303960000000002E-2</v>
      </c>
      <c r="H20" s="14">
        <v>3.2087190000000002E-2</v>
      </c>
      <c r="I20" s="14">
        <v>2.698329E-2</v>
      </c>
      <c r="J20" s="14">
        <v>3.2409010000000002E-2</v>
      </c>
      <c r="K20" s="14">
        <v>2.3805980000000001E-2</v>
      </c>
      <c r="M20" s="107" t="s">
        <v>421</v>
      </c>
      <c r="N20" s="108">
        <v>1.5991599999999999</v>
      </c>
      <c r="O20" s="109">
        <v>5</v>
      </c>
      <c r="P20" s="1">
        <v>1</v>
      </c>
      <c r="Q20" s="1" t="s">
        <v>420</v>
      </c>
    </row>
    <row r="21" spans="1:19" ht="15.75" customHeight="1">
      <c r="A21" s="112" t="s">
        <v>421</v>
      </c>
      <c r="B21" s="105" t="s">
        <v>422</v>
      </c>
      <c r="C21" s="108">
        <v>1.5991599999999999</v>
      </c>
      <c r="D21" s="1">
        <v>25</v>
      </c>
      <c r="E21" s="1">
        <v>9.8799999999999999E-2</v>
      </c>
      <c r="F21" s="14">
        <f t="shared" si="0"/>
        <v>6.2864934582006843E-2</v>
      </c>
      <c r="G21" s="14">
        <v>3.7984980000000002E-2</v>
      </c>
      <c r="H21" s="14">
        <v>3.5280510000000001E-2</v>
      </c>
      <c r="I21" s="14">
        <v>3.020254E-2</v>
      </c>
      <c r="J21" s="14">
        <v>3.5459930000000001E-2</v>
      </c>
      <c r="K21" s="14">
        <v>2.6320820000000002E-2</v>
      </c>
      <c r="M21" s="107" t="s">
        <v>423</v>
      </c>
      <c r="N21" s="108">
        <v>1.6067400000000001</v>
      </c>
      <c r="O21" s="109">
        <v>6</v>
      </c>
      <c r="P21" s="1">
        <v>1</v>
      </c>
      <c r="Q21" s="1" t="s">
        <v>420</v>
      </c>
    </row>
    <row r="22" spans="1:19" ht="15.75" customHeight="1">
      <c r="A22" s="112" t="s">
        <v>423</v>
      </c>
      <c r="B22" s="105" t="s">
        <v>424</v>
      </c>
      <c r="C22" s="108">
        <v>1.6067400000000001</v>
      </c>
      <c r="D22" s="1">
        <v>26</v>
      </c>
      <c r="E22" s="1">
        <v>5.6300000000000003E-2</v>
      </c>
      <c r="F22" s="14">
        <f t="shared" si="0"/>
        <v>4.6533693334879569E-2</v>
      </c>
      <c r="G22" s="14">
        <v>3.6419699999999999E-2</v>
      </c>
      <c r="H22" s="14">
        <v>3.4976840000000002E-2</v>
      </c>
      <c r="I22" s="14">
        <v>2.9858240000000001E-2</v>
      </c>
      <c r="J22" s="14">
        <v>3.5026170000000002E-2</v>
      </c>
      <c r="K22" s="14">
        <v>2.3680690000000001E-2</v>
      </c>
      <c r="M22" s="107" t="s">
        <v>425</v>
      </c>
      <c r="N22" s="108">
        <v>1.47411</v>
      </c>
      <c r="O22" s="109">
        <v>3</v>
      </c>
      <c r="P22" s="1">
        <v>1</v>
      </c>
      <c r="Q22" s="1" t="s">
        <v>420</v>
      </c>
    </row>
    <row r="23" spans="1:19" ht="15.75" customHeight="1">
      <c r="A23" s="112" t="s">
        <v>425</v>
      </c>
      <c r="B23" s="105" t="s">
        <v>426</v>
      </c>
      <c r="C23" s="108">
        <v>1.47411</v>
      </c>
      <c r="D23" s="1">
        <v>29</v>
      </c>
      <c r="E23" s="1">
        <v>0.1837</v>
      </c>
      <c r="F23" s="14">
        <f t="shared" si="0"/>
        <v>7.9589463866900689E-2</v>
      </c>
      <c r="G23" s="14">
        <v>4.6282249999999997E-2</v>
      </c>
      <c r="H23" s="14">
        <v>4.2829840000000001E-2</v>
      </c>
      <c r="I23" s="14">
        <v>3.5634109999999997E-2</v>
      </c>
      <c r="J23" s="14">
        <v>4.2893239999999999E-2</v>
      </c>
      <c r="K23" s="14">
        <v>3.351987E-2</v>
      </c>
    </row>
    <row r="24" spans="1:19" ht="13.8">
      <c r="G24" s="14"/>
      <c r="H24" s="14"/>
      <c r="I24" s="14"/>
      <c r="J24" s="14"/>
      <c r="K24" s="14"/>
    </row>
    <row r="25" spans="1:19" ht="13.8">
      <c r="E25" s="1" t="s">
        <v>276</v>
      </c>
      <c r="F25" s="14">
        <f t="shared" ref="F25:K25" si="1">AVERAGE(F4:F23)</f>
        <v>7.9913268139957999E-2</v>
      </c>
      <c r="G25" s="14">
        <f t="shared" si="1"/>
        <v>4.9648619500000005E-2</v>
      </c>
      <c r="H25" s="14">
        <f t="shared" si="1"/>
        <v>4.9635420500000006E-2</v>
      </c>
      <c r="I25" s="14">
        <f t="shared" si="1"/>
        <v>4.4643714500000008E-2</v>
      </c>
      <c r="J25" s="14">
        <f t="shared" si="1"/>
        <v>4.5397038999999993E-2</v>
      </c>
      <c r="K25" s="14">
        <f t="shared" si="1"/>
        <v>3.3704604000000006E-2</v>
      </c>
    </row>
    <row r="26" spans="1:19" ht="13.8">
      <c r="B26" s="1" t="s">
        <v>427</v>
      </c>
      <c r="C26" s="1">
        <v>0.02</v>
      </c>
      <c r="E26" s="1" t="s">
        <v>428</v>
      </c>
      <c r="G26" s="14">
        <f>F25/G25</f>
        <v>1.609576841103467</v>
      </c>
      <c r="H26" s="14">
        <f>F25/H25</f>
        <v>1.6100048581225979</v>
      </c>
      <c r="I26" s="14">
        <f>F25/I25</f>
        <v>1.7900228293046268</v>
      </c>
      <c r="J26" s="14">
        <f>F25/J25</f>
        <v>1.7603189525193044</v>
      </c>
      <c r="K26" s="14">
        <f>F25/K25</f>
        <v>2.3709896766613245</v>
      </c>
    </row>
    <row r="27" spans="1:19" ht="13.8">
      <c r="B27" s="1" t="s">
        <v>429</v>
      </c>
      <c r="C27" s="1" t="s">
        <v>42</v>
      </c>
      <c r="E27" s="9" t="s">
        <v>430</v>
      </c>
      <c r="F27" s="9"/>
      <c r="G27" s="31">
        <f t="shared" ref="G27:K27" si="2">0.02/G26</f>
        <v>1.2425626095793434E-2</v>
      </c>
      <c r="H27" s="31">
        <f t="shared" si="2"/>
        <v>1.2422322764492583E-2</v>
      </c>
      <c r="I27" s="31">
        <f t="shared" si="2"/>
        <v>1.1173041858784245E-2</v>
      </c>
      <c r="J27" s="31">
        <f t="shared" si="2"/>
        <v>1.1361577384244332E-2</v>
      </c>
      <c r="K27" s="31">
        <f t="shared" si="2"/>
        <v>8.4352961115219689E-3</v>
      </c>
    </row>
    <row r="28" spans="1:19" ht="13.8">
      <c r="E28" s="9" t="s">
        <v>431</v>
      </c>
      <c r="F28" s="9"/>
      <c r="G28" s="31">
        <f t="shared" ref="G28:K28" si="3">0.05/G26</f>
        <v>3.1064065239483584E-2</v>
      </c>
      <c r="H28" s="31">
        <f t="shared" si="3"/>
        <v>3.105580691123146E-2</v>
      </c>
      <c r="I28" s="31">
        <f t="shared" si="3"/>
        <v>2.7932604646960613E-2</v>
      </c>
      <c r="J28" s="31">
        <f t="shared" si="3"/>
        <v>2.8403943460610832E-2</v>
      </c>
      <c r="K28" s="31">
        <f t="shared" si="3"/>
        <v>2.1088240278804921E-2</v>
      </c>
    </row>
    <row r="29" spans="1:19" ht="13.8">
      <c r="B29" s="1" t="s">
        <v>42</v>
      </c>
      <c r="C29" s="1" t="s">
        <v>432</v>
      </c>
    </row>
    <row r="31" spans="1:19" ht="13.8">
      <c r="E31" s="75" t="s">
        <v>433</v>
      </c>
      <c r="F31" s="5"/>
      <c r="G31" s="5"/>
      <c r="H31" s="5"/>
      <c r="I31" s="5"/>
      <c r="J31" s="5"/>
    </row>
    <row r="32" spans="1:19" ht="13.8">
      <c r="E32" s="1" t="s">
        <v>36</v>
      </c>
      <c r="F32" s="1" t="s">
        <v>39</v>
      </c>
      <c r="G32" s="1" t="s">
        <v>380</v>
      </c>
      <c r="H32" s="1" t="s">
        <v>381</v>
      </c>
      <c r="I32" s="1" t="s">
        <v>263</v>
      </c>
      <c r="J32" s="1" t="s">
        <v>264</v>
      </c>
      <c r="L32" s="1" t="s">
        <v>309</v>
      </c>
      <c r="M32" s="1" t="s">
        <v>315</v>
      </c>
      <c r="N32" s="1" t="s">
        <v>310</v>
      </c>
      <c r="O32" s="1">
        <v>0.02</v>
      </c>
      <c r="P32" s="32" t="s">
        <v>311</v>
      </c>
      <c r="S32" s="32"/>
    </row>
    <row r="33" spans="4:17" ht="14.4">
      <c r="D33" s="102" t="s">
        <v>382</v>
      </c>
      <c r="E33" s="1" t="s">
        <v>389</v>
      </c>
      <c r="F33" s="1" t="s">
        <v>390</v>
      </c>
      <c r="G33" s="1" t="s">
        <v>390</v>
      </c>
      <c r="H33" s="1" t="s">
        <v>390</v>
      </c>
      <c r="I33" s="1" t="s">
        <v>390</v>
      </c>
      <c r="J33" s="1" t="s">
        <v>390</v>
      </c>
      <c r="L33" s="32" t="s">
        <v>309</v>
      </c>
      <c r="M33" s="32" t="s">
        <v>39</v>
      </c>
      <c r="N33" s="32" t="s">
        <v>310</v>
      </c>
      <c r="O33" s="58">
        <v>1.2786582425967306E-2</v>
      </c>
      <c r="P33" s="32" t="s">
        <v>311</v>
      </c>
    </row>
    <row r="34" spans="4:17" ht="13.8">
      <c r="D34" s="104" t="s">
        <v>391</v>
      </c>
      <c r="E34" s="77" t="b">
        <f t="shared" ref="E34:E53" si="4">F4&gt;0.02</f>
        <v>1</v>
      </c>
      <c r="F34" s="77" t="b">
        <f t="shared" ref="F34:G49" si="5">G4&gt;0.013</f>
        <v>1</v>
      </c>
      <c r="G34" s="77" t="b">
        <f t="shared" si="5"/>
        <v>1</v>
      </c>
      <c r="H34" s="77" t="b">
        <f t="shared" ref="H34:H53" si="6">I4&gt;0.011</f>
        <v>1</v>
      </c>
      <c r="I34" s="77" t="b">
        <f t="shared" ref="I34:I53" si="7">J4&gt;0.012</f>
        <v>1</v>
      </c>
      <c r="J34" s="77" t="b">
        <f t="shared" ref="J34:J53" si="8">K4&gt;0.009</f>
        <v>1</v>
      </c>
      <c r="L34" s="32" t="s">
        <v>309</v>
      </c>
      <c r="M34" s="1" t="s">
        <v>380</v>
      </c>
      <c r="N34" s="32" t="s">
        <v>310</v>
      </c>
      <c r="O34" s="14">
        <v>1.2632177403031819E-2</v>
      </c>
      <c r="P34" s="32" t="s">
        <v>311</v>
      </c>
    </row>
    <row r="35" spans="4:17" ht="13.8">
      <c r="D35" s="112" t="s">
        <v>393</v>
      </c>
      <c r="E35" s="77" t="b">
        <f t="shared" si="4"/>
        <v>1</v>
      </c>
      <c r="F35" s="77" t="b">
        <f t="shared" si="5"/>
        <v>1</v>
      </c>
      <c r="G35" s="77" t="b">
        <f t="shared" si="5"/>
        <v>1</v>
      </c>
      <c r="H35" s="77" t="b">
        <f t="shared" si="6"/>
        <v>1</v>
      </c>
      <c r="I35" s="77" t="b">
        <f t="shared" si="7"/>
        <v>1</v>
      </c>
      <c r="J35" s="77" t="b">
        <f t="shared" si="8"/>
        <v>1</v>
      </c>
      <c r="L35" s="32" t="s">
        <v>309</v>
      </c>
      <c r="M35" s="1" t="s">
        <v>381</v>
      </c>
      <c r="N35" s="32" t="s">
        <v>310</v>
      </c>
      <c r="O35" s="14">
        <v>1.1438493147334326E-2</v>
      </c>
      <c r="P35" s="32" t="s">
        <v>311</v>
      </c>
    </row>
    <row r="36" spans="4:17" ht="13.8">
      <c r="D36" s="112" t="s">
        <v>395</v>
      </c>
      <c r="E36" s="77" t="b">
        <f t="shared" si="4"/>
        <v>1</v>
      </c>
      <c r="F36" s="77" t="b">
        <f t="shared" si="5"/>
        <v>1</v>
      </c>
      <c r="G36" s="77" t="b">
        <f t="shared" si="5"/>
        <v>1</v>
      </c>
      <c r="H36" s="77" t="b">
        <f t="shared" si="6"/>
        <v>1</v>
      </c>
      <c r="I36" s="77" t="b">
        <f t="shared" si="7"/>
        <v>1</v>
      </c>
      <c r="J36" s="77" t="b">
        <f t="shared" si="8"/>
        <v>1</v>
      </c>
      <c r="L36" s="32" t="s">
        <v>309</v>
      </c>
      <c r="M36" s="1" t="s">
        <v>263</v>
      </c>
      <c r="N36" s="32" t="s">
        <v>310</v>
      </c>
      <c r="O36" s="14">
        <v>1.1573289912010926E-2</v>
      </c>
      <c r="P36" s="32" t="s">
        <v>311</v>
      </c>
    </row>
    <row r="37" spans="4:17" ht="13.8">
      <c r="D37" s="112" t="s">
        <v>397</v>
      </c>
      <c r="E37" s="77" t="b">
        <f t="shared" si="4"/>
        <v>1</v>
      </c>
      <c r="F37" s="77" t="b">
        <f t="shared" si="5"/>
        <v>1</v>
      </c>
      <c r="G37" s="77" t="b">
        <f t="shared" si="5"/>
        <v>1</v>
      </c>
      <c r="H37" s="77" t="b">
        <f t="shared" si="6"/>
        <v>1</v>
      </c>
      <c r="I37" s="77" t="b">
        <f t="shared" si="7"/>
        <v>1</v>
      </c>
      <c r="J37" s="77" t="b">
        <f t="shared" si="8"/>
        <v>1</v>
      </c>
      <c r="L37" s="32" t="s">
        <v>309</v>
      </c>
      <c r="M37" s="1" t="s">
        <v>264</v>
      </c>
      <c r="N37" s="32" t="s">
        <v>310</v>
      </c>
      <c r="O37" s="14">
        <v>8.712008734027556E-3</v>
      </c>
      <c r="P37" s="32" t="s">
        <v>311</v>
      </c>
    </row>
    <row r="38" spans="4:17" ht="13.8">
      <c r="D38" s="112" t="s">
        <v>399</v>
      </c>
      <c r="E38" s="77" t="b">
        <f t="shared" si="4"/>
        <v>1</v>
      </c>
      <c r="F38" s="77" t="b">
        <f t="shared" si="5"/>
        <v>1</v>
      </c>
      <c r="G38" s="77" t="b">
        <f t="shared" si="5"/>
        <v>1</v>
      </c>
      <c r="H38" s="77" t="b">
        <f t="shared" si="6"/>
        <v>1</v>
      </c>
      <c r="I38" s="77" t="b">
        <f t="shared" si="7"/>
        <v>1</v>
      </c>
      <c r="J38" s="77" t="b">
        <f t="shared" si="8"/>
        <v>1</v>
      </c>
    </row>
    <row r="39" spans="4:17" ht="13.8">
      <c r="D39" s="112" t="s">
        <v>401</v>
      </c>
      <c r="E39" s="77" t="b">
        <f t="shared" si="4"/>
        <v>1</v>
      </c>
      <c r="F39" s="77" t="b">
        <f t="shared" si="5"/>
        <v>1</v>
      </c>
      <c r="G39" s="77" t="b">
        <f t="shared" si="5"/>
        <v>1</v>
      </c>
      <c r="H39" s="77" t="b">
        <f t="shared" si="6"/>
        <v>1</v>
      </c>
      <c r="I39" s="77" t="b">
        <f t="shared" si="7"/>
        <v>1</v>
      </c>
      <c r="J39" s="77" t="b">
        <f t="shared" si="8"/>
        <v>1</v>
      </c>
    </row>
    <row r="40" spans="4:17" ht="13.8">
      <c r="D40" s="112" t="s">
        <v>403</v>
      </c>
      <c r="E40" s="77" t="b">
        <f t="shared" si="4"/>
        <v>1</v>
      </c>
      <c r="F40" s="77" t="b">
        <f t="shared" si="5"/>
        <v>1</v>
      </c>
      <c r="G40" s="77" t="b">
        <f t="shared" si="5"/>
        <v>1</v>
      </c>
      <c r="H40" s="77" t="b">
        <f t="shared" si="6"/>
        <v>1</v>
      </c>
      <c r="I40" s="77" t="b">
        <f t="shared" si="7"/>
        <v>1</v>
      </c>
      <c r="J40" s="77" t="b">
        <f t="shared" si="8"/>
        <v>1</v>
      </c>
    </row>
    <row r="41" spans="4:17" ht="13.8">
      <c r="D41" s="112" t="s">
        <v>405</v>
      </c>
      <c r="E41" s="77" t="b">
        <f t="shared" si="4"/>
        <v>1</v>
      </c>
      <c r="F41" s="77" t="b">
        <f t="shared" si="5"/>
        <v>1</v>
      </c>
      <c r="G41" s="77" t="b">
        <f t="shared" si="5"/>
        <v>1</v>
      </c>
      <c r="H41" s="77" t="b">
        <f t="shared" si="6"/>
        <v>1</v>
      </c>
      <c r="I41" s="77" t="b">
        <f t="shared" si="7"/>
        <v>1</v>
      </c>
      <c r="J41" s="77" t="b">
        <f t="shared" si="8"/>
        <v>1</v>
      </c>
    </row>
    <row r="42" spans="4:17" ht="13.8">
      <c r="D42" s="112" t="s">
        <v>407</v>
      </c>
      <c r="E42" s="77" t="b">
        <f t="shared" si="4"/>
        <v>1</v>
      </c>
      <c r="F42" s="77" t="b">
        <f t="shared" si="5"/>
        <v>1</v>
      </c>
      <c r="G42" s="77" t="b">
        <f t="shared" si="5"/>
        <v>1</v>
      </c>
      <c r="H42" s="77" t="b">
        <f t="shared" si="6"/>
        <v>1</v>
      </c>
      <c r="I42" s="77" t="b">
        <f t="shared" si="7"/>
        <v>1</v>
      </c>
      <c r="J42" s="77" t="b">
        <f t="shared" si="8"/>
        <v>1</v>
      </c>
    </row>
    <row r="43" spans="4:17" ht="13.8">
      <c r="D43" s="112" t="s">
        <v>409</v>
      </c>
      <c r="E43" s="77" t="b">
        <f t="shared" si="4"/>
        <v>1</v>
      </c>
      <c r="F43" s="77" t="b">
        <f t="shared" si="5"/>
        <v>1</v>
      </c>
      <c r="G43" s="77" t="b">
        <f t="shared" si="5"/>
        <v>1</v>
      </c>
      <c r="H43" s="77" t="b">
        <f t="shared" si="6"/>
        <v>1</v>
      </c>
      <c r="I43" s="77" t="b">
        <f t="shared" si="7"/>
        <v>1</v>
      </c>
      <c r="J43" s="77" t="b">
        <f t="shared" si="8"/>
        <v>1</v>
      </c>
    </row>
    <row r="44" spans="4:17" ht="13.8">
      <c r="D44" s="112" t="s">
        <v>411</v>
      </c>
      <c r="E44" s="77" t="b">
        <f t="shared" si="4"/>
        <v>1</v>
      </c>
      <c r="F44" s="77" t="b">
        <f t="shared" si="5"/>
        <v>1</v>
      </c>
      <c r="G44" s="77" t="b">
        <f t="shared" si="5"/>
        <v>1</v>
      </c>
      <c r="H44" s="77" t="b">
        <f t="shared" si="6"/>
        <v>1</v>
      </c>
      <c r="I44" s="77" t="b">
        <f t="shared" si="7"/>
        <v>1</v>
      </c>
      <c r="J44" s="77" t="b">
        <f t="shared" si="8"/>
        <v>1</v>
      </c>
    </row>
    <row r="45" spans="4:17" ht="13.8">
      <c r="D45" s="112" t="s">
        <v>413</v>
      </c>
      <c r="E45" s="77" t="b">
        <f t="shared" si="4"/>
        <v>1</v>
      </c>
      <c r="F45" s="77" t="b">
        <f t="shared" si="5"/>
        <v>1</v>
      </c>
      <c r="G45" s="77" t="b">
        <f t="shared" si="5"/>
        <v>1</v>
      </c>
      <c r="H45" s="77" t="b">
        <f t="shared" si="6"/>
        <v>1</v>
      </c>
      <c r="I45" s="77" t="b">
        <f t="shared" si="7"/>
        <v>1</v>
      </c>
      <c r="J45" s="77" t="b">
        <f t="shared" si="8"/>
        <v>1</v>
      </c>
    </row>
    <row r="46" spans="4:17" ht="13.8">
      <c r="D46" s="112" t="s">
        <v>414</v>
      </c>
      <c r="E46" s="77" t="b">
        <f t="shared" si="4"/>
        <v>1</v>
      </c>
      <c r="F46" s="77" t="b">
        <f t="shared" si="5"/>
        <v>1</v>
      </c>
      <c r="G46" s="77" t="b">
        <f t="shared" si="5"/>
        <v>1</v>
      </c>
      <c r="H46" s="77" t="b">
        <f t="shared" si="6"/>
        <v>1</v>
      </c>
      <c r="I46" s="77" t="b">
        <f t="shared" si="7"/>
        <v>1</v>
      </c>
      <c r="J46" s="77" t="b">
        <f t="shared" si="8"/>
        <v>1</v>
      </c>
    </row>
    <row r="47" spans="4:17" ht="13.8">
      <c r="D47" s="112" t="s">
        <v>415</v>
      </c>
      <c r="E47" s="77" t="b">
        <f t="shared" si="4"/>
        <v>1</v>
      </c>
      <c r="F47" s="77" t="b">
        <f t="shared" si="5"/>
        <v>1</v>
      </c>
      <c r="G47" s="77" t="b">
        <f t="shared" si="5"/>
        <v>1</v>
      </c>
      <c r="H47" s="77" t="b">
        <f t="shared" si="6"/>
        <v>1</v>
      </c>
      <c r="I47" s="77" t="b">
        <f t="shared" si="7"/>
        <v>1</v>
      </c>
      <c r="J47" s="77" t="b">
        <f t="shared" si="8"/>
        <v>1</v>
      </c>
      <c r="M47" s="14"/>
      <c r="N47" s="14"/>
      <c r="O47" s="14"/>
      <c r="P47" s="14"/>
      <c r="Q47" s="14"/>
    </row>
    <row r="48" spans="4:17" ht="13.8">
      <c r="D48" s="112" t="s">
        <v>417</v>
      </c>
      <c r="E48" s="77" t="b">
        <f t="shared" si="4"/>
        <v>1</v>
      </c>
      <c r="F48" s="77" t="b">
        <f t="shared" si="5"/>
        <v>1</v>
      </c>
      <c r="G48" s="77" t="b">
        <f t="shared" si="5"/>
        <v>1</v>
      </c>
      <c r="H48" s="77" t="b">
        <f t="shared" si="6"/>
        <v>1</v>
      </c>
      <c r="I48" s="77" t="b">
        <f t="shared" si="7"/>
        <v>1</v>
      </c>
      <c r="J48" s="77" t="b">
        <f t="shared" si="8"/>
        <v>1</v>
      </c>
    </row>
    <row r="49" spans="4:11" ht="13.8">
      <c r="D49" s="112" t="s">
        <v>418</v>
      </c>
      <c r="E49" s="77" t="b">
        <f t="shared" si="4"/>
        <v>1</v>
      </c>
      <c r="F49" s="77" t="b">
        <f t="shared" si="5"/>
        <v>1</v>
      </c>
      <c r="G49" s="77" t="b">
        <f t="shared" si="5"/>
        <v>1</v>
      </c>
      <c r="H49" s="77" t="b">
        <f t="shared" si="6"/>
        <v>1</v>
      </c>
      <c r="I49" s="77" t="b">
        <f t="shared" si="7"/>
        <v>1</v>
      </c>
      <c r="J49" s="77" t="b">
        <f t="shared" si="8"/>
        <v>1</v>
      </c>
    </row>
    <row r="50" spans="4:11" ht="13.8">
      <c r="D50" s="112" t="s">
        <v>419</v>
      </c>
      <c r="E50" s="77" t="b">
        <f t="shared" si="4"/>
        <v>1</v>
      </c>
      <c r="F50" s="77" t="b">
        <f t="shared" ref="F50:G53" si="9">G20&gt;0.013</f>
        <v>1</v>
      </c>
      <c r="G50" s="77" t="b">
        <f t="shared" si="9"/>
        <v>1</v>
      </c>
      <c r="H50" s="77" t="b">
        <f t="shared" si="6"/>
        <v>1</v>
      </c>
      <c r="I50" s="77" t="b">
        <f t="shared" si="7"/>
        <v>1</v>
      </c>
      <c r="J50" s="77" t="b">
        <f t="shared" si="8"/>
        <v>1</v>
      </c>
    </row>
    <row r="51" spans="4:11" ht="13.8">
      <c r="D51" s="112" t="s">
        <v>421</v>
      </c>
      <c r="E51" s="77" t="b">
        <f t="shared" si="4"/>
        <v>1</v>
      </c>
      <c r="F51" s="77" t="b">
        <f t="shared" si="9"/>
        <v>1</v>
      </c>
      <c r="G51" s="77" t="b">
        <f t="shared" si="9"/>
        <v>1</v>
      </c>
      <c r="H51" s="77" t="b">
        <f t="shared" si="6"/>
        <v>1</v>
      </c>
      <c r="I51" s="77" t="b">
        <f t="shared" si="7"/>
        <v>1</v>
      </c>
      <c r="J51" s="77" t="b">
        <f t="shared" si="8"/>
        <v>1</v>
      </c>
    </row>
    <row r="52" spans="4:11" ht="13.8">
      <c r="D52" s="112" t="s">
        <v>423</v>
      </c>
      <c r="E52" s="77" t="b">
        <f t="shared" si="4"/>
        <v>1</v>
      </c>
      <c r="F52" s="77" t="b">
        <f t="shared" si="9"/>
        <v>1</v>
      </c>
      <c r="G52" s="77" t="b">
        <f t="shared" si="9"/>
        <v>1</v>
      </c>
      <c r="H52" s="77" t="b">
        <f t="shared" si="6"/>
        <v>1</v>
      </c>
      <c r="I52" s="77" t="b">
        <f t="shared" si="7"/>
        <v>1</v>
      </c>
      <c r="J52" s="77" t="b">
        <f t="shared" si="8"/>
        <v>1</v>
      </c>
    </row>
    <row r="53" spans="4:11" ht="13.8">
      <c r="D53" s="112" t="s">
        <v>425</v>
      </c>
      <c r="E53" s="77" t="b">
        <f t="shared" si="4"/>
        <v>1</v>
      </c>
      <c r="F53" s="77" t="b">
        <f t="shared" si="9"/>
        <v>1</v>
      </c>
      <c r="G53" s="77" t="b">
        <f t="shared" si="9"/>
        <v>1</v>
      </c>
      <c r="H53" s="77" t="b">
        <f t="shared" si="6"/>
        <v>1</v>
      </c>
      <c r="I53" s="77" t="b">
        <f t="shared" si="7"/>
        <v>1</v>
      </c>
      <c r="J53" s="77" t="b">
        <f t="shared" si="8"/>
        <v>1</v>
      </c>
    </row>
    <row r="55" spans="4:11" ht="13.8">
      <c r="E55" s="75" t="s">
        <v>434</v>
      </c>
      <c r="F55" s="5"/>
      <c r="G55" s="5"/>
      <c r="H55" s="5"/>
      <c r="I55" s="5"/>
      <c r="J55" s="5"/>
    </row>
    <row r="57" spans="4:11" ht="14.4">
      <c r="E57" s="1" t="s">
        <v>36</v>
      </c>
      <c r="F57" s="1" t="s">
        <v>39</v>
      </c>
      <c r="G57" s="1" t="s">
        <v>380</v>
      </c>
      <c r="H57" s="1" t="s">
        <v>381</v>
      </c>
      <c r="I57" s="1" t="s">
        <v>263</v>
      </c>
      <c r="J57" s="1" t="s">
        <v>264</v>
      </c>
      <c r="K57" s="102"/>
    </row>
    <row r="58" spans="4:11" ht="13.8">
      <c r="D58" s="104" t="s">
        <v>391</v>
      </c>
      <c r="E58" s="77" t="b">
        <f t="shared" ref="E58:E77" si="10">F4&gt;0.05</f>
        <v>1</v>
      </c>
      <c r="F58" s="77" t="b">
        <f t="shared" ref="F58:G73" si="11">G4&gt;0.032</f>
        <v>1</v>
      </c>
      <c r="G58" s="77" t="b">
        <f t="shared" si="11"/>
        <v>1</v>
      </c>
      <c r="H58" s="77" t="b">
        <f t="shared" ref="H58:I73" si="12">I4&gt;0.029</f>
        <v>1</v>
      </c>
      <c r="I58" s="77" t="b">
        <f t="shared" si="12"/>
        <v>1</v>
      </c>
      <c r="J58" s="77" t="b">
        <f t="shared" ref="J58:J77" si="13">K4&gt;0.022</f>
        <v>1</v>
      </c>
    </row>
    <row r="59" spans="4:11" ht="13.8">
      <c r="D59" s="112" t="s">
        <v>393</v>
      </c>
      <c r="E59" s="77" t="b">
        <f t="shared" si="10"/>
        <v>1</v>
      </c>
      <c r="F59" s="77" t="b">
        <f t="shared" si="11"/>
        <v>1</v>
      </c>
      <c r="G59" s="77" t="b">
        <f t="shared" si="11"/>
        <v>1</v>
      </c>
      <c r="H59" s="77" t="b">
        <f t="shared" si="12"/>
        <v>1</v>
      </c>
      <c r="I59" s="77" t="b">
        <f t="shared" si="12"/>
        <v>1</v>
      </c>
      <c r="J59" s="77" t="b">
        <f t="shared" si="13"/>
        <v>1</v>
      </c>
    </row>
    <row r="60" spans="4:11" ht="13.8">
      <c r="D60" s="112" t="s">
        <v>395</v>
      </c>
      <c r="E60" s="78" t="b">
        <f t="shared" si="10"/>
        <v>0</v>
      </c>
      <c r="F60" s="77" t="b">
        <f t="shared" si="11"/>
        <v>1</v>
      </c>
      <c r="G60" s="77" t="b">
        <f t="shared" si="11"/>
        <v>1</v>
      </c>
      <c r="H60" s="77" t="b">
        <f t="shared" si="12"/>
        <v>1</v>
      </c>
      <c r="I60" s="77" t="b">
        <f t="shared" si="12"/>
        <v>1</v>
      </c>
      <c r="J60" s="77" t="b">
        <f t="shared" si="13"/>
        <v>1</v>
      </c>
    </row>
    <row r="61" spans="4:11" ht="13.8">
      <c r="D61" s="112" t="s">
        <v>397</v>
      </c>
      <c r="E61" s="77" t="b">
        <f t="shared" si="10"/>
        <v>1</v>
      </c>
      <c r="F61" s="77" t="b">
        <f t="shared" si="11"/>
        <v>1</v>
      </c>
      <c r="G61" s="77" t="b">
        <f t="shared" si="11"/>
        <v>1</v>
      </c>
      <c r="H61" s="77" t="b">
        <f t="shared" si="12"/>
        <v>1</v>
      </c>
      <c r="I61" s="77" t="b">
        <f t="shared" si="12"/>
        <v>1</v>
      </c>
      <c r="J61" s="77" t="b">
        <f t="shared" si="13"/>
        <v>1</v>
      </c>
    </row>
    <row r="62" spans="4:11" ht="13.8">
      <c r="D62" s="112" t="s">
        <v>399</v>
      </c>
      <c r="E62" s="77" t="b">
        <f t="shared" si="10"/>
        <v>1</v>
      </c>
      <c r="F62" s="77" t="b">
        <f t="shared" si="11"/>
        <v>1</v>
      </c>
      <c r="G62" s="77" t="b">
        <f t="shared" si="11"/>
        <v>1</v>
      </c>
      <c r="H62" s="77" t="b">
        <f t="shared" si="12"/>
        <v>1</v>
      </c>
      <c r="I62" s="77" t="b">
        <f t="shared" si="12"/>
        <v>1</v>
      </c>
      <c r="J62" s="77" t="b">
        <f t="shared" si="13"/>
        <v>1</v>
      </c>
    </row>
    <row r="63" spans="4:11" ht="13.8">
      <c r="D63" s="112" t="s">
        <v>401</v>
      </c>
      <c r="E63" s="77" t="b">
        <f t="shared" si="10"/>
        <v>1</v>
      </c>
      <c r="F63" s="77" t="b">
        <f t="shared" si="11"/>
        <v>1</v>
      </c>
      <c r="G63" s="77" t="b">
        <f t="shared" si="11"/>
        <v>1</v>
      </c>
      <c r="H63" s="77" t="b">
        <f t="shared" si="12"/>
        <v>1</v>
      </c>
      <c r="I63" s="77" t="b">
        <f t="shared" si="12"/>
        <v>1</v>
      </c>
      <c r="J63" s="77" t="b">
        <f t="shared" si="13"/>
        <v>1</v>
      </c>
    </row>
    <row r="64" spans="4:11" ht="13.8">
      <c r="D64" s="112" t="s">
        <v>403</v>
      </c>
      <c r="E64" s="77" t="b">
        <f t="shared" si="10"/>
        <v>1</v>
      </c>
      <c r="F64" s="77" t="b">
        <f t="shared" si="11"/>
        <v>1</v>
      </c>
      <c r="G64" s="77" t="b">
        <f t="shared" si="11"/>
        <v>1</v>
      </c>
      <c r="H64" s="77" t="b">
        <f t="shared" si="12"/>
        <v>1</v>
      </c>
      <c r="I64" s="77" t="b">
        <f t="shared" si="12"/>
        <v>1</v>
      </c>
      <c r="J64" s="77" t="b">
        <f t="shared" si="13"/>
        <v>1</v>
      </c>
    </row>
    <row r="65" spans="4:10" ht="13.8">
      <c r="D65" s="112" t="s">
        <v>405</v>
      </c>
      <c r="E65" s="77" t="b">
        <f t="shared" si="10"/>
        <v>1</v>
      </c>
      <c r="F65" s="77" t="b">
        <f t="shared" si="11"/>
        <v>1</v>
      </c>
      <c r="G65" s="77" t="b">
        <f t="shared" si="11"/>
        <v>1</v>
      </c>
      <c r="H65" s="77" t="b">
        <f t="shared" si="12"/>
        <v>1</v>
      </c>
      <c r="I65" s="77" t="b">
        <f t="shared" si="12"/>
        <v>1</v>
      </c>
      <c r="J65" s="77" t="b">
        <f t="shared" si="13"/>
        <v>1</v>
      </c>
    </row>
    <row r="66" spans="4:10" ht="13.8">
      <c r="D66" s="112" t="s">
        <v>407</v>
      </c>
      <c r="E66" s="77" t="b">
        <f t="shared" si="10"/>
        <v>1</v>
      </c>
      <c r="F66" s="77" t="b">
        <f t="shared" si="11"/>
        <v>1</v>
      </c>
      <c r="G66" s="77" t="b">
        <f t="shared" si="11"/>
        <v>1</v>
      </c>
      <c r="H66" s="77" t="b">
        <f t="shared" si="12"/>
        <v>1</v>
      </c>
      <c r="I66" s="77" t="b">
        <f t="shared" si="12"/>
        <v>1</v>
      </c>
      <c r="J66" s="77" t="b">
        <f t="shared" si="13"/>
        <v>1</v>
      </c>
    </row>
    <row r="67" spans="4:10" ht="13.8">
      <c r="D67" s="112" t="s">
        <v>409</v>
      </c>
      <c r="E67" s="78" t="b">
        <f t="shared" si="10"/>
        <v>0</v>
      </c>
      <c r="F67" s="77" t="b">
        <f t="shared" si="11"/>
        <v>1</v>
      </c>
      <c r="G67" s="78" t="b">
        <f t="shared" si="11"/>
        <v>0</v>
      </c>
      <c r="H67" s="78" t="b">
        <f t="shared" si="12"/>
        <v>0</v>
      </c>
      <c r="I67" s="77" t="b">
        <f t="shared" si="12"/>
        <v>1</v>
      </c>
      <c r="J67" s="78" t="b">
        <f t="shared" si="13"/>
        <v>0</v>
      </c>
    </row>
    <row r="68" spans="4:10" ht="13.8">
      <c r="D68" s="112" t="s">
        <v>411</v>
      </c>
      <c r="E68" s="77" t="b">
        <f t="shared" si="10"/>
        <v>1</v>
      </c>
      <c r="F68" s="78" t="b">
        <f t="shared" si="11"/>
        <v>0</v>
      </c>
      <c r="G68" s="78" t="b">
        <f t="shared" si="11"/>
        <v>0</v>
      </c>
      <c r="H68" s="78" t="b">
        <f t="shared" si="12"/>
        <v>0</v>
      </c>
      <c r="I68" s="77" t="b">
        <f t="shared" si="12"/>
        <v>1</v>
      </c>
      <c r="J68" s="78" t="b">
        <f t="shared" si="13"/>
        <v>0</v>
      </c>
    </row>
    <row r="69" spans="4:10" ht="13.8">
      <c r="D69" s="112" t="s">
        <v>413</v>
      </c>
      <c r="E69" s="78" t="b">
        <f t="shared" si="10"/>
        <v>0</v>
      </c>
      <c r="F69" s="78" t="b">
        <f t="shared" si="11"/>
        <v>0</v>
      </c>
      <c r="G69" s="78" t="b">
        <f t="shared" si="11"/>
        <v>0</v>
      </c>
      <c r="H69" s="78" t="b">
        <f t="shared" si="12"/>
        <v>0</v>
      </c>
      <c r="I69" s="77" t="b">
        <f t="shared" si="12"/>
        <v>1</v>
      </c>
      <c r="J69" s="78" t="b">
        <f t="shared" si="13"/>
        <v>0</v>
      </c>
    </row>
    <row r="70" spans="4:10" ht="13.8">
      <c r="D70" s="112" t="s">
        <v>414</v>
      </c>
      <c r="E70" s="77" t="b">
        <f t="shared" si="10"/>
        <v>1</v>
      </c>
      <c r="F70" s="77" t="b">
        <f t="shared" si="11"/>
        <v>1</v>
      </c>
      <c r="G70" s="77" t="b">
        <f t="shared" si="11"/>
        <v>1</v>
      </c>
      <c r="H70" s="77" t="b">
        <f t="shared" si="12"/>
        <v>1</v>
      </c>
      <c r="I70" s="77" t="b">
        <f t="shared" si="12"/>
        <v>1</v>
      </c>
      <c r="J70" s="77" t="b">
        <f t="shared" si="13"/>
        <v>1</v>
      </c>
    </row>
    <row r="71" spans="4:10" ht="13.8">
      <c r="D71" s="112" t="s">
        <v>415</v>
      </c>
      <c r="E71" s="77" t="b">
        <f t="shared" si="10"/>
        <v>1</v>
      </c>
      <c r="F71" s="77" t="b">
        <f t="shared" si="11"/>
        <v>1</v>
      </c>
      <c r="G71" s="77" t="b">
        <f t="shared" si="11"/>
        <v>1</v>
      </c>
      <c r="H71" s="77" t="b">
        <f t="shared" si="12"/>
        <v>1</v>
      </c>
      <c r="I71" s="77" t="b">
        <f t="shared" si="12"/>
        <v>1</v>
      </c>
      <c r="J71" s="77" t="b">
        <f t="shared" si="13"/>
        <v>1</v>
      </c>
    </row>
    <row r="72" spans="4:10" ht="13.8">
      <c r="D72" s="112" t="s">
        <v>417</v>
      </c>
      <c r="E72" s="77" t="b">
        <f t="shared" si="10"/>
        <v>1</v>
      </c>
      <c r="F72" s="77" t="b">
        <f t="shared" si="11"/>
        <v>1</v>
      </c>
      <c r="G72" s="77" t="b">
        <f t="shared" si="11"/>
        <v>1</v>
      </c>
      <c r="H72" s="78" t="b">
        <f t="shared" si="12"/>
        <v>0</v>
      </c>
      <c r="I72" s="77" t="b">
        <f t="shared" si="12"/>
        <v>1</v>
      </c>
      <c r="J72" s="78" t="b">
        <f t="shared" si="13"/>
        <v>0</v>
      </c>
    </row>
    <row r="73" spans="4:10" ht="13.8">
      <c r="D73" s="112" t="s">
        <v>418</v>
      </c>
      <c r="E73" s="77" t="b">
        <f t="shared" si="10"/>
        <v>1</v>
      </c>
      <c r="F73" s="77" t="b">
        <f t="shared" si="11"/>
        <v>1</v>
      </c>
      <c r="G73" s="77" t="b">
        <f t="shared" si="11"/>
        <v>1</v>
      </c>
      <c r="H73" s="78" t="b">
        <f t="shared" si="12"/>
        <v>0</v>
      </c>
      <c r="I73" s="77" t="b">
        <f t="shared" si="12"/>
        <v>1</v>
      </c>
      <c r="J73" s="77" t="b">
        <f t="shared" si="13"/>
        <v>1</v>
      </c>
    </row>
    <row r="74" spans="4:10" ht="13.8">
      <c r="D74" s="112" t="s">
        <v>419</v>
      </c>
      <c r="E74" s="78" t="b">
        <f t="shared" si="10"/>
        <v>0</v>
      </c>
      <c r="F74" s="77" t="b">
        <f t="shared" ref="F74:G77" si="14">G20&gt;0.032</f>
        <v>1</v>
      </c>
      <c r="G74" s="77" t="b">
        <f t="shared" si="14"/>
        <v>1</v>
      </c>
      <c r="H74" s="78" t="b">
        <f t="shared" ref="H74:I77" si="15">I20&gt;0.029</f>
        <v>0</v>
      </c>
      <c r="I74" s="77" t="b">
        <f t="shared" si="15"/>
        <v>1</v>
      </c>
      <c r="J74" s="77" t="b">
        <f t="shared" si="13"/>
        <v>1</v>
      </c>
    </row>
    <row r="75" spans="4:10" ht="13.8">
      <c r="D75" s="112" t="s">
        <v>421</v>
      </c>
      <c r="E75" s="77" t="b">
        <f t="shared" si="10"/>
        <v>1</v>
      </c>
      <c r="F75" s="77" t="b">
        <f t="shared" si="14"/>
        <v>1</v>
      </c>
      <c r="G75" s="77" t="b">
        <f t="shared" si="14"/>
        <v>1</v>
      </c>
      <c r="H75" s="77" t="b">
        <f t="shared" si="15"/>
        <v>1</v>
      </c>
      <c r="I75" s="77" t="b">
        <f t="shared" si="15"/>
        <v>1</v>
      </c>
      <c r="J75" s="77" t="b">
        <f t="shared" si="13"/>
        <v>1</v>
      </c>
    </row>
    <row r="76" spans="4:10" ht="13.8">
      <c r="D76" s="112" t="s">
        <v>423</v>
      </c>
      <c r="E76" s="78" t="b">
        <f t="shared" si="10"/>
        <v>0</v>
      </c>
      <c r="F76" s="77" t="b">
        <f t="shared" si="14"/>
        <v>1</v>
      </c>
      <c r="G76" s="77" t="b">
        <f t="shared" si="14"/>
        <v>1</v>
      </c>
      <c r="H76" s="77" t="b">
        <f t="shared" si="15"/>
        <v>1</v>
      </c>
      <c r="I76" s="77" t="b">
        <f t="shared" si="15"/>
        <v>1</v>
      </c>
      <c r="J76" s="77" t="b">
        <f t="shared" si="13"/>
        <v>1</v>
      </c>
    </row>
    <row r="77" spans="4:10" ht="13.8">
      <c r="D77" s="112" t="s">
        <v>425</v>
      </c>
      <c r="E77" s="77" t="b">
        <f t="shared" si="10"/>
        <v>1</v>
      </c>
      <c r="F77" s="77" t="b">
        <f t="shared" si="14"/>
        <v>1</v>
      </c>
      <c r="G77" s="77" t="b">
        <f t="shared" si="14"/>
        <v>1</v>
      </c>
      <c r="H77" s="77" t="b">
        <f t="shared" si="15"/>
        <v>1</v>
      </c>
      <c r="I77" s="77" t="b">
        <f t="shared" si="15"/>
        <v>1</v>
      </c>
      <c r="J77" s="77" t="b">
        <f t="shared" si="13"/>
        <v>1</v>
      </c>
    </row>
    <row r="79" spans="4:10" ht="13.8">
      <c r="D79" s="1" t="s">
        <v>309</v>
      </c>
      <c r="E79" s="1" t="s">
        <v>315</v>
      </c>
      <c r="F79" s="1" t="s">
        <v>310</v>
      </c>
      <c r="G79" s="1">
        <v>0.05</v>
      </c>
      <c r="H79" s="32" t="s">
        <v>312</v>
      </c>
    </row>
    <row r="80" spans="4:10" ht="13.8">
      <c r="D80" s="32" t="s">
        <v>309</v>
      </c>
      <c r="E80" s="32" t="s">
        <v>39</v>
      </c>
      <c r="F80" s="32" t="s">
        <v>310</v>
      </c>
      <c r="G80" s="14">
        <v>3.1966456064918269E-2</v>
      </c>
      <c r="H80" s="32" t="s">
        <v>312</v>
      </c>
    </row>
    <row r="81" spans="4:10" ht="13.8">
      <c r="D81" s="32" t="s">
        <v>309</v>
      </c>
      <c r="E81" s="1" t="s">
        <v>380</v>
      </c>
      <c r="F81" s="32" t="s">
        <v>310</v>
      </c>
      <c r="G81" s="14">
        <v>3.1580443507579554E-2</v>
      </c>
      <c r="H81" s="32" t="s">
        <v>312</v>
      </c>
    </row>
    <row r="82" spans="4:10" ht="13.8">
      <c r="D82" s="32" t="s">
        <v>309</v>
      </c>
      <c r="E82" s="1" t="s">
        <v>381</v>
      </c>
      <c r="F82" s="32" t="s">
        <v>310</v>
      </c>
      <c r="G82" s="14">
        <v>2.8596232868335816E-2</v>
      </c>
      <c r="H82" s="32" t="s">
        <v>312</v>
      </c>
    </row>
    <row r="83" spans="4:10" ht="13.8">
      <c r="D83" s="32" t="s">
        <v>309</v>
      </c>
      <c r="E83" s="1" t="s">
        <v>263</v>
      </c>
      <c r="F83" s="32" t="s">
        <v>310</v>
      </c>
      <c r="G83" s="14">
        <v>2.8933224780027314E-2</v>
      </c>
      <c r="H83" s="32" t="s">
        <v>312</v>
      </c>
    </row>
    <row r="84" spans="4:10" ht="13.8">
      <c r="D84" s="32" t="s">
        <v>309</v>
      </c>
      <c r="E84" s="1" t="s">
        <v>264</v>
      </c>
      <c r="F84" s="32" t="s">
        <v>310</v>
      </c>
      <c r="G84" s="14">
        <v>2.1780021835068889E-2</v>
      </c>
      <c r="H84" s="32" t="s">
        <v>312</v>
      </c>
    </row>
    <row r="86" spans="4:10" ht="13.8">
      <c r="F86" s="16" t="s">
        <v>435</v>
      </c>
    </row>
    <row r="87" spans="4:10" ht="13.8">
      <c r="E87" s="1" t="s">
        <v>36</v>
      </c>
      <c r="F87" s="1" t="s">
        <v>39</v>
      </c>
      <c r="G87" s="1" t="s">
        <v>380</v>
      </c>
      <c r="H87" s="1" t="s">
        <v>381</v>
      </c>
      <c r="I87" s="1" t="s">
        <v>263</v>
      </c>
      <c r="J87" s="1" t="s">
        <v>264</v>
      </c>
    </row>
    <row r="88" spans="4:10" ht="13.8">
      <c r="D88" s="104" t="s">
        <v>391</v>
      </c>
      <c r="E88" s="77" t="b">
        <f t="shared" ref="E88:E107" si="16">F4&gt;0.05</f>
        <v>1</v>
      </c>
      <c r="F88" s="77" t="b">
        <f t="shared" ref="F88:J103" si="17">IF(G4&gt;0.035, IF(G4&gt;0.063, TRUE, FALSE), IF(G4&gt;0.027, TRUE, FALSE))</f>
        <v>1</v>
      </c>
      <c r="G88" s="77" t="b">
        <f t="shared" si="17"/>
        <v>1</v>
      </c>
      <c r="H88" s="77" t="b">
        <f t="shared" si="17"/>
        <v>1</v>
      </c>
      <c r="I88" s="77" t="b">
        <f t="shared" si="17"/>
        <v>1</v>
      </c>
      <c r="J88" s="77" t="b">
        <f t="shared" si="17"/>
        <v>1</v>
      </c>
    </row>
    <row r="89" spans="4:10" ht="13.8">
      <c r="D89" s="112" t="s">
        <v>393</v>
      </c>
      <c r="E89" s="77" t="b">
        <f t="shared" si="16"/>
        <v>1</v>
      </c>
      <c r="F89" s="77" t="b">
        <f t="shared" si="17"/>
        <v>1</v>
      </c>
      <c r="G89" s="77" t="b">
        <f t="shared" si="17"/>
        <v>1</v>
      </c>
      <c r="H89" s="77" t="b">
        <f t="shared" si="17"/>
        <v>1</v>
      </c>
      <c r="I89" s="77" t="b">
        <f t="shared" si="17"/>
        <v>1</v>
      </c>
      <c r="J89" s="78" t="b">
        <f t="shared" si="17"/>
        <v>0</v>
      </c>
    </row>
    <row r="90" spans="4:10" ht="13.8">
      <c r="D90" s="112" t="s">
        <v>395</v>
      </c>
      <c r="E90" s="78" t="b">
        <f t="shared" si="16"/>
        <v>0</v>
      </c>
      <c r="F90" s="78" t="b">
        <f t="shared" si="17"/>
        <v>0</v>
      </c>
      <c r="G90" s="77" t="b">
        <f t="shared" si="17"/>
        <v>1</v>
      </c>
      <c r="H90" s="77" t="b">
        <f t="shared" si="17"/>
        <v>1</v>
      </c>
      <c r="I90" s="78" t="b">
        <f t="shared" si="17"/>
        <v>0</v>
      </c>
      <c r="J90" s="78" t="b">
        <f t="shared" si="17"/>
        <v>0</v>
      </c>
    </row>
    <row r="91" spans="4:10" ht="13.8">
      <c r="D91" s="112" t="s">
        <v>397</v>
      </c>
      <c r="E91" s="77" t="b">
        <f t="shared" si="16"/>
        <v>1</v>
      </c>
      <c r="F91" s="77" t="b">
        <f t="shared" si="17"/>
        <v>1</v>
      </c>
      <c r="G91" s="77" t="b">
        <f t="shared" si="17"/>
        <v>1</v>
      </c>
      <c r="H91" s="77" t="b">
        <f t="shared" si="17"/>
        <v>1</v>
      </c>
      <c r="I91" s="77" t="b">
        <f t="shared" si="17"/>
        <v>1</v>
      </c>
      <c r="J91" s="78" t="b">
        <f t="shared" si="17"/>
        <v>0</v>
      </c>
    </row>
    <row r="92" spans="4:10" ht="13.8">
      <c r="D92" s="112" t="s">
        <v>399</v>
      </c>
      <c r="E92" s="77" t="b">
        <f t="shared" si="16"/>
        <v>1</v>
      </c>
      <c r="F92" s="78" t="b">
        <f t="shared" si="17"/>
        <v>0</v>
      </c>
      <c r="G92" s="78" t="b">
        <f t="shared" si="17"/>
        <v>0</v>
      </c>
      <c r="H92" s="78" t="b">
        <f t="shared" si="17"/>
        <v>0</v>
      </c>
      <c r="I92" s="78" t="b">
        <f t="shared" si="17"/>
        <v>0</v>
      </c>
      <c r="J92" s="78" t="b">
        <f t="shared" si="17"/>
        <v>0</v>
      </c>
    </row>
    <row r="93" spans="4:10" ht="13.8">
      <c r="D93" s="112" t="s">
        <v>401</v>
      </c>
      <c r="E93" s="77" t="b">
        <f t="shared" si="16"/>
        <v>1</v>
      </c>
      <c r="F93" s="78" t="b">
        <f t="shared" si="17"/>
        <v>0</v>
      </c>
      <c r="G93" s="78" t="b">
        <f t="shared" si="17"/>
        <v>0</v>
      </c>
      <c r="H93" s="78" t="b">
        <f t="shared" si="17"/>
        <v>0</v>
      </c>
      <c r="I93" s="78" t="b">
        <f t="shared" si="17"/>
        <v>0</v>
      </c>
      <c r="J93" s="78" t="b">
        <f t="shared" si="17"/>
        <v>0</v>
      </c>
    </row>
    <row r="94" spans="4:10" ht="13.8">
      <c r="D94" s="112" t="s">
        <v>403</v>
      </c>
      <c r="E94" s="77" t="b">
        <f t="shared" si="16"/>
        <v>1</v>
      </c>
      <c r="F94" s="77" t="b">
        <f t="shared" si="17"/>
        <v>1</v>
      </c>
      <c r="G94" s="78" t="b">
        <f t="shared" si="17"/>
        <v>0</v>
      </c>
      <c r="H94" s="78" t="b">
        <f t="shared" si="17"/>
        <v>0</v>
      </c>
      <c r="I94" s="78" t="b">
        <f t="shared" si="17"/>
        <v>0</v>
      </c>
      <c r="J94" s="78" t="b">
        <f t="shared" si="17"/>
        <v>0</v>
      </c>
    </row>
    <row r="95" spans="4:10" ht="13.8">
      <c r="D95" s="112" t="s">
        <v>405</v>
      </c>
      <c r="E95" s="77" t="b">
        <f t="shared" si="16"/>
        <v>1</v>
      </c>
      <c r="F95" s="78" t="b">
        <f t="shared" si="17"/>
        <v>0</v>
      </c>
      <c r="G95" s="78" t="b">
        <f t="shared" si="17"/>
        <v>0</v>
      </c>
      <c r="H95" s="77" t="b">
        <f t="shared" si="17"/>
        <v>1</v>
      </c>
      <c r="I95" s="78" t="b">
        <f t="shared" si="17"/>
        <v>0</v>
      </c>
      <c r="J95" s="78" t="b">
        <f t="shared" si="17"/>
        <v>0</v>
      </c>
    </row>
    <row r="96" spans="4:10" ht="13.8">
      <c r="D96" s="112" t="s">
        <v>407</v>
      </c>
      <c r="E96" s="77" t="b">
        <f t="shared" si="16"/>
        <v>1</v>
      </c>
      <c r="F96" s="78" t="b">
        <f t="shared" si="17"/>
        <v>0</v>
      </c>
      <c r="G96" s="78" t="b">
        <f t="shared" si="17"/>
        <v>0</v>
      </c>
      <c r="H96" s="77" t="b">
        <f t="shared" si="17"/>
        <v>1</v>
      </c>
      <c r="I96" s="78" t="b">
        <f t="shared" si="17"/>
        <v>0</v>
      </c>
      <c r="J96" s="78" t="b">
        <f t="shared" si="17"/>
        <v>1</v>
      </c>
    </row>
    <row r="97" spans="4:10" ht="13.8">
      <c r="D97" s="112" t="s">
        <v>409</v>
      </c>
      <c r="E97" s="78" t="b">
        <f t="shared" si="16"/>
        <v>0</v>
      </c>
      <c r="F97" s="77" t="b">
        <f t="shared" si="17"/>
        <v>1</v>
      </c>
      <c r="G97" s="77" t="b">
        <f t="shared" si="17"/>
        <v>1</v>
      </c>
      <c r="H97" s="78" t="b">
        <f t="shared" si="17"/>
        <v>0</v>
      </c>
      <c r="I97" s="77" t="b">
        <f t="shared" si="17"/>
        <v>1</v>
      </c>
      <c r="J97" s="78" t="b">
        <f t="shared" si="17"/>
        <v>0</v>
      </c>
    </row>
    <row r="98" spans="4:10" ht="13.8">
      <c r="D98" s="112" t="s">
        <v>411</v>
      </c>
      <c r="E98" s="77" t="b">
        <f t="shared" si="16"/>
        <v>1</v>
      </c>
      <c r="F98" s="77" t="b">
        <f t="shared" si="17"/>
        <v>1</v>
      </c>
      <c r="G98" s="77" t="b">
        <f t="shared" si="17"/>
        <v>1</v>
      </c>
      <c r="H98" s="78" t="b">
        <f t="shared" si="17"/>
        <v>0</v>
      </c>
      <c r="I98" s="77" t="b">
        <f t="shared" si="17"/>
        <v>1</v>
      </c>
      <c r="J98" s="78" t="b">
        <f t="shared" si="17"/>
        <v>0</v>
      </c>
    </row>
    <row r="99" spans="4:10" ht="13.8">
      <c r="D99" s="112" t="s">
        <v>413</v>
      </c>
      <c r="E99" s="78" t="b">
        <f t="shared" si="16"/>
        <v>0</v>
      </c>
      <c r="F99" s="77" t="b">
        <f t="shared" si="17"/>
        <v>1</v>
      </c>
      <c r="G99" s="77" t="b">
        <f t="shared" si="17"/>
        <v>1</v>
      </c>
      <c r="H99" s="78" t="b">
        <f t="shared" si="17"/>
        <v>0</v>
      </c>
      <c r="I99" s="77" t="b">
        <f t="shared" si="17"/>
        <v>1</v>
      </c>
      <c r="J99" s="78" t="b">
        <f t="shared" si="17"/>
        <v>0</v>
      </c>
    </row>
    <row r="100" spans="4:10" ht="13.8">
      <c r="D100" s="112" t="s">
        <v>414</v>
      </c>
      <c r="E100" s="77" t="b">
        <f t="shared" si="16"/>
        <v>1</v>
      </c>
      <c r="F100" s="78" t="b">
        <f t="shared" si="17"/>
        <v>0</v>
      </c>
      <c r="G100" s="78" t="b">
        <f t="shared" si="17"/>
        <v>0</v>
      </c>
      <c r="H100" s="78" t="b">
        <f t="shared" si="17"/>
        <v>0</v>
      </c>
      <c r="I100" s="78" t="b">
        <f t="shared" si="17"/>
        <v>0</v>
      </c>
      <c r="J100" s="78" t="b">
        <f t="shared" si="17"/>
        <v>0</v>
      </c>
    </row>
    <row r="101" spans="4:10" ht="13.8">
      <c r="D101" s="112" t="s">
        <v>415</v>
      </c>
      <c r="E101" s="77" t="b">
        <f t="shared" si="16"/>
        <v>1</v>
      </c>
      <c r="F101" s="78" t="b">
        <f t="shared" si="17"/>
        <v>0</v>
      </c>
      <c r="G101" s="78" t="b">
        <f t="shared" si="17"/>
        <v>0</v>
      </c>
      <c r="H101" s="78" t="b">
        <f t="shared" si="17"/>
        <v>0</v>
      </c>
      <c r="I101" s="78" t="b">
        <f t="shared" si="17"/>
        <v>0</v>
      </c>
      <c r="J101" s="78" t="b">
        <f t="shared" si="17"/>
        <v>0</v>
      </c>
    </row>
    <row r="102" spans="4:10" ht="13.8">
      <c r="D102" s="112" t="s">
        <v>417</v>
      </c>
      <c r="E102" s="77" t="b">
        <f t="shared" si="16"/>
        <v>1</v>
      </c>
      <c r="F102" s="78" t="b">
        <f t="shared" si="17"/>
        <v>0</v>
      </c>
      <c r="G102" s="78" t="b">
        <f t="shared" si="17"/>
        <v>0</v>
      </c>
      <c r="H102" s="78" t="b">
        <f t="shared" si="17"/>
        <v>0</v>
      </c>
      <c r="I102" s="77" t="b">
        <f t="shared" si="17"/>
        <v>1</v>
      </c>
      <c r="J102" s="78" t="b">
        <f t="shared" si="17"/>
        <v>0</v>
      </c>
    </row>
    <row r="103" spans="4:10" ht="13.8">
      <c r="D103" s="112" t="s">
        <v>418</v>
      </c>
      <c r="E103" s="77" t="b">
        <f t="shared" si="16"/>
        <v>1</v>
      </c>
      <c r="F103" s="77" t="b">
        <f t="shared" si="17"/>
        <v>1</v>
      </c>
      <c r="G103" s="78" t="b">
        <f t="shared" si="17"/>
        <v>0</v>
      </c>
      <c r="H103" s="77" t="b">
        <f t="shared" si="17"/>
        <v>1</v>
      </c>
      <c r="I103" s="77" t="b">
        <f t="shared" si="17"/>
        <v>1</v>
      </c>
      <c r="J103" s="78" t="b">
        <f t="shared" si="17"/>
        <v>0</v>
      </c>
    </row>
    <row r="104" spans="4:10" ht="13.8">
      <c r="D104" s="112" t="s">
        <v>419</v>
      </c>
      <c r="E104" s="77" t="b">
        <f t="shared" si="16"/>
        <v>0</v>
      </c>
      <c r="F104" s="78" t="b">
        <f t="shared" ref="F104:J107" si="18">IF(G20&gt;0.035, IF(G20&gt;0.063, TRUE, FALSE), IF(G20&gt;0.027, TRUE, FALSE))</f>
        <v>0</v>
      </c>
      <c r="G104" s="77" t="b">
        <f t="shared" si="18"/>
        <v>1</v>
      </c>
      <c r="H104" s="78" t="b">
        <f t="shared" si="18"/>
        <v>0</v>
      </c>
      <c r="I104" s="77" t="b">
        <f t="shared" si="18"/>
        <v>1</v>
      </c>
      <c r="J104" s="78" t="b">
        <f t="shared" si="18"/>
        <v>0</v>
      </c>
    </row>
    <row r="105" spans="4:10" ht="13.8">
      <c r="D105" s="112" t="s">
        <v>421</v>
      </c>
      <c r="E105" s="77" t="b">
        <f t="shared" si="16"/>
        <v>1</v>
      </c>
      <c r="F105" s="78" t="b">
        <f t="shared" si="18"/>
        <v>0</v>
      </c>
      <c r="G105" s="78" t="b">
        <f t="shared" si="18"/>
        <v>0</v>
      </c>
      <c r="H105" s="77" t="b">
        <f t="shared" si="18"/>
        <v>1</v>
      </c>
      <c r="I105" s="78" t="b">
        <f t="shared" si="18"/>
        <v>0</v>
      </c>
      <c r="J105" s="78" t="b">
        <f t="shared" si="18"/>
        <v>0</v>
      </c>
    </row>
    <row r="106" spans="4:10" ht="13.8">
      <c r="D106" s="112" t="s">
        <v>423</v>
      </c>
      <c r="E106" s="78" t="b">
        <f t="shared" si="16"/>
        <v>0</v>
      </c>
      <c r="F106" s="78" t="b">
        <f t="shared" si="18"/>
        <v>0</v>
      </c>
      <c r="G106" s="77" t="b">
        <f t="shared" si="18"/>
        <v>1</v>
      </c>
      <c r="H106" s="77" t="b">
        <f t="shared" si="18"/>
        <v>1</v>
      </c>
      <c r="I106" s="78" t="b">
        <f t="shared" si="18"/>
        <v>0</v>
      </c>
      <c r="J106" s="78" t="b">
        <f t="shared" si="18"/>
        <v>0</v>
      </c>
    </row>
    <row r="107" spans="4:10" ht="13.8">
      <c r="D107" s="112" t="s">
        <v>425</v>
      </c>
      <c r="E107" s="77" t="b">
        <f t="shared" si="16"/>
        <v>1</v>
      </c>
      <c r="F107" s="78" t="b">
        <f t="shared" si="18"/>
        <v>0</v>
      </c>
      <c r="G107" s="78" t="b">
        <f t="shared" si="18"/>
        <v>0</v>
      </c>
      <c r="H107" s="78" t="b">
        <f t="shared" si="18"/>
        <v>0</v>
      </c>
      <c r="I107" s="78" t="b">
        <f t="shared" si="18"/>
        <v>0</v>
      </c>
      <c r="J107" s="77" t="b">
        <f t="shared" si="18"/>
        <v>1</v>
      </c>
    </row>
    <row r="108" spans="4:10" ht="13.8">
      <c r="D108" s="112"/>
    </row>
    <row r="109" spans="4:10" ht="13.8">
      <c r="D109" s="112"/>
    </row>
    <row r="110" spans="4:10" ht="13.8">
      <c r="F110" s="16" t="s">
        <v>436</v>
      </c>
    </row>
    <row r="111" spans="4:10" ht="13.8">
      <c r="E111" s="1" t="s">
        <v>36</v>
      </c>
      <c r="F111" s="1" t="s">
        <v>39</v>
      </c>
      <c r="G111" s="1" t="s">
        <v>380</v>
      </c>
      <c r="H111" s="1" t="s">
        <v>381</v>
      </c>
      <c r="I111" s="1" t="s">
        <v>263</v>
      </c>
      <c r="J111" s="1" t="s">
        <v>264</v>
      </c>
    </row>
    <row r="112" spans="4:10" ht="13.8">
      <c r="D112" s="104" t="s">
        <v>391</v>
      </c>
      <c r="E112" s="77" t="b">
        <f t="shared" ref="E112:E131" si="19">F4&gt;0.05</f>
        <v>1</v>
      </c>
      <c r="F112" s="77" t="b">
        <f t="shared" ref="F112:I127" si="20">IF(G4&gt;0.035, IF(G4&gt;0.063, TRUE, FALSE), IF(G4&gt;0.027, TRUE, FALSE))</f>
        <v>1</v>
      </c>
      <c r="G112" s="77" t="b">
        <f t="shared" si="20"/>
        <v>1</v>
      </c>
      <c r="H112" s="77" t="b">
        <f t="shared" si="20"/>
        <v>1</v>
      </c>
      <c r="I112" s="77" t="b">
        <f t="shared" si="20"/>
        <v>1</v>
      </c>
      <c r="J112" s="77" t="b">
        <f t="shared" ref="J112:J131" si="21">K4&gt;0.027</f>
        <v>1</v>
      </c>
    </row>
    <row r="113" spans="4:10" ht="13.8">
      <c r="D113" s="112" t="s">
        <v>393</v>
      </c>
      <c r="E113" s="77" t="b">
        <f t="shared" si="19"/>
        <v>1</v>
      </c>
      <c r="F113" s="77" t="b">
        <f t="shared" si="20"/>
        <v>1</v>
      </c>
      <c r="G113" s="77" t="b">
        <f t="shared" si="20"/>
        <v>1</v>
      </c>
      <c r="H113" s="77" t="b">
        <f t="shared" si="20"/>
        <v>1</v>
      </c>
      <c r="I113" s="77" t="b">
        <f t="shared" si="20"/>
        <v>1</v>
      </c>
      <c r="J113" s="77" t="b">
        <f t="shared" si="21"/>
        <v>1</v>
      </c>
    </row>
    <row r="114" spans="4:10" ht="13.8">
      <c r="D114" s="112" t="s">
        <v>395</v>
      </c>
      <c r="E114" s="78" t="b">
        <f t="shared" si="19"/>
        <v>0</v>
      </c>
      <c r="F114" s="78" t="b">
        <f t="shared" si="20"/>
        <v>0</v>
      </c>
      <c r="G114" s="77" t="b">
        <f t="shared" si="20"/>
        <v>1</v>
      </c>
      <c r="H114" s="77" t="b">
        <f t="shared" si="20"/>
        <v>1</v>
      </c>
      <c r="I114" s="78" t="b">
        <f t="shared" si="20"/>
        <v>0</v>
      </c>
      <c r="J114" s="78" t="b">
        <f t="shared" si="21"/>
        <v>0</v>
      </c>
    </row>
    <row r="115" spans="4:10" ht="13.8">
      <c r="D115" s="112" t="s">
        <v>397</v>
      </c>
      <c r="E115" s="77" t="b">
        <f t="shared" si="19"/>
        <v>1</v>
      </c>
      <c r="F115" s="77" t="b">
        <f t="shared" si="20"/>
        <v>1</v>
      </c>
      <c r="G115" s="77" t="b">
        <f t="shared" si="20"/>
        <v>1</v>
      </c>
      <c r="H115" s="77" t="b">
        <f t="shared" si="20"/>
        <v>1</v>
      </c>
      <c r="I115" s="77" t="b">
        <f t="shared" si="20"/>
        <v>1</v>
      </c>
      <c r="J115" s="77" t="b">
        <f t="shared" si="21"/>
        <v>1</v>
      </c>
    </row>
    <row r="116" spans="4:10" ht="13.8">
      <c r="D116" s="112" t="s">
        <v>399</v>
      </c>
      <c r="E116" s="77" t="b">
        <f t="shared" si="19"/>
        <v>1</v>
      </c>
      <c r="F116" s="78" t="b">
        <f t="shared" si="20"/>
        <v>0</v>
      </c>
      <c r="G116" s="78" t="b">
        <f t="shared" si="20"/>
        <v>0</v>
      </c>
      <c r="H116" s="78" t="b">
        <f t="shared" si="20"/>
        <v>0</v>
      </c>
      <c r="I116" s="78" t="b">
        <f t="shared" si="20"/>
        <v>0</v>
      </c>
      <c r="J116" s="77" t="b">
        <f t="shared" si="21"/>
        <v>1</v>
      </c>
    </row>
    <row r="117" spans="4:10" ht="13.8">
      <c r="D117" s="112" t="s">
        <v>401</v>
      </c>
      <c r="E117" s="77" t="b">
        <f t="shared" si="19"/>
        <v>1</v>
      </c>
      <c r="F117" s="78" t="b">
        <f t="shared" si="20"/>
        <v>0</v>
      </c>
      <c r="G117" s="78" t="b">
        <f t="shared" si="20"/>
        <v>0</v>
      </c>
      <c r="H117" s="78" t="b">
        <f t="shared" si="20"/>
        <v>0</v>
      </c>
      <c r="I117" s="78" t="b">
        <f t="shared" si="20"/>
        <v>0</v>
      </c>
      <c r="J117" s="77" t="b">
        <f t="shared" si="21"/>
        <v>1</v>
      </c>
    </row>
    <row r="118" spans="4:10" ht="13.8">
      <c r="D118" s="112" t="s">
        <v>403</v>
      </c>
      <c r="E118" s="77" t="b">
        <f t="shared" si="19"/>
        <v>1</v>
      </c>
      <c r="F118" s="77" t="b">
        <f t="shared" si="20"/>
        <v>1</v>
      </c>
      <c r="G118" s="78" t="b">
        <f t="shared" si="20"/>
        <v>0</v>
      </c>
      <c r="H118" s="78" t="b">
        <f t="shared" si="20"/>
        <v>0</v>
      </c>
      <c r="I118" s="78" t="b">
        <f t="shared" si="20"/>
        <v>0</v>
      </c>
      <c r="J118" s="77" t="b">
        <f t="shared" si="21"/>
        <v>1</v>
      </c>
    </row>
    <row r="119" spans="4:10" ht="13.8">
      <c r="D119" s="112" t="s">
        <v>405</v>
      </c>
      <c r="E119" s="77" t="b">
        <f t="shared" si="19"/>
        <v>1</v>
      </c>
      <c r="F119" s="78" t="b">
        <f t="shared" si="20"/>
        <v>0</v>
      </c>
      <c r="G119" s="78" t="b">
        <f t="shared" si="20"/>
        <v>0</v>
      </c>
      <c r="H119" s="77" t="b">
        <f t="shared" si="20"/>
        <v>1</v>
      </c>
      <c r="I119" s="78" t="b">
        <f t="shared" si="20"/>
        <v>0</v>
      </c>
      <c r="J119" s="78" t="b">
        <f t="shared" si="21"/>
        <v>0</v>
      </c>
    </row>
    <row r="120" spans="4:10" ht="13.8">
      <c r="D120" s="112" t="s">
        <v>407</v>
      </c>
      <c r="E120" s="77" t="b">
        <f t="shared" si="19"/>
        <v>1</v>
      </c>
      <c r="F120" s="78" t="b">
        <f t="shared" si="20"/>
        <v>0</v>
      </c>
      <c r="G120" s="78" t="b">
        <f t="shared" si="20"/>
        <v>0</v>
      </c>
      <c r="H120" s="77" t="b">
        <f t="shared" si="20"/>
        <v>1</v>
      </c>
      <c r="I120" s="78" t="b">
        <f t="shared" si="20"/>
        <v>0</v>
      </c>
      <c r="J120" s="77" t="b">
        <f t="shared" si="21"/>
        <v>1</v>
      </c>
    </row>
    <row r="121" spans="4:10" ht="13.8">
      <c r="D121" s="112" t="s">
        <v>409</v>
      </c>
      <c r="E121" s="78" t="b">
        <f t="shared" si="19"/>
        <v>0</v>
      </c>
      <c r="F121" s="77" t="b">
        <f t="shared" si="20"/>
        <v>1</v>
      </c>
      <c r="G121" s="77" t="b">
        <f t="shared" si="20"/>
        <v>1</v>
      </c>
      <c r="H121" s="78" t="b">
        <f t="shared" si="20"/>
        <v>0</v>
      </c>
      <c r="I121" s="77" t="b">
        <f t="shared" si="20"/>
        <v>1</v>
      </c>
      <c r="J121" s="78" t="b">
        <f t="shared" si="21"/>
        <v>0</v>
      </c>
    </row>
    <row r="122" spans="4:10" ht="13.8">
      <c r="D122" s="112" t="s">
        <v>411</v>
      </c>
      <c r="E122" s="77" t="b">
        <f t="shared" si="19"/>
        <v>1</v>
      </c>
      <c r="F122" s="77" t="b">
        <f t="shared" si="20"/>
        <v>1</v>
      </c>
      <c r="G122" s="77" t="b">
        <f t="shared" si="20"/>
        <v>1</v>
      </c>
      <c r="H122" s="78" t="b">
        <f t="shared" si="20"/>
        <v>0</v>
      </c>
      <c r="I122" s="77" t="b">
        <f t="shared" si="20"/>
        <v>1</v>
      </c>
      <c r="J122" s="78" t="b">
        <f t="shared" si="21"/>
        <v>0</v>
      </c>
    </row>
    <row r="123" spans="4:10" ht="13.8">
      <c r="D123" s="112" t="s">
        <v>413</v>
      </c>
      <c r="E123" s="78" t="b">
        <f t="shared" si="19"/>
        <v>0</v>
      </c>
      <c r="F123" s="77" t="b">
        <f t="shared" si="20"/>
        <v>1</v>
      </c>
      <c r="G123" s="77" t="b">
        <f t="shared" si="20"/>
        <v>1</v>
      </c>
      <c r="H123" s="78" t="b">
        <f t="shared" si="20"/>
        <v>0</v>
      </c>
      <c r="I123" s="77" t="b">
        <f t="shared" si="20"/>
        <v>1</v>
      </c>
      <c r="J123" s="78" t="b">
        <f t="shared" si="21"/>
        <v>0</v>
      </c>
    </row>
    <row r="124" spans="4:10" ht="13.8">
      <c r="D124" s="112" t="s">
        <v>414</v>
      </c>
      <c r="E124" s="77" t="b">
        <f t="shared" si="19"/>
        <v>1</v>
      </c>
      <c r="F124" s="78" t="b">
        <f t="shared" si="20"/>
        <v>0</v>
      </c>
      <c r="G124" s="78" t="b">
        <f t="shared" si="20"/>
        <v>0</v>
      </c>
      <c r="H124" s="78" t="b">
        <f t="shared" si="20"/>
        <v>0</v>
      </c>
      <c r="I124" s="78" t="b">
        <f t="shared" si="20"/>
        <v>0</v>
      </c>
      <c r="J124" s="77" t="b">
        <f t="shared" si="21"/>
        <v>1</v>
      </c>
    </row>
    <row r="125" spans="4:10" ht="13.8">
      <c r="D125" s="112" t="s">
        <v>415</v>
      </c>
      <c r="E125" s="77" t="b">
        <f t="shared" si="19"/>
        <v>1</v>
      </c>
      <c r="F125" s="78" t="b">
        <f t="shared" si="20"/>
        <v>0</v>
      </c>
      <c r="G125" s="78" t="b">
        <f t="shared" si="20"/>
        <v>0</v>
      </c>
      <c r="H125" s="78" t="b">
        <f t="shared" si="20"/>
        <v>0</v>
      </c>
      <c r="I125" s="78" t="b">
        <f t="shared" si="20"/>
        <v>0</v>
      </c>
      <c r="J125" s="77" t="b">
        <f t="shared" si="21"/>
        <v>1</v>
      </c>
    </row>
    <row r="126" spans="4:10" ht="13.8">
      <c r="D126" s="112" t="s">
        <v>417</v>
      </c>
      <c r="E126" s="77" t="b">
        <f t="shared" si="19"/>
        <v>1</v>
      </c>
      <c r="F126" s="78" t="b">
        <f t="shared" si="20"/>
        <v>0</v>
      </c>
      <c r="G126" s="78" t="b">
        <f t="shared" si="20"/>
        <v>0</v>
      </c>
      <c r="H126" s="78" t="b">
        <f t="shared" si="20"/>
        <v>0</v>
      </c>
      <c r="I126" s="77" t="b">
        <f t="shared" si="20"/>
        <v>1</v>
      </c>
      <c r="J126" s="78" t="b">
        <f t="shared" si="21"/>
        <v>0</v>
      </c>
    </row>
    <row r="127" spans="4:10" ht="13.8">
      <c r="D127" s="112" t="s">
        <v>418</v>
      </c>
      <c r="E127" s="77" t="b">
        <f t="shared" si="19"/>
        <v>1</v>
      </c>
      <c r="F127" s="77" t="b">
        <f t="shared" si="20"/>
        <v>1</v>
      </c>
      <c r="G127" s="78" t="b">
        <f t="shared" si="20"/>
        <v>0</v>
      </c>
      <c r="H127" s="77" t="b">
        <f t="shared" si="20"/>
        <v>1</v>
      </c>
      <c r="I127" s="77" t="b">
        <f t="shared" si="20"/>
        <v>1</v>
      </c>
      <c r="J127" s="78" t="b">
        <f t="shared" si="21"/>
        <v>0</v>
      </c>
    </row>
    <row r="128" spans="4:10" ht="13.8">
      <c r="D128" s="112" t="s">
        <v>419</v>
      </c>
      <c r="E128" s="78" t="b">
        <f t="shared" si="19"/>
        <v>0</v>
      </c>
      <c r="F128" s="78" t="b">
        <f t="shared" ref="F128:I131" si="22">IF(G20&gt;0.035, IF(G20&gt;0.063, TRUE, FALSE), IF(G20&gt;0.027, TRUE, FALSE))</f>
        <v>0</v>
      </c>
      <c r="G128" s="77" t="b">
        <f t="shared" si="22"/>
        <v>1</v>
      </c>
      <c r="H128" s="78" t="b">
        <f t="shared" si="22"/>
        <v>0</v>
      </c>
      <c r="I128" s="77" t="b">
        <f t="shared" si="22"/>
        <v>1</v>
      </c>
      <c r="J128" s="78" t="b">
        <f t="shared" si="21"/>
        <v>0</v>
      </c>
    </row>
    <row r="129" spans="4:10" ht="13.8">
      <c r="D129" s="112" t="s">
        <v>421</v>
      </c>
      <c r="E129" s="77" t="b">
        <f t="shared" si="19"/>
        <v>1</v>
      </c>
      <c r="F129" s="77" t="b">
        <f t="shared" si="22"/>
        <v>0</v>
      </c>
      <c r="G129" s="78" t="b">
        <f t="shared" si="22"/>
        <v>0</v>
      </c>
      <c r="H129" s="77" t="b">
        <f t="shared" si="22"/>
        <v>1</v>
      </c>
      <c r="I129" s="78" t="b">
        <f t="shared" si="22"/>
        <v>0</v>
      </c>
      <c r="J129" s="78" t="b">
        <f t="shared" si="21"/>
        <v>0</v>
      </c>
    </row>
    <row r="130" spans="4:10" ht="13.8">
      <c r="D130" s="112" t="s">
        <v>423</v>
      </c>
      <c r="E130" s="78" t="b">
        <f t="shared" si="19"/>
        <v>0</v>
      </c>
      <c r="F130" s="78" t="b">
        <f t="shared" si="22"/>
        <v>0</v>
      </c>
      <c r="G130" s="77" t="b">
        <f t="shared" si="22"/>
        <v>1</v>
      </c>
      <c r="H130" s="77" t="b">
        <f t="shared" si="22"/>
        <v>1</v>
      </c>
      <c r="I130" s="78" t="b">
        <f t="shared" si="22"/>
        <v>0</v>
      </c>
      <c r="J130" s="78" t="b">
        <f t="shared" si="21"/>
        <v>0</v>
      </c>
    </row>
    <row r="131" spans="4:10" ht="13.8">
      <c r="D131" s="112" t="s">
        <v>425</v>
      </c>
      <c r="E131" s="77" t="b">
        <f t="shared" si="19"/>
        <v>1</v>
      </c>
      <c r="F131" s="78" t="b">
        <f t="shared" si="22"/>
        <v>0</v>
      </c>
      <c r="G131" s="78" t="b">
        <f t="shared" si="22"/>
        <v>0</v>
      </c>
      <c r="H131" s="78" t="b">
        <f t="shared" si="22"/>
        <v>0</v>
      </c>
      <c r="I131" s="78" t="b">
        <f t="shared" si="22"/>
        <v>0</v>
      </c>
      <c r="J131" s="77" t="b">
        <f t="shared" si="21"/>
        <v>1</v>
      </c>
    </row>
  </sheetData>
  <mergeCells count="2">
    <mergeCell ref="E31:J31"/>
    <mergeCell ref="E55:J5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4E1F-1C14-44A0-A459-3EE44874A396}">
  <sheetPr>
    <outlinePr summaryBelow="0" summaryRight="0"/>
  </sheetPr>
  <dimension ref="A1:H57"/>
  <sheetViews>
    <sheetView workbookViewId="0"/>
  </sheetViews>
  <sheetFormatPr defaultColWidth="12.6640625" defaultRowHeight="15.75" customHeight="1"/>
  <cols>
    <col min="1" max="16384" width="12.6640625" style="2"/>
  </cols>
  <sheetData>
    <row r="1" spans="1:8" ht="15.75" customHeight="1">
      <c r="D1" s="1" t="s">
        <v>472</v>
      </c>
    </row>
    <row r="2" spans="1:8" ht="15.75" customHeight="1">
      <c r="A2" s="32"/>
      <c r="C2" s="75" t="s">
        <v>274</v>
      </c>
      <c r="D2" s="5"/>
      <c r="E2" s="5"/>
      <c r="F2" s="5"/>
      <c r="G2" s="5"/>
      <c r="H2" s="5"/>
    </row>
    <row r="3" spans="1:8" ht="15.75" customHeight="1">
      <c r="A3" s="32" t="s">
        <v>231</v>
      </c>
      <c r="B3" s="1" t="s">
        <v>474</v>
      </c>
      <c r="C3" s="32" t="s">
        <v>39</v>
      </c>
      <c r="D3" s="32" t="s">
        <v>38</v>
      </c>
      <c r="E3" s="32" t="s">
        <v>263</v>
      </c>
      <c r="F3" s="32" t="s">
        <v>264</v>
      </c>
      <c r="G3" s="32" t="s">
        <v>63</v>
      </c>
      <c r="H3" s="32" t="s">
        <v>265</v>
      </c>
    </row>
    <row r="4" spans="1:8" ht="15.75" customHeight="1">
      <c r="A4" s="32" t="s">
        <v>237</v>
      </c>
      <c r="B4" s="1">
        <v>2.1000000000000001E-2</v>
      </c>
      <c r="C4" s="122">
        <v>2.7682620000000002E-2</v>
      </c>
      <c r="D4" s="122">
        <v>2.0959240000000001E-2</v>
      </c>
      <c r="E4" s="122">
        <v>2.5531680000000001E-2</v>
      </c>
      <c r="F4" s="122">
        <v>1.7437060000000001E-2</v>
      </c>
      <c r="G4" s="122">
        <v>2.2062149999999999E-2</v>
      </c>
      <c r="H4" s="122">
        <v>1.5534360000000001E-2</v>
      </c>
    </row>
    <row r="5" spans="1:8" ht="15.75" customHeight="1">
      <c r="A5" s="32" t="s">
        <v>238</v>
      </c>
      <c r="B5" s="1">
        <v>2.9000000000000001E-2</v>
      </c>
      <c r="C5" s="122">
        <v>3.425723E-2</v>
      </c>
      <c r="D5" s="122">
        <v>2.6062720000000001E-2</v>
      </c>
      <c r="E5" s="122">
        <v>3.2680859999999999E-2</v>
      </c>
      <c r="F5" s="122">
        <v>2.1936299999999999E-2</v>
      </c>
      <c r="G5" s="122">
        <v>2.8383129999999999E-2</v>
      </c>
      <c r="H5" s="122">
        <v>1.9424199999999999E-2</v>
      </c>
    </row>
    <row r="6" spans="1:8" ht="15.75" customHeight="1">
      <c r="A6" s="32" t="s">
        <v>239</v>
      </c>
      <c r="B6" s="1">
        <v>3.7999999999999999E-2</v>
      </c>
      <c r="C6" s="122">
        <v>3.9183170000000003E-2</v>
      </c>
      <c r="D6" s="122">
        <v>3.0073679999999998E-2</v>
      </c>
      <c r="E6" s="122">
        <v>3.6747370000000001E-2</v>
      </c>
      <c r="F6" s="122">
        <v>2.5861640000000002E-2</v>
      </c>
      <c r="G6" s="122">
        <v>3.5577610000000003E-2</v>
      </c>
      <c r="H6" s="122">
        <v>2.562503E-2</v>
      </c>
    </row>
    <row r="7" spans="1:8" ht="15.75" customHeight="1">
      <c r="A7" s="32" t="s">
        <v>240</v>
      </c>
      <c r="B7" s="1">
        <v>0.03</v>
      </c>
      <c r="C7" s="122">
        <v>2.7836110000000001E-2</v>
      </c>
      <c r="D7" s="122">
        <v>2.092198E-2</v>
      </c>
      <c r="E7" s="122">
        <v>2.541239E-2</v>
      </c>
      <c r="F7" s="122">
        <v>1.7959639999999999E-2</v>
      </c>
      <c r="G7" s="122">
        <v>2.3892090000000001E-2</v>
      </c>
      <c r="H7" s="122">
        <v>1.7414550000000001E-2</v>
      </c>
    </row>
    <row r="8" spans="1:8" ht="15.75" customHeight="1">
      <c r="A8" s="32" t="s">
        <v>241</v>
      </c>
      <c r="B8" s="1">
        <v>0.04</v>
      </c>
      <c r="C8" s="122">
        <v>3.4065570000000003E-2</v>
      </c>
      <c r="D8" s="122">
        <v>2.5804649999999998E-2</v>
      </c>
      <c r="E8" s="122">
        <v>3.2005150000000003E-2</v>
      </c>
      <c r="F8" s="122">
        <v>2.2197519999999998E-2</v>
      </c>
      <c r="G8" s="122">
        <v>2.9768889999999999E-2</v>
      </c>
      <c r="H8" s="122">
        <v>2.1150169999999999E-2</v>
      </c>
    </row>
    <row r="9" spans="1:8" ht="15.75" customHeight="1">
      <c r="A9" s="32" t="s">
        <v>242</v>
      </c>
      <c r="B9" s="1">
        <v>0.04</v>
      </c>
      <c r="C9" s="122">
        <v>3.5739670000000001E-2</v>
      </c>
      <c r="D9" s="122">
        <v>2.7004940000000002E-2</v>
      </c>
      <c r="E9" s="122">
        <v>3.2963159999999998E-2</v>
      </c>
      <c r="F9" s="122">
        <v>2.3718610000000001E-2</v>
      </c>
      <c r="G9" s="122">
        <v>3.3043179999999998E-2</v>
      </c>
      <c r="H9" s="122">
        <v>2.4631500000000001E-2</v>
      </c>
    </row>
    <row r="10" spans="1:8" ht="15.75" customHeight="1">
      <c r="A10" s="32" t="s">
        <v>243</v>
      </c>
      <c r="B10" s="1">
        <v>3.6999999999999998E-2</v>
      </c>
      <c r="C10" s="122">
        <v>3.5654089999999999E-2</v>
      </c>
      <c r="D10" s="122">
        <v>2.6183069999999999E-2</v>
      </c>
      <c r="E10" s="122">
        <v>3.3161900000000001E-2</v>
      </c>
      <c r="F10" s="122">
        <v>2.3558340000000001E-2</v>
      </c>
      <c r="G10" s="122">
        <v>3.0379199999999999E-2</v>
      </c>
      <c r="H10" s="122">
        <v>2.1995049999999999E-2</v>
      </c>
    </row>
    <row r="11" spans="1:8" ht="15.75" customHeight="1">
      <c r="A11" s="32" t="s">
        <v>244</v>
      </c>
      <c r="B11" s="1">
        <v>0.02</v>
      </c>
      <c r="C11" s="122">
        <v>2.0241240000000001E-2</v>
      </c>
      <c r="D11" s="122">
        <v>1.554001E-2</v>
      </c>
      <c r="E11" s="122">
        <v>1.8256290000000001E-2</v>
      </c>
      <c r="F11" s="122">
        <v>1.3043330000000001E-2</v>
      </c>
      <c r="G11" s="122">
        <v>1.7505509999999998E-2</v>
      </c>
      <c r="H11" s="122">
        <v>1.285497E-2</v>
      </c>
    </row>
    <row r="12" spans="1:8" ht="15.75" customHeight="1">
      <c r="A12" s="32" t="s">
        <v>245</v>
      </c>
      <c r="B12" s="1">
        <v>2.5000000000000001E-2</v>
      </c>
      <c r="C12" s="122">
        <v>2.6010829999999999E-2</v>
      </c>
      <c r="D12" s="122">
        <v>1.98733E-2</v>
      </c>
      <c r="E12" s="122">
        <v>2.3390049999999999E-2</v>
      </c>
      <c r="F12" s="122">
        <v>1.660553E-2</v>
      </c>
      <c r="G12" s="122">
        <v>2.193778E-2</v>
      </c>
      <c r="H12" s="122">
        <v>1.602437E-2</v>
      </c>
    </row>
    <row r="13" spans="1:8" ht="15.75" customHeight="1">
      <c r="A13" s="32" t="s">
        <v>246</v>
      </c>
      <c r="B13" s="1">
        <v>2.3E-2</v>
      </c>
      <c r="C13" s="122">
        <v>1.9994769999999999E-2</v>
      </c>
      <c r="D13" s="122">
        <v>1.527427E-2</v>
      </c>
      <c r="E13" s="122">
        <v>1.917052E-2</v>
      </c>
      <c r="F13" s="122">
        <v>1.323332E-2</v>
      </c>
      <c r="G13" s="122">
        <v>1.709755E-2</v>
      </c>
      <c r="H13" s="122">
        <v>1.2059179999999999E-2</v>
      </c>
    </row>
    <row r="14" spans="1:8" ht="15.75" customHeight="1">
      <c r="A14" s="32" t="s">
        <v>247</v>
      </c>
      <c r="B14" s="1">
        <v>2.8000000000000001E-2</v>
      </c>
      <c r="C14" s="122">
        <v>2.4270300000000002E-2</v>
      </c>
      <c r="D14" s="122">
        <v>1.8513959999999999E-2</v>
      </c>
      <c r="E14" s="122">
        <v>2.3466859999999999E-2</v>
      </c>
      <c r="F14" s="122">
        <v>1.6068929999999999E-2</v>
      </c>
      <c r="G14" s="122">
        <v>2.0654849999999999E-2</v>
      </c>
      <c r="H14" s="122">
        <v>1.4398370000000001E-2</v>
      </c>
    </row>
    <row r="15" spans="1:8" ht="15.75" customHeight="1">
      <c r="A15" s="32" t="s">
        <v>248</v>
      </c>
      <c r="B15" s="1">
        <v>4.2000000000000003E-2</v>
      </c>
      <c r="C15" s="122">
        <v>2.8648980000000001E-2</v>
      </c>
      <c r="D15" s="122">
        <v>2.212679E-2</v>
      </c>
      <c r="E15" s="122">
        <v>2.845901E-2</v>
      </c>
      <c r="F15" s="122">
        <v>1.939053E-2</v>
      </c>
      <c r="G15" s="122">
        <v>2.5336009999999999E-2</v>
      </c>
      <c r="H15" s="122">
        <v>1.7435610000000001E-2</v>
      </c>
    </row>
    <row r="16" spans="1:8" ht="15.75" customHeight="1">
      <c r="A16" s="32" t="s">
        <v>249</v>
      </c>
      <c r="B16" s="1">
        <v>0.04</v>
      </c>
      <c r="C16" s="122">
        <v>3.0478660000000001E-2</v>
      </c>
      <c r="D16" s="122">
        <v>2.389749E-2</v>
      </c>
      <c r="E16" s="122">
        <v>3.024493E-2</v>
      </c>
      <c r="F16" s="122">
        <v>2.129822E-2</v>
      </c>
      <c r="G16" s="122">
        <v>2.8322300000000002E-2</v>
      </c>
      <c r="H16" s="122">
        <v>2.01818E-2</v>
      </c>
    </row>
    <row r="17" spans="1:8" ht="15.75" customHeight="1">
      <c r="A17" s="32" t="s">
        <v>250</v>
      </c>
      <c r="B17" s="1">
        <v>3.3000000000000002E-2</v>
      </c>
      <c r="C17" s="122">
        <v>3.6085239999999998E-2</v>
      </c>
      <c r="D17" s="122">
        <v>2.599951E-2</v>
      </c>
      <c r="E17" s="122">
        <v>3.3132849999999998E-2</v>
      </c>
      <c r="F17" s="122">
        <v>2.382826E-2</v>
      </c>
      <c r="G17" s="122">
        <v>2.9807569999999999E-2</v>
      </c>
      <c r="H17" s="122">
        <v>2.198135E-2</v>
      </c>
    </row>
    <row r="18" spans="1:8" ht="15.75" customHeight="1">
      <c r="A18" s="32" t="s">
        <v>251</v>
      </c>
      <c r="B18" s="1">
        <v>1.7000000000000001E-2</v>
      </c>
      <c r="C18" s="122">
        <v>1.9851379999999998E-2</v>
      </c>
      <c r="D18" s="122">
        <v>1.473321E-2</v>
      </c>
      <c r="E18" s="122">
        <v>1.7720619999999999E-2</v>
      </c>
      <c r="F18" s="122">
        <v>1.267099E-2</v>
      </c>
      <c r="G18" s="122">
        <v>1.7216840000000001E-2</v>
      </c>
      <c r="H18" s="122">
        <v>1.281994E-2</v>
      </c>
    </row>
    <row r="19" spans="1:8" ht="15.75" customHeight="1">
      <c r="A19" s="32" t="s">
        <v>252</v>
      </c>
      <c r="B19" s="1">
        <v>2.1000000000000001E-2</v>
      </c>
      <c r="C19" s="122">
        <v>2.5534299999999999E-2</v>
      </c>
      <c r="D19" s="122">
        <v>1.8711740000000001E-2</v>
      </c>
      <c r="E19" s="122">
        <v>2.264302E-2</v>
      </c>
      <c r="F19" s="122">
        <v>1.6108899999999999E-2</v>
      </c>
      <c r="G19" s="122">
        <v>2.1702519999999999E-2</v>
      </c>
      <c r="H19" s="122">
        <v>1.612158E-2</v>
      </c>
    </row>
    <row r="20" spans="1:8" ht="15.75" customHeight="1">
      <c r="A20" s="32" t="s">
        <v>253</v>
      </c>
      <c r="B20" s="1">
        <v>4.8000000000000001E-2</v>
      </c>
      <c r="C20" s="122">
        <v>3.9105760000000003E-2</v>
      </c>
      <c r="D20" s="122">
        <v>3.032052E-2</v>
      </c>
      <c r="E20" s="122">
        <v>3.6503250000000001E-2</v>
      </c>
      <c r="F20" s="122">
        <v>2.778158E-2</v>
      </c>
      <c r="G20" s="122">
        <v>3.4476380000000001E-2</v>
      </c>
      <c r="H20" s="122">
        <v>2.638014E-2</v>
      </c>
    </row>
    <row r="21" spans="1:8" ht="15.75" customHeight="1">
      <c r="A21" s="32" t="s">
        <v>254</v>
      </c>
      <c r="B21" s="1">
        <v>2.5000000000000001E-2</v>
      </c>
      <c r="C21" s="122">
        <v>3.1913469999999999E-2</v>
      </c>
      <c r="D21" s="122">
        <v>2.4930020000000001E-2</v>
      </c>
      <c r="E21" s="122">
        <v>3.0022409999999999E-2</v>
      </c>
      <c r="F21" s="122">
        <v>2.1309740000000001E-2</v>
      </c>
      <c r="G21" s="122">
        <v>2.6070820000000001E-2</v>
      </c>
      <c r="H21" s="122">
        <v>1.9052349999999999E-2</v>
      </c>
    </row>
    <row r="22" spans="1:8" ht="15.75" customHeight="1">
      <c r="A22" s="32" t="s">
        <v>255</v>
      </c>
      <c r="B22" s="1">
        <v>2.4E-2</v>
      </c>
      <c r="C22" s="122">
        <v>2.1498969999999999E-2</v>
      </c>
      <c r="D22" s="122">
        <v>1.6287220000000002E-2</v>
      </c>
      <c r="E22" s="122">
        <v>1.9496929999999999E-2</v>
      </c>
      <c r="F22" s="122">
        <v>1.4466049999999999E-2</v>
      </c>
      <c r="G22" s="122">
        <v>1.7123119999999999E-2</v>
      </c>
      <c r="H22" s="122">
        <v>1.3411660000000001E-2</v>
      </c>
    </row>
    <row r="23" spans="1:8" ht="15.75" customHeight="1">
      <c r="A23" s="32" t="s">
        <v>256</v>
      </c>
      <c r="B23" s="1">
        <v>2.8000000000000001E-2</v>
      </c>
      <c r="C23" s="122">
        <v>2.7253869999999999E-2</v>
      </c>
      <c r="D23" s="122">
        <v>2.0679739999999999E-2</v>
      </c>
      <c r="E23" s="122">
        <v>2.4649009999999999E-2</v>
      </c>
      <c r="F23" s="122">
        <v>1.8440370000000001E-2</v>
      </c>
      <c r="G23" s="122">
        <v>2.1544250000000001E-2</v>
      </c>
      <c r="H23" s="122">
        <v>1.7004869999999998E-2</v>
      </c>
    </row>
    <row r="24" spans="1:8" ht="15.75" customHeight="1">
      <c r="A24" s="32" t="s">
        <v>257</v>
      </c>
      <c r="B24" s="1">
        <v>2.8000000000000001E-2</v>
      </c>
      <c r="C24" s="122">
        <v>3.1602150000000002E-2</v>
      </c>
      <c r="D24" s="122">
        <v>2.4027090000000001E-2</v>
      </c>
      <c r="E24" s="122">
        <v>2.881324E-2</v>
      </c>
      <c r="F24" s="122">
        <v>2.1348039999999999E-2</v>
      </c>
      <c r="G24" s="122">
        <v>2.597671E-2</v>
      </c>
      <c r="H24" s="122">
        <v>1.9855330000000001E-2</v>
      </c>
    </row>
    <row r="25" spans="1:8" ht="15.75" customHeight="1">
      <c r="A25" s="32" t="s">
        <v>258</v>
      </c>
      <c r="B25" s="1">
        <v>3.4000000000000002E-2</v>
      </c>
      <c r="C25" s="122">
        <v>2.784319E-2</v>
      </c>
      <c r="D25" s="122">
        <v>2.2670260000000001E-2</v>
      </c>
      <c r="E25" s="122">
        <v>2.4933400000000001E-2</v>
      </c>
      <c r="F25" s="122">
        <v>2.0129279999999999E-2</v>
      </c>
      <c r="G25" s="122">
        <v>2.2628100000000002E-2</v>
      </c>
      <c r="H25" s="122">
        <v>1.9195139999999999E-2</v>
      </c>
    </row>
    <row r="26" spans="1:8" ht="15.75" customHeight="1">
      <c r="A26" s="32" t="s">
        <v>259</v>
      </c>
      <c r="B26" s="1">
        <v>3.2000000000000001E-2</v>
      </c>
      <c r="C26" s="122">
        <v>2.6501500000000001E-2</v>
      </c>
      <c r="D26" s="122">
        <v>1.993748E-2</v>
      </c>
      <c r="E26" s="122">
        <v>2.5294239999999999E-2</v>
      </c>
      <c r="F26" s="122">
        <v>1.7775309999999999E-2</v>
      </c>
      <c r="G26" s="122">
        <v>2.3039380000000002E-2</v>
      </c>
      <c r="H26" s="122">
        <v>1.642598E-2</v>
      </c>
    </row>
    <row r="27" spans="1:8" ht="15.75" customHeight="1">
      <c r="A27" s="32" t="s">
        <v>260</v>
      </c>
      <c r="B27" s="1">
        <v>1.7999999999999999E-2</v>
      </c>
      <c r="C27" s="122">
        <v>1.8221870000000001E-2</v>
      </c>
      <c r="D27" s="122">
        <v>1.406137E-2</v>
      </c>
      <c r="E27" s="122">
        <v>1.6860360000000001E-2</v>
      </c>
      <c r="F27" s="122">
        <v>1.203282E-2</v>
      </c>
      <c r="G27" s="122">
        <v>1.5679350000000002E-2</v>
      </c>
      <c r="H27" s="122">
        <v>1.142837E-2</v>
      </c>
    </row>
    <row r="28" spans="1:8" ht="15.75" customHeight="1">
      <c r="A28" s="32" t="s">
        <v>261</v>
      </c>
      <c r="B28" s="1">
        <v>2.3E-2</v>
      </c>
      <c r="C28" s="122">
        <v>2.1951399999999999E-2</v>
      </c>
      <c r="D28" s="122">
        <v>1.6912679999999999E-2</v>
      </c>
      <c r="E28" s="122">
        <v>2.0355129999999999E-2</v>
      </c>
      <c r="F28" s="122">
        <v>1.4449679999999999E-2</v>
      </c>
      <c r="G28" s="122">
        <v>1.8513769999999999E-2</v>
      </c>
      <c r="H28" s="122">
        <v>1.339836E-2</v>
      </c>
    </row>
    <row r="31" spans="1:8" ht="15.75" customHeight="1">
      <c r="A31" s="1" t="s">
        <v>475</v>
      </c>
      <c r="B31" s="1" t="s">
        <v>472</v>
      </c>
    </row>
    <row r="32" spans="1:8" ht="15.75" customHeight="1">
      <c r="A32" s="32" t="s">
        <v>231</v>
      </c>
      <c r="B32" s="1" t="s">
        <v>474</v>
      </c>
      <c r="C32" s="32" t="s">
        <v>39</v>
      </c>
      <c r="D32" s="32" t="s">
        <v>38</v>
      </c>
      <c r="E32" s="32" t="s">
        <v>263</v>
      </c>
      <c r="F32" s="32" t="s">
        <v>264</v>
      </c>
      <c r="G32" s="32" t="s">
        <v>63</v>
      </c>
      <c r="H32" s="32" t="s">
        <v>265</v>
      </c>
    </row>
    <row r="33" spans="1:8" ht="15.75" customHeight="1">
      <c r="A33" s="32" t="s">
        <v>237</v>
      </c>
      <c r="B33" s="78" t="b">
        <f t="shared" ref="B33:B57" si="0">B4&gt;0.05</f>
        <v>0</v>
      </c>
      <c r="C33" s="77" t="b">
        <f t="shared" ref="C33:C57" si="1">IF(C4&gt;0.035, IF(C4&gt;0.063, TRUE, FALSE), IF(C4&gt;0.027, TRUE, FALSE))</f>
        <v>1</v>
      </c>
      <c r="D33" s="78" t="b">
        <f t="shared" ref="D33:D57" si="2">D4&gt;0.027</f>
        <v>0</v>
      </c>
      <c r="E33" s="78" t="b">
        <f t="shared" ref="E33:E57" si="3">IF(E4&gt;0.035, IF(E4&gt;0.063, TRUE, FALSE), IF(E4&gt;0.027, TRUE, FALSE))</f>
        <v>0</v>
      </c>
      <c r="F33" s="78" t="b">
        <f t="shared" ref="F33:F57" si="4">F4&gt;0.027</f>
        <v>0</v>
      </c>
      <c r="G33" s="78" t="b">
        <f t="shared" ref="G33:G57" si="5">IF(G4&gt;0.035, IF(G4&gt;0.063, TRUE, FALSE), IF(G4&gt;0.027, TRUE, FALSE))</f>
        <v>0</v>
      </c>
      <c r="H33" s="78" t="b">
        <f t="shared" ref="H33:H57" si="6">H4&gt;0.027</f>
        <v>0</v>
      </c>
    </row>
    <row r="34" spans="1:8" ht="15.75" customHeight="1">
      <c r="A34" s="32" t="s">
        <v>238</v>
      </c>
      <c r="B34" s="78" t="b">
        <f t="shared" si="0"/>
        <v>0</v>
      </c>
      <c r="C34" s="77" t="b">
        <f t="shared" si="1"/>
        <v>1</v>
      </c>
      <c r="D34" s="78" t="b">
        <f t="shared" si="2"/>
        <v>0</v>
      </c>
      <c r="E34" s="77" t="b">
        <f t="shared" si="3"/>
        <v>1</v>
      </c>
      <c r="F34" s="78" t="b">
        <f t="shared" si="4"/>
        <v>0</v>
      </c>
      <c r="G34" s="77" t="b">
        <f t="shared" si="5"/>
        <v>1</v>
      </c>
      <c r="H34" s="78" t="b">
        <f t="shared" si="6"/>
        <v>0</v>
      </c>
    </row>
    <row r="35" spans="1:8" ht="15.75" customHeight="1">
      <c r="A35" s="32" t="s">
        <v>239</v>
      </c>
      <c r="B35" s="78" t="b">
        <f t="shared" si="0"/>
        <v>0</v>
      </c>
      <c r="C35" s="78" t="b">
        <f t="shared" si="1"/>
        <v>0</v>
      </c>
      <c r="D35" s="77" t="b">
        <f t="shared" si="2"/>
        <v>1</v>
      </c>
      <c r="E35" s="78" t="b">
        <f t="shared" si="3"/>
        <v>0</v>
      </c>
      <c r="F35" s="78" t="b">
        <f t="shared" si="4"/>
        <v>0</v>
      </c>
      <c r="G35" s="78" t="b">
        <f t="shared" si="5"/>
        <v>0</v>
      </c>
      <c r="H35" s="78" t="b">
        <f t="shared" si="6"/>
        <v>0</v>
      </c>
    </row>
    <row r="36" spans="1:8" ht="15.75" customHeight="1">
      <c r="A36" s="32" t="s">
        <v>240</v>
      </c>
      <c r="B36" s="78" t="b">
        <f t="shared" si="0"/>
        <v>0</v>
      </c>
      <c r="C36" s="77" t="b">
        <f t="shared" si="1"/>
        <v>1</v>
      </c>
      <c r="D36" s="78" t="b">
        <f t="shared" si="2"/>
        <v>0</v>
      </c>
      <c r="E36" s="78" t="b">
        <f t="shared" si="3"/>
        <v>0</v>
      </c>
      <c r="F36" s="78" t="b">
        <f t="shared" si="4"/>
        <v>0</v>
      </c>
      <c r="G36" s="78" t="b">
        <f t="shared" si="5"/>
        <v>0</v>
      </c>
      <c r="H36" s="78" t="b">
        <f t="shared" si="6"/>
        <v>0</v>
      </c>
    </row>
    <row r="37" spans="1:8" ht="15.75" customHeight="1">
      <c r="A37" s="32" t="s">
        <v>241</v>
      </c>
      <c r="B37" s="78" t="b">
        <f t="shared" si="0"/>
        <v>0</v>
      </c>
      <c r="C37" s="77" t="b">
        <f t="shared" si="1"/>
        <v>1</v>
      </c>
      <c r="D37" s="78" t="b">
        <f t="shared" si="2"/>
        <v>0</v>
      </c>
      <c r="E37" s="77" t="b">
        <f t="shared" si="3"/>
        <v>1</v>
      </c>
      <c r="F37" s="78" t="b">
        <f t="shared" si="4"/>
        <v>0</v>
      </c>
      <c r="G37" s="77" t="b">
        <f t="shared" si="5"/>
        <v>1</v>
      </c>
      <c r="H37" s="78" t="b">
        <f t="shared" si="6"/>
        <v>0</v>
      </c>
    </row>
    <row r="38" spans="1:8" ht="15.75" customHeight="1">
      <c r="A38" s="32" t="s">
        <v>242</v>
      </c>
      <c r="B38" s="78" t="b">
        <f t="shared" si="0"/>
        <v>0</v>
      </c>
      <c r="C38" s="78" t="b">
        <f t="shared" si="1"/>
        <v>0</v>
      </c>
      <c r="D38" s="77" t="b">
        <f t="shared" si="2"/>
        <v>1</v>
      </c>
      <c r="E38" s="77" t="b">
        <f t="shared" si="3"/>
        <v>1</v>
      </c>
      <c r="F38" s="78" t="b">
        <f t="shared" si="4"/>
        <v>0</v>
      </c>
      <c r="G38" s="77" t="b">
        <f t="shared" si="5"/>
        <v>1</v>
      </c>
      <c r="H38" s="78" t="b">
        <f t="shared" si="6"/>
        <v>0</v>
      </c>
    </row>
    <row r="39" spans="1:8" ht="15.75" customHeight="1">
      <c r="A39" s="32" t="s">
        <v>243</v>
      </c>
      <c r="B39" s="78" t="b">
        <f t="shared" si="0"/>
        <v>0</v>
      </c>
      <c r="C39" s="78" t="b">
        <f t="shared" si="1"/>
        <v>0</v>
      </c>
      <c r="D39" s="78" t="b">
        <f t="shared" si="2"/>
        <v>0</v>
      </c>
      <c r="E39" s="77" t="b">
        <f t="shared" si="3"/>
        <v>1</v>
      </c>
      <c r="F39" s="78" t="b">
        <f t="shared" si="4"/>
        <v>0</v>
      </c>
      <c r="G39" s="77" t="b">
        <f t="shared" si="5"/>
        <v>1</v>
      </c>
      <c r="H39" s="78" t="b">
        <f t="shared" si="6"/>
        <v>0</v>
      </c>
    </row>
    <row r="40" spans="1:8" ht="15.75" customHeight="1">
      <c r="A40" s="32" t="s">
        <v>244</v>
      </c>
      <c r="B40" s="78" t="b">
        <f t="shared" si="0"/>
        <v>0</v>
      </c>
      <c r="C40" s="78" t="b">
        <f t="shared" si="1"/>
        <v>0</v>
      </c>
      <c r="D40" s="78" t="b">
        <f t="shared" si="2"/>
        <v>0</v>
      </c>
      <c r="E40" s="78" t="b">
        <f t="shared" si="3"/>
        <v>0</v>
      </c>
      <c r="F40" s="78" t="b">
        <f t="shared" si="4"/>
        <v>0</v>
      </c>
      <c r="G40" s="78" t="b">
        <f t="shared" si="5"/>
        <v>0</v>
      </c>
      <c r="H40" s="78" t="b">
        <f t="shared" si="6"/>
        <v>0</v>
      </c>
    </row>
    <row r="41" spans="1:8" ht="15.75" customHeight="1">
      <c r="A41" s="32" t="s">
        <v>245</v>
      </c>
      <c r="B41" s="78" t="b">
        <f t="shared" si="0"/>
        <v>0</v>
      </c>
      <c r="C41" s="78" t="b">
        <f t="shared" si="1"/>
        <v>0</v>
      </c>
      <c r="D41" s="78" t="b">
        <f t="shared" si="2"/>
        <v>0</v>
      </c>
      <c r="E41" s="78" t="b">
        <f t="shared" si="3"/>
        <v>0</v>
      </c>
      <c r="F41" s="78" t="b">
        <f t="shared" si="4"/>
        <v>0</v>
      </c>
      <c r="G41" s="78" t="b">
        <f t="shared" si="5"/>
        <v>0</v>
      </c>
      <c r="H41" s="78" t="b">
        <f t="shared" si="6"/>
        <v>0</v>
      </c>
    </row>
    <row r="42" spans="1:8" ht="15.75" customHeight="1">
      <c r="A42" s="32" t="s">
        <v>246</v>
      </c>
      <c r="B42" s="78" t="b">
        <f t="shared" si="0"/>
        <v>0</v>
      </c>
      <c r="C42" s="78" t="b">
        <f t="shared" si="1"/>
        <v>0</v>
      </c>
      <c r="D42" s="78" t="b">
        <f t="shared" si="2"/>
        <v>0</v>
      </c>
      <c r="E42" s="78" t="b">
        <f t="shared" si="3"/>
        <v>0</v>
      </c>
      <c r="F42" s="78" t="b">
        <f t="shared" si="4"/>
        <v>0</v>
      </c>
      <c r="G42" s="78" t="b">
        <f t="shared" si="5"/>
        <v>0</v>
      </c>
      <c r="H42" s="78" t="b">
        <f t="shared" si="6"/>
        <v>0</v>
      </c>
    </row>
    <row r="43" spans="1:8" ht="15.75" customHeight="1">
      <c r="A43" s="32" t="s">
        <v>247</v>
      </c>
      <c r="B43" s="78" t="b">
        <f t="shared" si="0"/>
        <v>0</v>
      </c>
      <c r="C43" s="78" t="b">
        <f t="shared" si="1"/>
        <v>0</v>
      </c>
      <c r="D43" s="78" t="b">
        <f t="shared" si="2"/>
        <v>0</v>
      </c>
      <c r="E43" s="78" t="b">
        <f t="shared" si="3"/>
        <v>0</v>
      </c>
      <c r="F43" s="78" t="b">
        <f t="shared" si="4"/>
        <v>0</v>
      </c>
      <c r="G43" s="78" t="b">
        <f t="shared" si="5"/>
        <v>0</v>
      </c>
      <c r="H43" s="78" t="b">
        <f t="shared" si="6"/>
        <v>0</v>
      </c>
    </row>
    <row r="44" spans="1:8" ht="15.75" customHeight="1">
      <c r="A44" s="32" t="s">
        <v>248</v>
      </c>
      <c r="B44" s="78" t="b">
        <f t="shared" si="0"/>
        <v>0</v>
      </c>
      <c r="C44" s="77" t="b">
        <f t="shared" si="1"/>
        <v>1</v>
      </c>
      <c r="D44" s="78" t="b">
        <f t="shared" si="2"/>
        <v>0</v>
      </c>
      <c r="E44" s="77" t="b">
        <f t="shared" si="3"/>
        <v>1</v>
      </c>
      <c r="F44" s="78" t="b">
        <f t="shared" si="4"/>
        <v>0</v>
      </c>
      <c r="G44" s="78" t="b">
        <f t="shared" si="5"/>
        <v>0</v>
      </c>
      <c r="H44" s="78" t="b">
        <f t="shared" si="6"/>
        <v>0</v>
      </c>
    </row>
    <row r="45" spans="1:8" ht="15.75" customHeight="1">
      <c r="A45" s="32" t="s">
        <v>249</v>
      </c>
      <c r="B45" s="78" t="b">
        <f t="shared" si="0"/>
        <v>0</v>
      </c>
      <c r="C45" s="77" t="b">
        <f t="shared" si="1"/>
        <v>1</v>
      </c>
      <c r="D45" s="78" t="b">
        <f t="shared" si="2"/>
        <v>0</v>
      </c>
      <c r="E45" s="77" t="b">
        <f t="shared" si="3"/>
        <v>1</v>
      </c>
      <c r="F45" s="78" t="b">
        <f t="shared" si="4"/>
        <v>0</v>
      </c>
      <c r="G45" s="77" t="b">
        <f t="shared" si="5"/>
        <v>1</v>
      </c>
      <c r="H45" s="78" t="b">
        <f t="shared" si="6"/>
        <v>0</v>
      </c>
    </row>
    <row r="46" spans="1:8" ht="15.75" customHeight="1">
      <c r="A46" s="32" t="s">
        <v>250</v>
      </c>
      <c r="B46" s="78" t="b">
        <f t="shared" si="0"/>
        <v>0</v>
      </c>
      <c r="C46" s="78" t="b">
        <f t="shared" si="1"/>
        <v>0</v>
      </c>
      <c r="D46" s="78" t="b">
        <f t="shared" si="2"/>
        <v>0</v>
      </c>
      <c r="E46" s="77" t="b">
        <f t="shared" si="3"/>
        <v>1</v>
      </c>
      <c r="F46" s="78" t="b">
        <f t="shared" si="4"/>
        <v>0</v>
      </c>
      <c r="G46" s="77" t="b">
        <f t="shared" si="5"/>
        <v>1</v>
      </c>
      <c r="H46" s="78" t="b">
        <f t="shared" si="6"/>
        <v>0</v>
      </c>
    </row>
    <row r="47" spans="1:8" ht="15.75" customHeight="1">
      <c r="A47" s="32" t="s">
        <v>251</v>
      </c>
      <c r="B47" s="78" t="b">
        <f t="shared" si="0"/>
        <v>0</v>
      </c>
      <c r="C47" s="78" t="b">
        <f t="shared" si="1"/>
        <v>0</v>
      </c>
      <c r="D47" s="78" t="b">
        <f t="shared" si="2"/>
        <v>0</v>
      </c>
      <c r="E47" s="78" t="b">
        <f t="shared" si="3"/>
        <v>0</v>
      </c>
      <c r="F47" s="78" t="b">
        <f t="shared" si="4"/>
        <v>0</v>
      </c>
      <c r="G47" s="78" t="b">
        <f t="shared" si="5"/>
        <v>0</v>
      </c>
      <c r="H47" s="78" t="b">
        <f t="shared" si="6"/>
        <v>0</v>
      </c>
    </row>
    <row r="48" spans="1:8" ht="15.75" customHeight="1">
      <c r="A48" s="32" t="s">
        <v>252</v>
      </c>
      <c r="B48" s="78" t="b">
        <f t="shared" si="0"/>
        <v>0</v>
      </c>
      <c r="C48" s="78" t="b">
        <f t="shared" si="1"/>
        <v>0</v>
      </c>
      <c r="D48" s="78" t="b">
        <f t="shared" si="2"/>
        <v>0</v>
      </c>
      <c r="E48" s="78" t="b">
        <f t="shared" si="3"/>
        <v>0</v>
      </c>
      <c r="F48" s="78" t="b">
        <f t="shared" si="4"/>
        <v>0</v>
      </c>
      <c r="G48" s="78" t="b">
        <f t="shared" si="5"/>
        <v>0</v>
      </c>
      <c r="H48" s="78" t="b">
        <f t="shared" si="6"/>
        <v>0</v>
      </c>
    </row>
    <row r="49" spans="1:8" ht="15.75" customHeight="1">
      <c r="A49" s="32" t="s">
        <v>253</v>
      </c>
      <c r="B49" s="78" t="b">
        <f t="shared" si="0"/>
        <v>0</v>
      </c>
      <c r="C49" s="78" t="b">
        <f t="shared" si="1"/>
        <v>0</v>
      </c>
      <c r="D49" s="77" t="b">
        <f t="shared" si="2"/>
        <v>1</v>
      </c>
      <c r="E49" s="78" t="b">
        <f t="shared" si="3"/>
        <v>0</v>
      </c>
      <c r="F49" s="77" t="b">
        <f t="shared" si="4"/>
        <v>1</v>
      </c>
      <c r="G49" s="77" t="b">
        <f t="shared" si="5"/>
        <v>1</v>
      </c>
      <c r="H49" s="78" t="b">
        <f t="shared" si="6"/>
        <v>0</v>
      </c>
    </row>
    <row r="50" spans="1:8" ht="15.75" customHeight="1">
      <c r="A50" s="32" t="s">
        <v>254</v>
      </c>
      <c r="B50" s="78" t="b">
        <f t="shared" si="0"/>
        <v>0</v>
      </c>
      <c r="C50" s="77" t="b">
        <f t="shared" si="1"/>
        <v>1</v>
      </c>
      <c r="D50" s="78" t="b">
        <f t="shared" si="2"/>
        <v>0</v>
      </c>
      <c r="E50" s="77" t="b">
        <f t="shared" si="3"/>
        <v>1</v>
      </c>
      <c r="F50" s="78" t="b">
        <f t="shared" si="4"/>
        <v>0</v>
      </c>
      <c r="G50" s="78" t="b">
        <f t="shared" si="5"/>
        <v>0</v>
      </c>
      <c r="H50" s="78" t="b">
        <f t="shared" si="6"/>
        <v>0</v>
      </c>
    </row>
    <row r="51" spans="1:8" ht="15.75" customHeight="1">
      <c r="A51" s="32" t="s">
        <v>255</v>
      </c>
      <c r="B51" s="78" t="b">
        <f t="shared" si="0"/>
        <v>0</v>
      </c>
      <c r="C51" s="78" t="b">
        <f t="shared" si="1"/>
        <v>0</v>
      </c>
      <c r="D51" s="78" t="b">
        <f t="shared" si="2"/>
        <v>0</v>
      </c>
      <c r="E51" s="78" t="b">
        <f t="shared" si="3"/>
        <v>0</v>
      </c>
      <c r="F51" s="78" t="b">
        <f t="shared" si="4"/>
        <v>0</v>
      </c>
      <c r="G51" s="78" t="b">
        <f t="shared" si="5"/>
        <v>0</v>
      </c>
      <c r="H51" s="78" t="b">
        <f t="shared" si="6"/>
        <v>0</v>
      </c>
    </row>
    <row r="52" spans="1:8" ht="15.75" customHeight="1">
      <c r="A52" s="32" t="s">
        <v>256</v>
      </c>
      <c r="B52" s="78" t="b">
        <f t="shared" si="0"/>
        <v>0</v>
      </c>
      <c r="C52" s="77" t="b">
        <f t="shared" si="1"/>
        <v>1</v>
      </c>
      <c r="D52" s="78" t="b">
        <f t="shared" si="2"/>
        <v>0</v>
      </c>
      <c r="E52" s="78" t="b">
        <f t="shared" si="3"/>
        <v>0</v>
      </c>
      <c r="F52" s="78" t="b">
        <f t="shared" si="4"/>
        <v>0</v>
      </c>
      <c r="G52" s="78" t="b">
        <f t="shared" si="5"/>
        <v>0</v>
      </c>
      <c r="H52" s="78" t="b">
        <f t="shared" si="6"/>
        <v>0</v>
      </c>
    </row>
    <row r="53" spans="1:8" ht="15.75" customHeight="1">
      <c r="A53" s="32" t="s">
        <v>257</v>
      </c>
      <c r="B53" s="78" t="b">
        <f t="shared" si="0"/>
        <v>0</v>
      </c>
      <c r="C53" s="77" t="b">
        <f t="shared" si="1"/>
        <v>1</v>
      </c>
      <c r="D53" s="78" t="b">
        <f t="shared" si="2"/>
        <v>0</v>
      </c>
      <c r="E53" s="77" t="b">
        <f t="shared" si="3"/>
        <v>1</v>
      </c>
      <c r="F53" s="78" t="b">
        <f t="shared" si="4"/>
        <v>0</v>
      </c>
      <c r="G53" s="78" t="b">
        <f t="shared" si="5"/>
        <v>0</v>
      </c>
      <c r="H53" s="78" t="b">
        <f t="shared" si="6"/>
        <v>0</v>
      </c>
    </row>
    <row r="54" spans="1:8" ht="15.75" customHeight="1">
      <c r="A54" s="32" t="s">
        <v>258</v>
      </c>
      <c r="B54" s="78" t="b">
        <f t="shared" si="0"/>
        <v>0</v>
      </c>
      <c r="C54" s="77" t="b">
        <f t="shared" si="1"/>
        <v>1</v>
      </c>
      <c r="D54" s="78" t="b">
        <f t="shared" si="2"/>
        <v>0</v>
      </c>
      <c r="E54" s="78" t="b">
        <f t="shared" si="3"/>
        <v>0</v>
      </c>
      <c r="F54" s="78" t="b">
        <f t="shared" si="4"/>
        <v>0</v>
      </c>
      <c r="G54" s="78" t="b">
        <f t="shared" si="5"/>
        <v>0</v>
      </c>
      <c r="H54" s="78" t="b">
        <f t="shared" si="6"/>
        <v>0</v>
      </c>
    </row>
    <row r="55" spans="1:8" ht="15.75" customHeight="1">
      <c r="A55" s="32" t="s">
        <v>259</v>
      </c>
      <c r="B55" s="78" t="b">
        <f t="shared" si="0"/>
        <v>0</v>
      </c>
      <c r="C55" s="78" t="b">
        <f t="shared" si="1"/>
        <v>0</v>
      </c>
      <c r="D55" s="78" t="b">
        <f t="shared" si="2"/>
        <v>0</v>
      </c>
      <c r="E55" s="78" t="b">
        <f t="shared" si="3"/>
        <v>0</v>
      </c>
      <c r="F55" s="78" t="b">
        <f t="shared" si="4"/>
        <v>0</v>
      </c>
      <c r="G55" s="78" t="b">
        <f t="shared" si="5"/>
        <v>0</v>
      </c>
      <c r="H55" s="78" t="b">
        <f t="shared" si="6"/>
        <v>0</v>
      </c>
    </row>
    <row r="56" spans="1:8" ht="15.75" customHeight="1">
      <c r="A56" s="32" t="s">
        <v>260</v>
      </c>
      <c r="B56" s="78" t="b">
        <f t="shared" si="0"/>
        <v>0</v>
      </c>
      <c r="C56" s="78" t="b">
        <f t="shared" si="1"/>
        <v>0</v>
      </c>
      <c r="D56" s="78" t="b">
        <f t="shared" si="2"/>
        <v>0</v>
      </c>
      <c r="E56" s="78" t="b">
        <f t="shared" si="3"/>
        <v>0</v>
      </c>
      <c r="F56" s="78" t="b">
        <f t="shared" si="4"/>
        <v>0</v>
      </c>
      <c r="G56" s="78" t="b">
        <f t="shared" si="5"/>
        <v>0</v>
      </c>
      <c r="H56" s="78" t="b">
        <f t="shared" si="6"/>
        <v>0</v>
      </c>
    </row>
    <row r="57" spans="1:8" ht="15.75" customHeight="1">
      <c r="A57" s="32" t="s">
        <v>261</v>
      </c>
      <c r="B57" s="78" t="b">
        <f t="shared" si="0"/>
        <v>0</v>
      </c>
      <c r="C57" s="78" t="b">
        <f t="shared" si="1"/>
        <v>0</v>
      </c>
      <c r="D57" s="78" t="b">
        <f t="shared" si="2"/>
        <v>0</v>
      </c>
      <c r="E57" s="78" t="b">
        <f t="shared" si="3"/>
        <v>0</v>
      </c>
      <c r="F57" s="78" t="b">
        <f t="shared" si="4"/>
        <v>0</v>
      </c>
      <c r="G57" s="78" t="b">
        <f t="shared" si="5"/>
        <v>0</v>
      </c>
      <c r="H57" s="78" t="b">
        <f t="shared" si="6"/>
        <v>0</v>
      </c>
    </row>
  </sheetData>
  <mergeCells count="1">
    <mergeCell ref="C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32BC-DE8D-4F07-A12A-D7C6A9649147}">
  <sheetPr>
    <outlinePr summaryBelow="0" summaryRight="0"/>
  </sheetPr>
  <dimension ref="A1:H57"/>
  <sheetViews>
    <sheetView workbookViewId="0"/>
  </sheetViews>
  <sheetFormatPr defaultColWidth="12.6640625" defaultRowHeight="15.75" customHeight="1"/>
  <cols>
    <col min="1" max="16384" width="12.6640625" style="2"/>
  </cols>
  <sheetData>
    <row r="1" spans="1:8" ht="15.75" customHeight="1">
      <c r="D1" s="1" t="s">
        <v>472</v>
      </c>
    </row>
    <row r="2" spans="1:8" ht="15.75" customHeight="1">
      <c r="A2" s="32"/>
      <c r="C2" s="75" t="s">
        <v>274</v>
      </c>
      <c r="D2" s="5"/>
      <c r="E2" s="5"/>
      <c r="F2" s="5"/>
      <c r="G2" s="5"/>
      <c r="H2" s="5"/>
    </row>
    <row r="3" spans="1:8" ht="15.75" customHeight="1">
      <c r="A3" s="32" t="s">
        <v>231</v>
      </c>
      <c r="B3" s="1" t="s">
        <v>474</v>
      </c>
      <c r="C3" s="32" t="s">
        <v>39</v>
      </c>
      <c r="D3" s="32" t="s">
        <v>38</v>
      </c>
      <c r="E3" s="32" t="s">
        <v>263</v>
      </c>
      <c r="F3" s="32" t="s">
        <v>264</v>
      </c>
      <c r="G3" s="32" t="s">
        <v>63</v>
      </c>
      <c r="H3" s="32" t="s">
        <v>265</v>
      </c>
    </row>
    <row r="4" spans="1:8" ht="15.75" customHeight="1">
      <c r="A4" s="32" t="s">
        <v>237</v>
      </c>
      <c r="B4" s="1">
        <v>4.8000000000000001E-2</v>
      </c>
      <c r="C4" s="122">
        <v>4.5699999999999998E-2</v>
      </c>
      <c r="D4" s="122">
        <v>3.5900000000000001E-2</v>
      </c>
      <c r="E4" s="122">
        <v>4.5100000000000001E-2</v>
      </c>
      <c r="F4" s="122">
        <v>3.0200000000000001E-2</v>
      </c>
      <c r="G4" s="122">
        <v>3.7100000000000001E-2</v>
      </c>
      <c r="H4" s="122">
        <v>2.8000000000000001E-2</v>
      </c>
    </row>
    <row r="5" spans="1:8" ht="15.75" customHeight="1">
      <c r="A5" s="32" t="s">
        <v>238</v>
      </c>
      <c r="B5" s="1">
        <v>0.05</v>
      </c>
      <c r="C5" s="122">
        <v>4.4499999999999998E-2</v>
      </c>
      <c r="D5" s="122">
        <v>3.8300000000000001E-2</v>
      </c>
      <c r="E5" s="122">
        <v>4.24E-2</v>
      </c>
      <c r="F5" s="122">
        <v>3.56E-2</v>
      </c>
      <c r="G5" s="122">
        <v>3.8699999999999998E-2</v>
      </c>
      <c r="H5" s="122">
        <v>3.3099999999999997E-2</v>
      </c>
    </row>
    <row r="6" spans="1:8" ht="15.75" customHeight="1">
      <c r="A6" s="32" t="s">
        <v>239</v>
      </c>
      <c r="B6" s="1">
        <v>3.4000000000000002E-2</v>
      </c>
      <c r="C6" s="122">
        <v>3.73E-2</v>
      </c>
      <c r="D6" s="122">
        <v>3.0800000000000001E-2</v>
      </c>
      <c r="E6" s="122">
        <v>3.5000000000000003E-2</v>
      </c>
      <c r="F6" s="122">
        <v>2.7199999999999998E-2</v>
      </c>
      <c r="G6" s="122">
        <v>3.5700000000000003E-2</v>
      </c>
      <c r="H6" s="122">
        <v>2.8199999999999999E-2</v>
      </c>
    </row>
    <row r="7" spans="1:8" ht="15.75" customHeight="1">
      <c r="A7" s="32" t="s">
        <v>240</v>
      </c>
      <c r="B7" s="1">
        <v>2.9000000000000001E-2</v>
      </c>
      <c r="C7" s="122">
        <v>4.3900000000000002E-2</v>
      </c>
      <c r="D7" s="122">
        <v>4.99E-2</v>
      </c>
      <c r="E7" s="122">
        <v>4.1399999999999999E-2</v>
      </c>
      <c r="F7" s="122">
        <v>4.5100000000000001E-2</v>
      </c>
      <c r="G7" s="122">
        <v>3.8399999999999997E-2</v>
      </c>
      <c r="H7" s="122">
        <v>3.9600000000000003E-2</v>
      </c>
    </row>
    <row r="8" spans="1:8" ht="15.75" customHeight="1">
      <c r="A8" s="32" t="s">
        <v>241</v>
      </c>
      <c r="B8" s="1">
        <v>0.03</v>
      </c>
      <c r="C8" s="122">
        <v>5.21E-2</v>
      </c>
      <c r="D8" s="122">
        <v>3.0200000000000001E-2</v>
      </c>
      <c r="E8" s="122">
        <v>4.6300000000000001E-2</v>
      </c>
      <c r="F8" s="122">
        <v>2.7E-2</v>
      </c>
      <c r="G8" s="122">
        <v>3.1199999999999999E-2</v>
      </c>
      <c r="H8" s="122">
        <v>2.4E-2</v>
      </c>
    </row>
    <row r="9" spans="1:8" ht="15.75" customHeight="1">
      <c r="A9" s="32" t="s">
        <v>242</v>
      </c>
      <c r="B9" s="1">
        <v>2.4E-2</v>
      </c>
      <c r="C9" s="122">
        <v>3.27E-2</v>
      </c>
      <c r="D9" s="122">
        <v>2.5499999999999998E-2</v>
      </c>
      <c r="E9" s="122">
        <v>3.0300000000000001E-2</v>
      </c>
      <c r="F9" s="122">
        <v>2.3099999999999999E-2</v>
      </c>
      <c r="G9" s="122">
        <v>2.5999999999999999E-2</v>
      </c>
      <c r="H9" s="122">
        <v>2.0500000000000001E-2</v>
      </c>
    </row>
    <row r="10" spans="1:8" ht="15.75" customHeight="1">
      <c r="A10" s="32" t="s">
        <v>243</v>
      </c>
      <c r="B10" s="1">
        <v>2.9000000000000001E-2</v>
      </c>
      <c r="C10" s="122">
        <v>3.8100000000000002E-2</v>
      </c>
      <c r="D10" s="122">
        <v>2.87E-2</v>
      </c>
      <c r="E10" s="122">
        <v>3.4599999999999999E-2</v>
      </c>
      <c r="F10" s="122">
        <v>2.4500000000000001E-2</v>
      </c>
      <c r="G10" s="122">
        <v>3.1E-2</v>
      </c>
      <c r="H10" s="122">
        <v>2.2499999999999999E-2</v>
      </c>
    </row>
    <row r="11" spans="1:8" ht="15.75" customHeight="1">
      <c r="A11" s="32" t="s">
        <v>244</v>
      </c>
      <c r="B11" s="1">
        <v>2.1000000000000001E-2</v>
      </c>
      <c r="C11" s="122">
        <v>2.2800000000000001E-2</v>
      </c>
      <c r="D11" s="122">
        <v>1.7600000000000001E-2</v>
      </c>
      <c r="E11" s="122">
        <v>2.0500000000000001E-2</v>
      </c>
      <c r="F11" s="122">
        <v>1.49E-2</v>
      </c>
      <c r="G11" s="122">
        <v>1.9E-2</v>
      </c>
      <c r="H11" s="122">
        <v>1.4200000000000001E-2</v>
      </c>
    </row>
    <row r="12" spans="1:8" ht="15.75" customHeight="1">
      <c r="A12" s="32" t="s">
        <v>245</v>
      </c>
      <c r="B12" s="1">
        <v>2.4E-2</v>
      </c>
      <c r="C12" s="122">
        <v>2.9700000000000001E-2</v>
      </c>
      <c r="D12" s="122">
        <v>2.2700000000000001E-2</v>
      </c>
      <c r="E12" s="122">
        <v>2.6499999999999999E-2</v>
      </c>
      <c r="F12" s="122">
        <v>1.9099999999999999E-2</v>
      </c>
      <c r="G12" s="122">
        <v>2.3800000000000002E-2</v>
      </c>
      <c r="H12" s="122">
        <v>1.78E-2</v>
      </c>
    </row>
    <row r="13" spans="1:8" ht="15.75" customHeight="1">
      <c r="A13" s="32" t="s">
        <v>246</v>
      </c>
      <c r="B13" s="1">
        <v>3.2000000000000001E-2</v>
      </c>
      <c r="C13" s="122">
        <v>3.2800000000000003E-2</v>
      </c>
      <c r="D13" s="122">
        <v>3.04E-2</v>
      </c>
      <c r="E13" s="122">
        <v>3.0800000000000001E-2</v>
      </c>
      <c r="F13" s="122">
        <v>1.9400000000000001E-2</v>
      </c>
      <c r="G13" s="122">
        <v>2.9600000000000001E-2</v>
      </c>
      <c r="H13" s="122">
        <v>1.43E-2</v>
      </c>
    </row>
    <row r="14" spans="1:8" ht="15.75" customHeight="1">
      <c r="A14" s="32" t="s">
        <v>247</v>
      </c>
      <c r="B14" s="1">
        <v>3.3000000000000002E-2</v>
      </c>
      <c r="C14" s="122">
        <v>3.95E-2</v>
      </c>
      <c r="D14" s="122">
        <v>2.5000000000000001E-2</v>
      </c>
      <c r="E14" s="122">
        <v>4.6800000000000001E-2</v>
      </c>
      <c r="F14" s="122">
        <v>2.06E-2</v>
      </c>
      <c r="G14" s="122">
        <v>2.9000000000000001E-2</v>
      </c>
      <c r="H14" s="122">
        <v>1.67E-2</v>
      </c>
    </row>
    <row r="15" spans="1:8" ht="15.75" customHeight="1">
      <c r="A15" s="32" t="s">
        <v>248</v>
      </c>
      <c r="B15" s="1">
        <v>0.03</v>
      </c>
      <c r="C15" s="122">
        <v>3.5200000000000002E-2</v>
      </c>
      <c r="D15" s="122">
        <v>2.5399999999999999E-2</v>
      </c>
      <c r="E15" s="122">
        <v>3.2899999999999999E-2</v>
      </c>
      <c r="F15" s="122">
        <v>2.1899999999999999E-2</v>
      </c>
      <c r="G15" s="122">
        <v>2.6800000000000001E-2</v>
      </c>
      <c r="H15" s="122">
        <v>1.8499999999999999E-2</v>
      </c>
    </row>
    <row r="16" spans="1:8" ht="15.75" customHeight="1">
      <c r="A16" s="32" t="s">
        <v>249</v>
      </c>
      <c r="B16" s="1">
        <v>7.8E-2</v>
      </c>
      <c r="C16" s="122">
        <v>5.0599999999999999E-2</v>
      </c>
      <c r="D16" s="122">
        <v>3.9800000000000002E-2</v>
      </c>
      <c r="E16" s="122">
        <v>4.7500000000000001E-2</v>
      </c>
      <c r="F16" s="122">
        <v>3.6700000000000003E-2</v>
      </c>
      <c r="G16" s="122">
        <v>3.8899999999999997E-2</v>
      </c>
      <c r="H16" s="122">
        <v>2.9100000000000001E-2</v>
      </c>
    </row>
    <row r="17" spans="1:8" ht="15.75" customHeight="1">
      <c r="A17" s="32" t="s">
        <v>250</v>
      </c>
      <c r="B17" s="1">
        <v>2.9000000000000001E-2</v>
      </c>
      <c r="C17" s="122">
        <v>3.9699999999999999E-2</v>
      </c>
      <c r="D17" s="122">
        <v>2.98E-2</v>
      </c>
      <c r="E17" s="122">
        <v>3.5799999999999998E-2</v>
      </c>
      <c r="F17" s="122">
        <v>2.6100000000000002E-2</v>
      </c>
      <c r="G17" s="122">
        <v>3.27E-2</v>
      </c>
      <c r="H17" s="122">
        <v>2.47E-2</v>
      </c>
    </row>
    <row r="18" spans="1:8" ht="15.75" customHeight="1">
      <c r="A18" s="32" t="s">
        <v>251</v>
      </c>
      <c r="B18" s="1">
        <v>2.1999999999999999E-2</v>
      </c>
      <c r="C18" s="122">
        <v>2.2800000000000001E-2</v>
      </c>
      <c r="D18" s="122">
        <v>1.7500000000000002E-2</v>
      </c>
      <c r="E18" s="122">
        <v>2.0500000000000001E-2</v>
      </c>
      <c r="F18" s="122">
        <v>1.5299999999999999E-2</v>
      </c>
      <c r="G18" s="122">
        <v>1.9699999999999999E-2</v>
      </c>
      <c r="H18" s="122">
        <v>1.5100000000000001E-2</v>
      </c>
    </row>
    <row r="19" spans="1:8" ht="15.75" customHeight="1">
      <c r="A19" s="32" t="s">
        <v>252</v>
      </c>
      <c r="B19" s="1">
        <v>2.5999999999999999E-2</v>
      </c>
      <c r="C19" s="122">
        <v>3.0200000000000001E-2</v>
      </c>
      <c r="D19" s="122">
        <v>2.3E-2</v>
      </c>
      <c r="E19" s="122">
        <v>2.7E-2</v>
      </c>
      <c r="F19" s="122">
        <v>0.02</v>
      </c>
      <c r="G19" s="122">
        <v>2.4899999999999999E-2</v>
      </c>
      <c r="H19" s="122">
        <v>1.9099999999999999E-2</v>
      </c>
    </row>
    <row r="20" spans="1:8" ht="15.75" customHeight="1">
      <c r="A20" s="32" t="s">
        <v>253</v>
      </c>
      <c r="B20" s="1">
        <v>5.1999999999999998E-2</v>
      </c>
      <c r="C20" s="122">
        <v>4.0800000000000003E-2</v>
      </c>
      <c r="D20" s="122">
        <v>3.1600000000000003E-2</v>
      </c>
      <c r="E20" s="122">
        <v>3.7999999999999999E-2</v>
      </c>
      <c r="F20" s="122">
        <v>2.8799999999999999E-2</v>
      </c>
      <c r="G20" s="122">
        <v>3.6299999999999999E-2</v>
      </c>
      <c r="H20" s="122">
        <v>2.81E-2</v>
      </c>
    </row>
    <row r="21" spans="1:8" ht="15.75" customHeight="1">
      <c r="A21" s="32" t="s">
        <v>254</v>
      </c>
      <c r="B21" s="1">
        <v>9.2999999999999999E-2</v>
      </c>
      <c r="C21" s="122">
        <v>3.3099999999999997E-2</v>
      </c>
      <c r="D21" s="122">
        <v>2.5899999999999999E-2</v>
      </c>
      <c r="E21" s="122">
        <v>3.04E-2</v>
      </c>
      <c r="F21" s="122">
        <v>2.2700000000000001E-2</v>
      </c>
      <c r="G21" s="122">
        <v>2.8799999999999999E-2</v>
      </c>
      <c r="H21" s="122">
        <v>2.1999999999999999E-2</v>
      </c>
    </row>
    <row r="22" spans="1:8" ht="15.75" customHeight="1">
      <c r="A22" s="32" t="s">
        <v>255</v>
      </c>
      <c r="B22" s="1">
        <v>2.4E-2</v>
      </c>
      <c r="C22" s="122">
        <v>2.4400000000000002E-2</v>
      </c>
      <c r="D22" s="122">
        <v>1.7899999999999999E-2</v>
      </c>
      <c r="E22" s="122">
        <v>2.24E-2</v>
      </c>
      <c r="F22" s="122">
        <v>1.5900000000000001E-2</v>
      </c>
      <c r="G22" s="122">
        <v>1.95E-2</v>
      </c>
      <c r="H22" s="122">
        <v>1.46E-2</v>
      </c>
    </row>
    <row r="23" spans="1:8" ht="15.75" customHeight="1">
      <c r="A23" s="32" t="s">
        <v>256</v>
      </c>
      <c r="B23" s="1">
        <v>2.7E-2</v>
      </c>
      <c r="C23" s="122">
        <v>3.0599999999999999E-2</v>
      </c>
      <c r="D23" s="122">
        <v>2.23E-2</v>
      </c>
      <c r="E23" s="122">
        <v>2.81E-2</v>
      </c>
      <c r="F23" s="122">
        <v>1.9800000000000002E-2</v>
      </c>
      <c r="G23" s="122">
        <v>2.41E-2</v>
      </c>
      <c r="H23" s="122">
        <v>1.7999999999999999E-2</v>
      </c>
    </row>
    <row r="24" spans="1:8" ht="15.75" customHeight="1">
      <c r="A24" s="32" t="s">
        <v>257</v>
      </c>
      <c r="B24" s="1">
        <v>2.5999999999999999E-2</v>
      </c>
      <c r="C24" s="122">
        <v>3.3500000000000002E-2</v>
      </c>
      <c r="D24" s="122">
        <v>2.4199999999999999E-2</v>
      </c>
      <c r="E24" s="122">
        <v>3.09E-2</v>
      </c>
      <c r="F24" s="122">
        <v>2.1499999999999998E-2</v>
      </c>
      <c r="G24" s="122">
        <v>2.6700000000000002E-2</v>
      </c>
      <c r="H24" s="122">
        <v>1.9699999999999999E-2</v>
      </c>
    </row>
    <row r="25" spans="1:8" ht="15.75" customHeight="1">
      <c r="A25" s="32" t="s">
        <v>258</v>
      </c>
      <c r="B25" s="1">
        <v>3.7999999999999999E-2</v>
      </c>
      <c r="C25" s="122">
        <v>4.0800000000000003E-2</v>
      </c>
      <c r="D25" s="122">
        <v>3.15E-2</v>
      </c>
      <c r="E25" s="122">
        <v>3.7900000000000003E-2</v>
      </c>
      <c r="F25" s="122">
        <v>2.81E-2</v>
      </c>
      <c r="G25" s="122">
        <v>3.3599999999999998E-2</v>
      </c>
      <c r="H25" s="122">
        <v>2.6599999999999999E-2</v>
      </c>
    </row>
    <row r="26" spans="1:8" ht="15.75" customHeight="1">
      <c r="A26" s="32" t="s">
        <v>259</v>
      </c>
      <c r="B26" s="1">
        <v>2.4E-2</v>
      </c>
      <c r="C26" s="122">
        <v>2.92E-2</v>
      </c>
      <c r="D26" s="122">
        <v>2.1600000000000001E-2</v>
      </c>
      <c r="E26" s="122">
        <v>2.7099999999999999E-2</v>
      </c>
      <c r="F26" s="122">
        <v>1.8700000000000001E-2</v>
      </c>
      <c r="G26" s="122">
        <v>2.3599999999999999E-2</v>
      </c>
      <c r="H26" s="122">
        <v>1.6899999999999998E-2</v>
      </c>
    </row>
    <row r="27" spans="1:8" ht="15.75" customHeight="1">
      <c r="A27" s="32" t="s">
        <v>260</v>
      </c>
      <c r="B27" s="1">
        <v>1.7999999999999999E-2</v>
      </c>
      <c r="C27" s="122">
        <v>1.9900000000000001E-2</v>
      </c>
      <c r="D27" s="122">
        <v>1.52E-2</v>
      </c>
      <c r="E27" s="122">
        <v>1.83E-2</v>
      </c>
      <c r="F27" s="122">
        <v>1.3100000000000001E-2</v>
      </c>
      <c r="G27" s="122">
        <v>1.6400000000000001E-2</v>
      </c>
      <c r="H27" s="122">
        <v>1.21E-2</v>
      </c>
    </row>
    <row r="28" spans="1:8" ht="15.75" customHeight="1">
      <c r="A28" s="32" t="s">
        <v>261</v>
      </c>
      <c r="B28" s="1">
        <v>0.02</v>
      </c>
      <c r="C28" s="122">
        <v>2.4299999999999999E-2</v>
      </c>
      <c r="D28" s="122">
        <v>1.83E-2</v>
      </c>
      <c r="E28" s="122">
        <v>2.2200000000000001E-2</v>
      </c>
      <c r="F28" s="122">
        <v>1.5699999999999999E-2</v>
      </c>
      <c r="G28" s="122">
        <v>1.9400000000000001E-2</v>
      </c>
      <c r="H28" s="122">
        <v>1.43E-2</v>
      </c>
    </row>
    <row r="31" spans="1:8" ht="15.75" customHeight="1">
      <c r="A31" s="1" t="s">
        <v>475</v>
      </c>
      <c r="B31" s="1" t="s">
        <v>472</v>
      </c>
    </row>
    <row r="32" spans="1:8" ht="15.75" customHeight="1">
      <c r="A32" s="32" t="s">
        <v>231</v>
      </c>
      <c r="B32" s="1" t="s">
        <v>474</v>
      </c>
      <c r="C32" s="32" t="s">
        <v>39</v>
      </c>
      <c r="D32" s="32" t="s">
        <v>38</v>
      </c>
      <c r="E32" s="32" t="s">
        <v>263</v>
      </c>
      <c r="F32" s="32" t="s">
        <v>264</v>
      </c>
      <c r="G32" s="32" t="s">
        <v>63</v>
      </c>
      <c r="H32" s="32" t="s">
        <v>265</v>
      </c>
    </row>
    <row r="33" spans="1:8" ht="15.75" customHeight="1">
      <c r="A33" s="32" t="s">
        <v>237</v>
      </c>
      <c r="B33" s="78" t="b">
        <f t="shared" ref="B33:B57" si="0">B4&gt;0.05</f>
        <v>0</v>
      </c>
      <c r="C33" s="78" t="b">
        <f t="shared" ref="C33:C57" si="1">IF(C4&gt;0.035, IF(C4&gt;0.063, TRUE, FALSE), IF(C4&gt;0.027, TRUE, FALSE))</f>
        <v>0</v>
      </c>
      <c r="D33" s="77" t="b">
        <f t="shared" ref="D33:D57" si="2">D4&gt;0.027</f>
        <v>1</v>
      </c>
      <c r="E33" s="78" t="b">
        <f t="shared" ref="E33:E57" si="3">IF(E4&gt;0.035, IF(E4&gt;0.063, TRUE, FALSE), IF(E4&gt;0.027, TRUE, FALSE))</f>
        <v>0</v>
      </c>
      <c r="F33" s="77" t="b">
        <f t="shared" ref="F33:F57" si="4">F4&gt;0.027</f>
        <v>1</v>
      </c>
      <c r="G33" s="78" t="b">
        <f t="shared" ref="G33:G57" si="5">IF(G4&gt;0.035, IF(G4&gt;0.063, TRUE, FALSE), IF(G4&gt;0.027, TRUE, FALSE))</f>
        <v>0</v>
      </c>
      <c r="H33" s="77" t="b">
        <f t="shared" ref="H33:H57" si="6">H4&gt;0.027</f>
        <v>1</v>
      </c>
    </row>
    <row r="34" spans="1:8" ht="15.75" customHeight="1">
      <c r="A34" s="32" t="s">
        <v>238</v>
      </c>
      <c r="B34" s="78" t="b">
        <f t="shared" si="0"/>
        <v>0</v>
      </c>
      <c r="C34" s="78" t="b">
        <f t="shared" si="1"/>
        <v>0</v>
      </c>
      <c r="D34" s="77" t="b">
        <f t="shared" si="2"/>
        <v>1</v>
      </c>
      <c r="E34" s="78" t="b">
        <f t="shared" si="3"/>
        <v>0</v>
      </c>
      <c r="F34" s="77" t="b">
        <f t="shared" si="4"/>
        <v>1</v>
      </c>
      <c r="G34" s="78" t="b">
        <f t="shared" si="5"/>
        <v>0</v>
      </c>
      <c r="H34" s="77" t="b">
        <f t="shared" si="6"/>
        <v>1</v>
      </c>
    </row>
    <row r="35" spans="1:8" ht="15.75" customHeight="1">
      <c r="A35" s="32" t="s">
        <v>239</v>
      </c>
      <c r="B35" s="78" t="b">
        <f t="shared" si="0"/>
        <v>0</v>
      </c>
      <c r="C35" s="78" t="b">
        <f t="shared" si="1"/>
        <v>0</v>
      </c>
      <c r="D35" s="77" t="b">
        <f t="shared" si="2"/>
        <v>1</v>
      </c>
      <c r="E35" s="77" t="b">
        <f t="shared" si="3"/>
        <v>1</v>
      </c>
      <c r="F35" s="77" t="b">
        <f t="shared" si="4"/>
        <v>1</v>
      </c>
      <c r="G35" s="78" t="b">
        <f t="shared" si="5"/>
        <v>0</v>
      </c>
      <c r="H35" s="77" t="b">
        <f t="shared" si="6"/>
        <v>1</v>
      </c>
    </row>
    <row r="36" spans="1:8" ht="15.75" customHeight="1">
      <c r="A36" s="32" t="s">
        <v>240</v>
      </c>
      <c r="B36" s="78" t="b">
        <f t="shared" si="0"/>
        <v>0</v>
      </c>
      <c r="C36" s="78" t="b">
        <f t="shared" si="1"/>
        <v>0</v>
      </c>
      <c r="D36" s="77" t="b">
        <f t="shared" si="2"/>
        <v>1</v>
      </c>
      <c r="E36" s="78" t="b">
        <f t="shared" si="3"/>
        <v>0</v>
      </c>
      <c r="F36" s="77" t="b">
        <f t="shared" si="4"/>
        <v>1</v>
      </c>
      <c r="G36" s="78" t="b">
        <f t="shared" si="5"/>
        <v>0</v>
      </c>
      <c r="H36" s="77" t="b">
        <f t="shared" si="6"/>
        <v>1</v>
      </c>
    </row>
    <row r="37" spans="1:8" ht="15.75" customHeight="1">
      <c r="A37" s="32" t="s">
        <v>241</v>
      </c>
      <c r="B37" s="78" t="b">
        <f t="shared" si="0"/>
        <v>0</v>
      </c>
      <c r="C37" s="78" t="b">
        <f t="shared" si="1"/>
        <v>0</v>
      </c>
      <c r="D37" s="77" t="b">
        <f t="shared" si="2"/>
        <v>1</v>
      </c>
      <c r="E37" s="78" t="b">
        <f t="shared" si="3"/>
        <v>0</v>
      </c>
      <c r="F37" s="78" t="b">
        <f t="shared" si="4"/>
        <v>0</v>
      </c>
      <c r="G37" s="77" t="b">
        <f t="shared" si="5"/>
        <v>1</v>
      </c>
      <c r="H37" s="78" t="b">
        <f t="shared" si="6"/>
        <v>0</v>
      </c>
    </row>
    <row r="38" spans="1:8" ht="15.75" customHeight="1">
      <c r="A38" s="32" t="s">
        <v>242</v>
      </c>
      <c r="B38" s="78" t="b">
        <f t="shared" si="0"/>
        <v>0</v>
      </c>
      <c r="C38" s="77" t="b">
        <f t="shared" si="1"/>
        <v>1</v>
      </c>
      <c r="D38" s="78" t="b">
        <f t="shared" si="2"/>
        <v>0</v>
      </c>
      <c r="E38" s="77" t="b">
        <f t="shared" si="3"/>
        <v>1</v>
      </c>
      <c r="F38" s="78" t="b">
        <f t="shared" si="4"/>
        <v>0</v>
      </c>
      <c r="G38" s="78" t="b">
        <f t="shared" si="5"/>
        <v>0</v>
      </c>
      <c r="H38" s="78" t="b">
        <f t="shared" si="6"/>
        <v>0</v>
      </c>
    </row>
    <row r="39" spans="1:8" ht="15.75" customHeight="1">
      <c r="A39" s="32" t="s">
        <v>243</v>
      </c>
      <c r="B39" s="78" t="b">
        <f t="shared" si="0"/>
        <v>0</v>
      </c>
      <c r="C39" s="78" t="b">
        <f t="shared" si="1"/>
        <v>0</v>
      </c>
      <c r="D39" s="77" t="b">
        <f t="shared" si="2"/>
        <v>1</v>
      </c>
      <c r="E39" s="77" t="b">
        <f t="shared" si="3"/>
        <v>1</v>
      </c>
      <c r="F39" s="78" t="b">
        <f t="shared" si="4"/>
        <v>0</v>
      </c>
      <c r="G39" s="77" t="b">
        <f t="shared" si="5"/>
        <v>1</v>
      </c>
      <c r="H39" s="78" t="b">
        <f t="shared" si="6"/>
        <v>0</v>
      </c>
    </row>
    <row r="40" spans="1:8" ht="15.75" customHeight="1">
      <c r="A40" s="32" t="s">
        <v>244</v>
      </c>
      <c r="B40" s="78" t="b">
        <f t="shared" si="0"/>
        <v>0</v>
      </c>
      <c r="C40" s="78" t="b">
        <f t="shared" si="1"/>
        <v>0</v>
      </c>
      <c r="D40" s="78" t="b">
        <f t="shared" si="2"/>
        <v>0</v>
      </c>
      <c r="E40" s="78" t="b">
        <f t="shared" si="3"/>
        <v>0</v>
      </c>
      <c r="F40" s="78" t="b">
        <f t="shared" si="4"/>
        <v>0</v>
      </c>
      <c r="G40" s="78" t="b">
        <f t="shared" si="5"/>
        <v>0</v>
      </c>
      <c r="H40" s="78" t="b">
        <f t="shared" si="6"/>
        <v>0</v>
      </c>
    </row>
    <row r="41" spans="1:8" ht="15.75" customHeight="1">
      <c r="A41" s="32" t="s">
        <v>245</v>
      </c>
      <c r="B41" s="78" t="b">
        <f t="shared" si="0"/>
        <v>0</v>
      </c>
      <c r="C41" s="77" t="b">
        <f t="shared" si="1"/>
        <v>1</v>
      </c>
      <c r="D41" s="78" t="b">
        <f t="shared" si="2"/>
        <v>0</v>
      </c>
      <c r="E41" s="78" t="b">
        <f t="shared" si="3"/>
        <v>0</v>
      </c>
      <c r="F41" s="78" t="b">
        <f t="shared" si="4"/>
        <v>0</v>
      </c>
      <c r="G41" s="78" t="b">
        <f t="shared" si="5"/>
        <v>0</v>
      </c>
      <c r="H41" s="78" t="b">
        <f t="shared" si="6"/>
        <v>0</v>
      </c>
    </row>
    <row r="42" spans="1:8" ht="15.75" customHeight="1">
      <c r="A42" s="32" t="s">
        <v>246</v>
      </c>
      <c r="B42" s="78" t="b">
        <f t="shared" si="0"/>
        <v>0</v>
      </c>
      <c r="C42" s="77" t="b">
        <f t="shared" si="1"/>
        <v>1</v>
      </c>
      <c r="D42" s="77" t="b">
        <f t="shared" si="2"/>
        <v>1</v>
      </c>
      <c r="E42" s="77" t="b">
        <f t="shared" si="3"/>
        <v>1</v>
      </c>
      <c r="F42" s="78" t="b">
        <f t="shared" si="4"/>
        <v>0</v>
      </c>
      <c r="G42" s="77" t="b">
        <f t="shared" si="5"/>
        <v>1</v>
      </c>
      <c r="H42" s="78" t="b">
        <f t="shared" si="6"/>
        <v>0</v>
      </c>
    </row>
    <row r="43" spans="1:8" ht="15.75" customHeight="1">
      <c r="A43" s="32" t="s">
        <v>247</v>
      </c>
      <c r="B43" s="78" t="b">
        <f t="shared" si="0"/>
        <v>0</v>
      </c>
      <c r="C43" s="78" t="b">
        <f t="shared" si="1"/>
        <v>0</v>
      </c>
      <c r="D43" s="78" t="b">
        <f t="shared" si="2"/>
        <v>0</v>
      </c>
      <c r="E43" s="78" t="b">
        <f t="shared" si="3"/>
        <v>0</v>
      </c>
      <c r="F43" s="78" t="b">
        <f t="shared" si="4"/>
        <v>0</v>
      </c>
      <c r="G43" s="77" t="b">
        <f t="shared" si="5"/>
        <v>1</v>
      </c>
      <c r="H43" s="78" t="b">
        <f t="shared" si="6"/>
        <v>0</v>
      </c>
    </row>
    <row r="44" spans="1:8" ht="15.75" customHeight="1">
      <c r="A44" s="32" t="s">
        <v>248</v>
      </c>
      <c r="B44" s="78" t="b">
        <f t="shared" si="0"/>
        <v>0</v>
      </c>
      <c r="C44" s="78" t="b">
        <f t="shared" si="1"/>
        <v>0</v>
      </c>
      <c r="D44" s="78" t="b">
        <f t="shared" si="2"/>
        <v>0</v>
      </c>
      <c r="E44" s="77" t="b">
        <f t="shared" si="3"/>
        <v>1</v>
      </c>
      <c r="F44" s="78" t="b">
        <f t="shared" si="4"/>
        <v>0</v>
      </c>
      <c r="G44" s="78" t="b">
        <f t="shared" si="5"/>
        <v>0</v>
      </c>
      <c r="H44" s="78" t="b">
        <f t="shared" si="6"/>
        <v>0</v>
      </c>
    </row>
    <row r="45" spans="1:8" ht="15.75" customHeight="1">
      <c r="A45" s="32" t="s">
        <v>249</v>
      </c>
      <c r="B45" s="77" t="b">
        <f t="shared" si="0"/>
        <v>1</v>
      </c>
      <c r="C45" s="78" t="b">
        <f t="shared" si="1"/>
        <v>0</v>
      </c>
      <c r="D45" s="77" t="b">
        <f t="shared" si="2"/>
        <v>1</v>
      </c>
      <c r="E45" s="78" t="b">
        <f t="shared" si="3"/>
        <v>0</v>
      </c>
      <c r="F45" s="77" t="b">
        <f t="shared" si="4"/>
        <v>1</v>
      </c>
      <c r="G45" s="78" t="b">
        <f t="shared" si="5"/>
        <v>0</v>
      </c>
      <c r="H45" s="77" t="b">
        <f t="shared" si="6"/>
        <v>1</v>
      </c>
    </row>
    <row r="46" spans="1:8" ht="15.75" customHeight="1">
      <c r="A46" s="32" t="s">
        <v>250</v>
      </c>
      <c r="B46" s="78" t="b">
        <f t="shared" si="0"/>
        <v>0</v>
      </c>
      <c r="C46" s="78" t="b">
        <f t="shared" si="1"/>
        <v>0</v>
      </c>
      <c r="D46" s="77" t="b">
        <f t="shared" si="2"/>
        <v>1</v>
      </c>
      <c r="E46" s="78" t="b">
        <f t="shared" si="3"/>
        <v>0</v>
      </c>
      <c r="F46" s="78" t="b">
        <f t="shared" si="4"/>
        <v>0</v>
      </c>
      <c r="G46" s="77" t="b">
        <f t="shared" si="5"/>
        <v>1</v>
      </c>
      <c r="H46" s="78" t="b">
        <f t="shared" si="6"/>
        <v>0</v>
      </c>
    </row>
    <row r="47" spans="1:8" ht="15.75" customHeight="1">
      <c r="A47" s="32" t="s">
        <v>251</v>
      </c>
      <c r="B47" s="78" t="b">
        <f t="shared" si="0"/>
        <v>0</v>
      </c>
      <c r="C47" s="78" t="b">
        <f t="shared" si="1"/>
        <v>0</v>
      </c>
      <c r="D47" s="78" t="b">
        <f t="shared" si="2"/>
        <v>0</v>
      </c>
      <c r="E47" s="78" t="b">
        <f t="shared" si="3"/>
        <v>0</v>
      </c>
      <c r="F47" s="78" t="b">
        <f t="shared" si="4"/>
        <v>0</v>
      </c>
      <c r="G47" s="78" t="b">
        <f t="shared" si="5"/>
        <v>0</v>
      </c>
      <c r="H47" s="78" t="b">
        <f t="shared" si="6"/>
        <v>0</v>
      </c>
    </row>
    <row r="48" spans="1:8" ht="15.75" customHeight="1">
      <c r="A48" s="32" t="s">
        <v>252</v>
      </c>
      <c r="B48" s="78" t="b">
        <f t="shared" si="0"/>
        <v>0</v>
      </c>
      <c r="C48" s="77" t="b">
        <f t="shared" si="1"/>
        <v>1</v>
      </c>
      <c r="D48" s="78" t="b">
        <f t="shared" si="2"/>
        <v>0</v>
      </c>
      <c r="E48" s="78" t="b">
        <f t="shared" si="3"/>
        <v>0</v>
      </c>
      <c r="F48" s="78" t="b">
        <f t="shared" si="4"/>
        <v>0</v>
      </c>
      <c r="G48" s="78" t="b">
        <f t="shared" si="5"/>
        <v>0</v>
      </c>
      <c r="H48" s="78" t="b">
        <f t="shared" si="6"/>
        <v>0</v>
      </c>
    </row>
    <row r="49" spans="1:8" ht="15.75" customHeight="1">
      <c r="A49" s="32" t="s">
        <v>253</v>
      </c>
      <c r="B49" s="77" t="b">
        <f t="shared" si="0"/>
        <v>1</v>
      </c>
      <c r="C49" s="78" t="b">
        <f t="shared" si="1"/>
        <v>0</v>
      </c>
      <c r="D49" s="77" t="b">
        <f t="shared" si="2"/>
        <v>1</v>
      </c>
      <c r="E49" s="78" t="b">
        <f t="shared" si="3"/>
        <v>0</v>
      </c>
      <c r="F49" s="77" t="b">
        <f t="shared" si="4"/>
        <v>1</v>
      </c>
      <c r="G49" s="78" t="b">
        <f t="shared" si="5"/>
        <v>0</v>
      </c>
      <c r="H49" s="77" t="b">
        <f t="shared" si="6"/>
        <v>1</v>
      </c>
    </row>
    <row r="50" spans="1:8" ht="15.75" customHeight="1">
      <c r="A50" s="32" t="s">
        <v>254</v>
      </c>
      <c r="B50" s="77" t="b">
        <f t="shared" si="0"/>
        <v>1</v>
      </c>
      <c r="C50" s="77" t="b">
        <f t="shared" si="1"/>
        <v>1</v>
      </c>
      <c r="D50" s="78" t="b">
        <f t="shared" si="2"/>
        <v>0</v>
      </c>
      <c r="E50" s="77" t="b">
        <f t="shared" si="3"/>
        <v>1</v>
      </c>
      <c r="F50" s="78" t="b">
        <f t="shared" si="4"/>
        <v>0</v>
      </c>
      <c r="G50" s="77" t="b">
        <f t="shared" si="5"/>
        <v>1</v>
      </c>
      <c r="H50" s="78" t="b">
        <f t="shared" si="6"/>
        <v>0</v>
      </c>
    </row>
    <row r="51" spans="1:8" ht="15.75" customHeight="1">
      <c r="A51" s="32" t="s">
        <v>255</v>
      </c>
      <c r="B51" s="78" t="b">
        <f t="shared" si="0"/>
        <v>0</v>
      </c>
      <c r="C51" s="78" t="b">
        <f t="shared" si="1"/>
        <v>0</v>
      </c>
      <c r="D51" s="78" t="b">
        <f t="shared" si="2"/>
        <v>0</v>
      </c>
      <c r="E51" s="78" t="b">
        <f t="shared" si="3"/>
        <v>0</v>
      </c>
      <c r="F51" s="78" t="b">
        <f t="shared" si="4"/>
        <v>0</v>
      </c>
      <c r="G51" s="78" t="b">
        <f t="shared" si="5"/>
        <v>0</v>
      </c>
      <c r="H51" s="78" t="b">
        <f t="shared" si="6"/>
        <v>0</v>
      </c>
    </row>
    <row r="52" spans="1:8" ht="15.75" customHeight="1">
      <c r="A52" s="32" t="s">
        <v>256</v>
      </c>
      <c r="B52" s="78" t="b">
        <f t="shared" si="0"/>
        <v>0</v>
      </c>
      <c r="C52" s="77" t="b">
        <f t="shared" si="1"/>
        <v>1</v>
      </c>
      <c r="D52" s="78" t="b">
        <f t="shared" si="2"/>
        <v>0</v>
      </c>
      <c r="E52" s="77" t="b">
        <f t="shared" si="3"/>
        <v>1</v>
      </c>
      <c r="F52" s="78" t="b">
        <f t="shared" si="4"/>
        <v>0</v>
      </c>
      <c r="G52" s="78" t="b">
        <f t="shared" si="5"/>
        <v>0</v>
      </c>
      <c r="H52" s="78" t="b">
        <f t="shared" si="6"/>
        <v>0</v>
      </c>
    </row>
    <row r="53" spans="1:8" ht="15.75" customHeight="1">
      <c r="A53" s="32" t="s">
        <v>257</v>
      </c>
      <c r="B53" s="78" t="b">
        <f t="shared" si="0"/>
        <v>0</v>
      </c>
      <c r="C53" s="77" t="b">
        <f t="shared" si="1"/>
        <v>1</v>
      </c>
      <c r="D53" s="78" t="b">
        <f t="shared" si="2"/>
        <v>0</v>
      </c>
      <c r="E53" s="77" t="b">
        <f t="shared" si="3"/>
        <v>1</v>
      </c>
      <c r="F53" s="78" t="b">
        <f t="shared" si="4"/>
        <v>0</v>
      </c>
      <c r="G53" s="78" t="b">
        <f t="shared" si="5"/>
        <v>0</v>
      </c>
      <c r="H53" s="78" t="b">
        <f t="shared" si="6"/>
        <v>0</v>
      </c>
    </row>
    <row r="54" spans="1:8" ht="15.75" customHeight="1">
      <c r="A54" s="32" t="s">
        <v>258</v>
      </c>
      <c r="B54" s="78" t="b">
        <f t="shared" si="0"/>
        <v>0</v>
      </c>
      <c r="C54" s="78" t="b">
        <f t="shared" si="1"/>
        <v>0</v>
      </c>
      <c r="D54" s="77" t="b">
        <f t="shared" si="2"/>
        <v>1</v>
      </c>
      <c r="E54" s="78" t="b">
        <f t="shared" si="3"/>
        <v>0</v>
      </c>
      <c r="F54" s="77" t="b">
        <f t="shared" si="4"/>
        <v>1</v>
      </c>
      <c r="G54" s="77" t="b">
        <f t="shared" si="5"/>
        <v>1</v>
      </c>
      <c r="H54" s="77" t="b">
        <f t="shared" si="6"/>
        <v>0</v>
      </c>
    </row>
    <row r="55" spans="1:8" ht="15.75" customHeight="1">
      <c r="A55" s="32" t="s">
        <v>259</v>
      </c>
      <c r="B55" s="78" t="b">
        <f t="shared" si="0"/>
        <v>0</v>
      </c>
      <c r="C55" s="77" t="b">
        <f t="shared" si="1"/>
        <v>1</v>
      </c>
      <c r="D55" s="78" t="b">
        <f t="shared" si="2"/>
        <v>0</v>
      </c>
      <c r="E55" s="77" t="b">
        <f t="shared" si="3"/>
        <v>1</v>
      </c>
      <c r="F55" s="78" t="b">
        <f t="shared" si="4"/>
        <v>0</v>
      </c>
      <c r="G55" s="78" t="b">
        <f t="shared" si="5"/>
        <v>0</v>
      </c>
      <c r="H55" s="78" t="b">
        <f t="shared" si="6"/>
        <v>0</v>
      </c>
    </row>
    <row r="56" spans="1:8" ht="15.75" customHeight="1">
      <c r="A56" s="32" t="s">
        <v>260</v>
      </c>
      <c r="B56" s="78" t="b">
        <f t="shared" si="0"/>
        <v>0</v>
      </c>
      <c r="C56" s="78" t="b">
        <f t="shared" si="1"/>
        <v>0</v>
      </c>
      <c r="D56" s="78" t="b">
        <f t="shared" si="2"/>
        <v>0</v>
      </c>
      <c r="E56" s="78" t="b">
        <f t="shared" si="3"/>
        <v>0</v>
      </c>
      <c r="F56" s="78" t="b">
        <f t="shared" si="4"/>
        <v>0</v>
      </c>
      <c r="G56" s="78" t="b">
        <f t="shared" si="5"/>
        <v>0</v>
      </c>
      <c r="H56" s="78" t="b">
        <f t="shared" si="6"/>
        <v>0</v>
      </c>
    </row>
    <row r="57" spans="1:8" ht="15.75" customHeight="1">
      <c r="A57" s="32" t="s">
        <v>261</v>
      </c>
      <c r="B57" s="78" t="b">
        <f t="shared" si="0"/>
        <v>0</v>
      </c>
      <c r="C57" s="78" t="b">
        <f t="shared" si="1"/>
        <v>0</v>
      </c>
      <c r="D57" s="78" t="b">
        <f t="shared" si="2"/>
        <v>0</v>
      </c>
      <c r="E57" s="78" t="b">
        <f t="shared" si="3"/>
        <v>0</v>
      </c>
      <c r="F57" s="78" t="b">
        <f t="shared" si="4"/>
        <v>0</v>
      </c>
      <c r="G57" s="78" t="b">
        <f t="shared" si="5"/>
        <v>0</v>
      </c>
      <c r="H57" s="78" t="b">
        <f t="shared" si="6"/>
        <v>0</v>
      </c>
    </row>
  </sheetData>
  <mergeCells count="1">
    <mergeCell ref="C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FFD8-3299-492B-8D0A-CADB4FB17356}">
  <sheetPr>
    <outlinePr summaryBelow="0" summaryRight="0"/>
  </sheetPr>
  <dimension ref="A2:H23"/>
  <sheetViews>
    <sheetView workbookViewId="0"/>
  </sheetViews>
  <sheetFormatPr defaultColWidth="12.6640625" defaultRowHeight="15.75" customHeight="1"/>
  <cols>
    <col min="1" max="16384" width="12.6640625" style="2"/>
  </cols>
  <sheetData>
    <row r="2" spans="1:8" ht="15.75" customHeight="1">
      <c r="C2" s="1" t="s">
        <v>274</v>
      </c>
    </row>
    <row r="3" spans="1:8" ht="15.75" customHeight="1">
      <c r="A3" s="1" t="s">
        <v>231</v>
      </c>
      <c r="B3" s="1" t="s">
        <v>474</v>
      </c>
      <c r="C3" s="1" t="s">
        <v>39</v>
      </c>
      <c r="D3" s="1" t="s">
        <v>38</v>
      </c>
      <c r="E3" s="1" t="s">
        <v>40</v>
      </c>
      <c r="F3" s="1" t="s">
        <v>63</v>
      </c>
      <c r="G3" s="1" t="s">
        <v>265</v>
      </c>
    </row>
    <row r="4" spans="1:8" ht="15.75" customHeight="1">
      <c r="A4" s="1" t="s">
        <v>41</v>
      </c>
      <c r="B4" s="1">
        <v>0.108</v>
      </c>
      <c r="C4" s="27">
        <v>4.1989760000000001E-2</v>
      </c>
      <c r="D4" s="27">
        <v>3.4789939999999998E-2</v>
      </c>
      <c r="E4" s="27">
        <v>3.9509620000000002E-2</v>
      </c>
      <c r="F4" s="27">
        <v>3.514602E-2</v>
      </c>
      <c r="G4" s="27">
        <v>2.8503440000000001E-2</v>
      </c>
      <c r="H4" s="1" t="s">
        <v>330</v>
      </c>
    </row>
    <row r="5" spans="1:8" ht="15.75" customHeight="1">
      <c r="A5" s="1" t="s">
        <v>43</v>
      </c>
      <c r="B5" s="1">
        <v>5.5E-2</v>
      </c>
      <c r="C5" s="27">
        <v>3.6784669999999998E-2</v>
      </c>
      <c r="D5" s="27">
        <v>2.747194E-2</v>
      </c>
      <c r="E5" s="27">
        <v>3.093106E-2</v>
      </c>
      <c r="F5" s="27">
        <v>2.6252089999999999E-2</v>
      </c>
      <c r="G5" s="27">
        <v>1.9992309999999999E-2</v>
      </c>
      <c r="H5" s="1" t="s">
        <v>330</v>
      </c>
    </row>
    <row r="6" spans="1:8" ht="15.75" customHeight="1">
      <c r="A6" s="1" t="s">
        <v>72</v>
      </c>
      <c r="B6" s="1">
        <v>7.3999999999999996E-2</v>
      </c>
      <c r="C6" s="27">
        <v>4.077679E-2</v>
      </c>
      <c r="D6" s="27">
        <v>3.2225539999999997E-2</v>
      </c>
      <c r="E6" s="27">
        <v>3.9237809999999998E-2</v>
      </c>
      <c r="F6" s="27">
        <v>3.3002700000000003E-2</v>
      </c>
      <c r="G6" s="27">
        <v>2.39458E-2</v>
      </c>
      <c r="H6" s="1" t="s">
        <v>330</v>
      </c>
    </row>
    <row r="7" spans="1:8" ht="15.75" customHeight="1">
      <c r="A7" s="1" t="s">
        <v>76</v>
      </c>
      <c r="B7" s="1">
        <v>9.5000000000000001E-2</v>
      </c>
      <c r="C7" s="27">
        <v>4.1462609999999997E-2</v>
      </c>
      <c r="D7" s="27">
        <v>3.3029240000000001E-2</v>
      </c>
      <c r="E7" s="27">
        <v>3.728252E-2</v>
      </c>
      <c r="F7" s="27">
        <v>3.2352930000000002E-2</v>
      </c>
      <c r="G7" s="27">
        <v>2.5991940000000002E-2</v>
      </c>
      <c r="H7" s="1" t="s">
        <v>330</v>
      </c>
    </row>
    <row r="8" spans="1:8" ht="15.75" customHeight="1">
      <c r="A8" s="1" t="s">
        <v>68</v>
      </c>
      <c r="B8" s="1">
        <v>1.0999999999999999E-2</v>
      </c>
      <c r="C8" s="27">
        <v>2.545569E-2</v>
      </c>
      <c r="D8" s="27">
        <v>1.7206570000000001E-2</v>
      </c>
      <c r="E8" s="27">
        <v>1.9594480000000001E-2</v>
      </c>
      <c r="F8" s="27">
        <v>1.6188089999999999E-2</v>
      </c>
      <c r="G8" s="27">
        <v>1.271304E-2</v>
      </c>
      <c r="H8" s="1" t="s">
        <v>330</v>
      </c>
    </row>
    <row r="9" spans="1:8" ht="15.75" customHeight="1">
      <c r="A9" s="1" t="s">
        <v>77</v>
      </c>
      <c r="B9" s="1">
        <v>0.10299999999999999</v>
      </c>
      <c r="C9" s="27">
        <v>2.6800000000000001E-2</v>
      </c>
      <c r="D9" s="27">
        <v>1.9E-2</v>
      </c>
      <c r="E9" s="27">
        <v>2.1700000000000001E-2</v>
      </c>
      <c r="F9" s="27">
        <v>1.7999999999999999E-2</v>
      </c>
      <c r="G9" s="27">
        <v>1.34E-2</v>
      </c>
      <c r="H9" s="1" t="s">
        <v>476</v>
      </c>
    </row>
    <row r="10" spans="1:8" ht="15.75" customHeight="1">
      <c r="A10" s="1" t="s">
        <v>70</v>
      </c>
      <c r="B10" s="1">
        <v>3.3000000000000002E-2</v>
      </c>
      <c r="C10" s="27">
        <v>3.6600000000000001E-2</v>
      </c>
      <c r="D10" s="27">
        <v>2.5399999999999999E-2</v>
      </c>
      <c r="E10" s="27">
        <v>2.9499999999999998E-2</v>
      </c>
      <c r="F10" s="27">
        <v>2.3900000000000001E-2</v>
      </c>
      <c r="G10" s="27">
        <v>1.78E-2</v>
      </c>
      <c r="H10" s="1" t="s">
        <v>476</v>
      </c>
    </row>
    <row r="11" spans="1:8" ht="15.75" customHeight="1">
      <c r="A11" s="1" t="s">
        <v>80</v>
      </c>
      <c r="B11" s="1">
        <v>8.9999999999999993E-3</v>
      </c>
      <c r="C11" s="27">
        <v>2.4199999999999999E-2</v>
      </c>
      <c r="D11" s="27">
        <v>1.6400000000000001E-2</v>
      </c>
      <c r="E11" s="27">
        <v>1.67E-2</v>
      </c>
      <c r="F11" s="27">
        <v>1.2200000000000001E-2</v>
      </c>
      <c r="G11" s="27">
        <v>9.4000000000000004E-3</v>
      </c>
      <c r="H11" s="1" t="s">
        <v>476</v>
      </c>
    </row>
    <row r="13" spans="1:8" ht="15.75" customHeight="1">
      <c r="B13" s="1" t="s">
        <v>477</v>
      </c>
    </row>
    <row r="14" spans="1:8" ht="15.75" customHeight="1">
      <c r="C14" s="1" t="s">
        <v>274</v>
      </c>
    </row>
    <row r="15" spans="1:8" ht="15.75" customHeight="1">
      <c r="A15" s="1" t="s">
        <v>231</v>
      </c>
      <c r="B15" s="1" t="s">
        <v>474</v>
      </c>
      <c r="C15" s="1" t="s">
        <v>39</v>
      </c>
      <c r="D15" s="1" t="s">
        <v>38</v>
      </c>
      <c r="E15" s="1" t="s">
        <v>40</v>
      </c>
      <c r="F15" s="1" t="s">
        <v>63</v>
      </c>
      <c r="G15" s="1" t="s">
        <v>265</v>
      </c>
    </row>
    <row r="16" spans="1:8" ht="15.75" customHeight="1">
      <c r="A16" s="1" t="s">
        <v>41</v>
      </c>
      <c r="B16" s="77" t="b">
        <f t="shared" ref="B16:B23" si="0">B4&gt;0.02</f>
        <v>1</v>
      </c>
      <c r="C16" s="77" t="b">
        <f t="shared" ref="C16:G23" si="1">C4&gt;0.027</f>
        <v>1</v>
      </c>
      <c r="D16" s="77" t="b">
        <f t="shared" si="1"/>
        <v>1</v>
      </c>
      <c r="E16" s="77" t="b">
        <f t="shared" si="1"/>
        <v>1</v>
      </c>
      <c r="F16" s="77" t="b">
        <f t="shared" si="1"/>
        <v>1</v>
      </c>
      <c r="G16" s="77" t="b">
        <f t="shared" si="1"/>
        <v>1</v>
      </c>
    </row>
    <row r="17" spans="1:7" ht="15.75" customHeight="1">
      <c r="A17" s="1" t="s">
        <v>43</v>
      </c>
      <c r="B17" s="77" t="b">
        <f t="shared" si="0"/>
        <v>1</v>
      </c>
      <c r="C17" s="77" t="b">
        <f t="shared" si="1"/>
        <v>1</v>
      </c>
      <c r="D17" s="77" t="b">
        <f t="shared" si="1"/>
        <v>1</v>
      </c>
      <c r="E17" s="77" t="b">
        <f t="shared" si="1"/>
        <v>1</v>
      </c>
      <c r="F17" s="95" t="b">
        <f t="shared" si="1"/>
        <v>0</v>
      </c>
      <c r="G17" s="78" t="b">
        <f t="shared" si="1"/>
        <v>0</v>
      </c>
    </row>
    <row r="18" spans="1:7" ht="15.75" customHeight="1">
      <c r="A18" s="1" t="s">
        <v>72</v>
      </c>
      <c r="B18" s="77" t="b">
        <f t="shared" si="0"/>
        <v>1</v>
      </c>
      <c r="C18" s="77" t="b">
        <f t="shared" si="1"/>
        <v>1</v>
      </c>
      <c r="D18" s="77" t="b">
        <f t="shared" si="1"/>
        <v>1</v>
      </c>
      <c r="E18" s="77" t="b">
        <f t="shared" si="1"/>
        <v>1</v>
      </c>
      <c r="F18" s="77" t="b">
        <f t="shared" si="1"/>
        <v>1</v>
      </c>
      <c r="G18" s="78" t="b">
        <f t="shared" si="1"/>
        <v>0</v>
      </c>
    </row>
    <row r="19" spans="1:7" ht="15.75" customHeight="1">
      <c r="A19" s="1" t="s">
        <v>76</v>
      </c>
      <c r="B19" s="77" t="b">
        <f t="shared" si="0"/>
        <v>1</v>
      </c>
      <c r="C19" s="77" t="b">
        <f t="shared" si="1"/>
        <v>1</v>
      </c>
      <c r="D19" s="77" t="b">
        <f t="shared" si="1"/>
        <v>1</v>
      </c>
      <c r="E19" s="77" t="b">
        <f t="shared" si="1"/>
        <v>1</v>
      </c>
      <c r="F19" s="77" t="b">
        <f t="shared" si="1"/>
        <v>1</v>
      </c>
      <c r="G19" s="78" t="b">
        <f t="shared" si="1"/>
        <v>0</v>
      </c>
    </row>
    <row r="20" spans="1:7" ht="15.75" customHeight="1">
      <c r="A20" s="1" t="s">
        <v>68</v>
      </c>
      <c r="B20" s="78" t="b">
        <f t="shared" si="0"/>
        <v>0</v>
      </c>
      <c r="C20" s="78" t="b">
        <f t="shared" si="1"/>
        <v>0</v>
      </c>
      <c r="D20" s="78" t="b">
        <f t="shared" si="1"/>
        <v>0</v>
      </c>
      <c r="E20" s="78" t="b">
        <f t="shared" si="1"/>
        <v>0</v>
      </c>
      <c r="F20" s="78" t="b">
        <f t="shared" si="1"/>
        <v>0</v>
      </c>
      <c r="G20" s="78" t="b">
        <f t="shared" si="1"/>
        <v>0</v>
      </c>
    </row>
    <row r="21" spans="1:7" ht="15.75" customHeight="1">
      <c r="A21" s="1" t="s">
        <v>77</v>
      </c>
      <c r="B21" s="77" t="b">
        <f t="shared" si="0"/>
        <v>1</v>
      </c>
      <c r="C21" s="95" t="b">
        <f t="shared" si="1"/>
        <v>0</v>
      </c>
      <c r="D21" s="78" t="b">
        <f t="shared" si="1"/>
        <v>0</v>
      </c>
      <c r="E21" s="78" t="b">
        <f t="shared" si="1"/>
        <v>0</v>
      </c>
      <c r="F21" s="78" t="b">
        <f t="shared" si="1"/>
        <v>0</v>
      </c>
      <c r="G21" s="78" t="b">
        <f t="shared" si="1"/>
        <v>0</v>
      </c>
    </row>
    <row r="22" spans="1:7" ht="15.75" customHeight="1">
      <c r="A22" s="1" t="s">
        <v>70</v>
      </c>
      <c r="B22" s="77" t="b">
        <f t="shared" si="0"/>
        <v>1</v>
      </c>
      <c r="C22" s="77" t="b">
        <f t="shared" si="1"/>
        <v>1</v>
      </c>
      <c r="D22" s="78" t="b">
        <f t="shared" si="1"/>
        <v>0</v>
      </c>
      <c r="E22" s="77" t="b">
        <f t="shared" si="1"/>
        <v>1</v>
      </c>
      <c r="F22" s="78" t="b">
        <f t="shared" si="1"/>
        <v>0</v>
      </c>
      <c r="G22" s="78" t="b">
        <f t="shared" si="1"/>
        <v>0</v>
      </c>
    </row>
    <row r="23" spans="1:7" ht="15.75" customHeight="1">
      <c r="A23" s="1" t="s">
        <v>80</v>
      </c>
      <c r="B23" s="78" t="b">
        <f t="shared" si="0"/>
        <v>0</v>
      </c>
      <c r="C23" s="78" t="b">
        <f t="shared" si="1"/>
        <v>0</v>
      </c>
      <c r="D23" s="78" t="b">
        <f t="shared" si="1"/>
        <v>0</v>
      </c>
      <c r="E23" s="78" t="b">
        <f t="shared" si="1"/>
        <v>0</v>
      </c>
      <c r="F23" s="78" t="b">
        <f t="shared" si="1"/>
        <v>0</v>
      </c>
      <c r="G23" s="78" t="b">
        <f t="shared" si="1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C4E2-52B8-4F2F-A733-8B117AE866C4}">
  <sheetPr>
    <outlinePr summaryBelow="0" summaryRight="0"/>
  </sheetPr>
  <dimension ref="A1:F102"/>
  <sheetViews>
    <sheetView topLeftCell="A21" workbookViewId="0"/>
  </sheetViews>
  <sheetFormatPr defaultColWidth="12.6640625" defaultRowHeight="15.75" customHeight="1"/>
  <cols>
    <col min="1" max="1" width="14" style="2" customWidth="1"/>
    <col min="2" max="16384" width="12.6640625" style="2"/>
  </cols>
  <sheetData>
    <row r="1" spans="1:5" ht="15.75" customHeight="1">
      <c r="A1" s="16" t="s">
        <v>61</v>
      </c>
      <c r="C1" s="1" t="s">
        <v>478</v>
      </c>
      <c r="D1" s="1" t="s">
        <v>479</v>
      </c>
      <c r="E1" s="1" t="s">
        <v>236</v>
      </c>
    </row>
    <row r="2" spans="1:5" ht="15.75" customHeight="1">
      <c r="C2" s="1" t="s">
        <v>230</v>
      </c>
      <c r="D2" s="1" t="s">
        <v>230</v>
      </c>
      <c r="E2" s="1" t="s">
        <v>230</v>
      </c>
    </row>
    <row r="3" spans="1:5" ht="15.75" customHeight="1">
      <c r="A3" s="1" t="s">
        <v>334</v>
      </c>
      <c r="B3" s="1" t="s">
        <v>480</v>
      </c>
      <c r="C3" s="14">
        <v>7.6090999999999998</v>
      </c>
      <c r="D3" s="1">
        <v>7.62</v>
      </c>
      <c r="E3" s="14">
        <f t="shared" ref="E3:E91" si="0">C3-D3</f>
        <v>-1.0900000000000354E-2</v>
      </c>
    </row>
    <row r="4" spans="1:5" ht="15.75" customHeight="1">
      <c r="B4" s="1" t="s">
        <v>481</v>
      </c>
      <c r="C4" s="14">
        <v>9.3763000000000005</v>
      </c>
      <c r="D4" s="1">
        <v>9.41</v>
      </c>
      <c r="E4" s="14">
        <f t="shared" si="0"/>
        <v>-3.3699999999999619E-2</v>
      </c>
    </row>
    <row r="5" spans="1:5" ht="15.75" customHeight="1">
      <c r="B5" s="1" t="s">
        <v>482</v>
      </c>
      <c r="C5" s="14">
        <v>9.9663000000000004</v>
      </c>
      <c r="D5" s="1">
        <v>9.99</v>
      </c>
      <c r="E5" s="14">
        <f t="shared" si="0"/>
        <v>-2.3699999999999832E-2</v>
      </c>
    </row>
    <row r="6" spans="1:5" ht="15.75" customHeight="1">
      <c r="B6" s="1" t="s">
        <v>483</v>
      </c>
      <c r="C6" s="14">
        <v>7.2142999999999997</v>
      </c>
      <c r="D6" s="1">
        <v>7.25</v>
      </c>
      <c r="E6" s="14">
        <f t="shared" si="0"/>
        <v>-3.5700000000000287E-2</v>
      </c>
    </row>
    <row r="7" spans="1:5" ht="15.75" customHeight="1">
      <c r="B7" s="1" t="s">
        <v>484</v>
      </c>
      <c r="C7" s="14">
        <v>9.2091999999999992</v>
      </c>
      <c r="D7" s="1">
        <v>9.24</v>
      </c>
      <c r="E7" s="14">
        <f t="shared" si="0"/>
        <v>-3.0800000000001049E-2</v>
      </c>
    </row>
    <row r="8" spans="1:5" ht="15.75" customHeight="1">
      <c r="B8" s="1" t="s">
        <v>485</v>
      </c>
      <c r="C8" s="14">
        <v>9.4939</v>
      </c>
      <c r="D8" s="1">
        <v>9.5399999999999991</v>
      </c>
      <c r="E8" s="14">
        <f t="shared" si="0"/>
        <v>-4.6099999999999142E-2</v>
      </c>
    </row>
    <row r="9" spans="1:5" ht="15.75" customHeight="1">
      <c r="A9" s="1" t="s">
        <v>486</v>
      </c>
      <c r="B9" s="1" t="s">
        <v>487</v>
      </c>
      <c r="C9" s="14">
        <v>4.3479999999999999</v>
      </c>
      <c r="D9" s="1">
        <v>4.3099999999999996</v>
      </c>
      <c r="E9" s="14">
        <f t="shared" si="0"/>
        <v>3.8000000000000256E-2</v>
      </c>
    </row>
    <row r="10" spans="1:5" ht="15.75" customHeight="1">
      <c r="B10" s="1" t="s">
        <v>488</v>
      </c>
      <c r="C10" s="14">
        <v>3.9428999999999998</v>
      </c>
      <c r="D10" s="1">
        <v>4</v>
      </c>
      <c r="E10" s="14">
        <f t="shared" si="0"/>
        <v>-5.7100000000000151E-2</v>
      </c>
    </row>
    <row r="11" spans="1:5" ht="15.75" customHeight="1">
      <c r="A11" s="1" t="s">
        <v>489</v>
      </c>
      <c r="B11" s="1" t="s">
        <v>480</v>
      </c>
      <c r="C11" s="14">
        <v>6.7392000000000003</v>
      </c>
      <c r="D11" s="1">
        <v>6.6</v>
      </c>
      <c r="E11" s="14">
        <f t="shared" si="0"/>
        <v>0.13920000000000066</v>
      </c>
    </row>
    <row r="12" spans="1:5" ht="15.75" customHeight="1">
      <c r="B12" s="1" t="s">
        <v>490</v>
      </c>
      <c r="C12" s="14">
        <v>6.8399000000000001</v>
      </c>
      <c r="D12" s="1">
        <v>6.7</v>
      </c>
      <c r="E12" s="14">
        <f t="shared" si="0"/>
        <v>0.13989999999999991</v>
      </c>
    </row>
    <row r="13" spans="1:5" ht="15.75" customHeight="1">
      <c r="B13" s="1" t="s">
        <v>491</v>
      </c>
      <c r="C13" s="14">
        <v>4.2641</v>
      </c>
      <c r="D13" s="1">
        <v>4.38</v>
      </c>
      <c r="E13" s="14">
        <f t="shared" si="0"/>
        <v>-0.11589999999999989</v>
      </c>
    </row>
    <row r="14" spans="1:5" ht="15.75" customHeight="1">
      <c r="B14" s="1" t="s">
        <v>483</v>
      </c>
      <c r="C14" s="14">
        <v>6.4356999999999998</v>
      </c>
      <c r="D14" s="1">
        <v>6.45</v>
      </c>
      <c r="E14" s="14">
        <f t="shared" si="0"/>
        <v>-1.4300000000000423E-2</v>
      </c>
    </row>
    <row r="15" spans="1:5" ht="15.75" customHeight="1">
      <c r="A15" s="1" t="s">
        <v>492</v>
      </c>
      <c r="B15" s="1" t="s">
        <v>481</v>
      </c>
      <c r="C15" s="14">
        <v>3.1633</v>
      </c>
      <c r="D15" s="1">
        <v>3.14</v>
      </c>
      <c r="E15" s="14">
        <f t="shared" si="0"/>
        <v>2.3299999999999876E-2</v>
      </c>
    </row>
    <row r="16" spans="1:5" ht="15.75" customHeight="1">
      <c r="B16" s="1" t="s">
        <v>480</v>
      </c>
      <c r="C16" s="14">
        <v>5.5281000000000002</v>
      </c>
      <c r="D16" s="1">
        <v>5.54</v>
      </c>
      <c r="E16" s="14">
        <f t="shared" si="0"/>
        <v>-1.18999999999998E-2</v>
      </c>
    </row>
    <row r="17" spans="1:5" ht="15.75" customHeight="1">
      <c r="B17" s="1" t="s">
        <v>482</v>
      </c>
      <c r="C17" s="14">
        <v>5.9196</v>
      </c>
      <c r="D17" s="1">
        <v>5.9</v>
      </c>
      <c r="E17" s="14">
        <f t="shared" si="0"/>
        <v>1.9599999999999618E-2</v>
      </c>
    </row>
    <row r="18" spans="1:5" ht="15.75" customHeight="1">
      <c r="B18" s="1" t="s">
        <v>484</v>
      </c>
      <c r="C18" s="14">
        <v>2.8660000000000001</v>
      </c>
      <c r="D18" s="1">
        <v>2.8</v>
      </c>
      <c r="E18" s="14">
        <f t="shared" si="0"/>
        <v>6.6000000000000281E-2</v>
      </c>
    </row>
    <row r="19" spans="1:5" ht="15.75" customHeight="1">
      <c r="B19" s="1" t="s">
        <v>485</v>
      </c>
      <c r="C19" s="14">
        <v>3.9045000000000001</v>
      </c>
      <c r="D19" s="1">
        <v>4.05</v>
      </c>
      <c r="E19" s="14">
        <f t="shared" si="0"/>
        <v>-0.14549999999999974</v>
      </c>
    </row>
    <row r="20" spans="1:5" ht="15.75" customHeight="1">
      <c r="B20" s="1" t="s">
        <v>483</v>
      </c>
      <c r="C20" s="14">
        <v>5.3720999999999997</v>
      </c>
      <c r="D20" s="1">
        <v>5.35</v>
      </c>
      <c r="E20" s="14">
        <f t="shared" si="0"/>
        <v>2.2100000000000009E-2</v>
      </c>
    </row>
    <row r="21" spans="1:5" ht="15.75" customHeight="1">
      <c r="B21" s="1" t="s">
        <v>485</v>
      </c>
      <c r="C21" s="14">
        <v>6.8086000000000002</v>
      </c>
      <c r="D21" s="1">
        <v>6.82</v>
      </c>
      <c r="E21" s="14">
        <f t="shared" si="0"/>
        <v>-1.1400000000000077E-2</v>
      </c>
    </row>
    <row r="22" spans="1:5" ht="15.75" customHeight="1">
      <c r="A22" s="1" t="s">
        <v>36</v>
      </c>
      <c r="B22" s="1" t="s">
        <v>493</v>
      </c>
      <c r="C22" s="14">
        <v>7.8765000000000001</v>
      </c>
      <c r="D22" s="1">
        <v>7.84</v>
      </c>
      <c r="E22" s="14">
        <f t="shared" si="0"/>
        <v>3.6500000000000199E-2</v>
      </c>
    </row>
    <row r="23" spans="1:5" ht="15.75" customHeight="1">
      <c r="A23" s="1" t="s">
        <v>494</v>
      </c>
      <c r="B23" s="1" t="s">
        <v>487</v>
      </c>
      <c r="C23" s="14">
        <v>5.6958000000000002</v>
      </c>
      <c r="D23" s="1">
        <v>5.7</v>
      </c>
      <c r="E23" s="14">
        <f t="shared" si="0"/>
        <v>-4.1999999999999815E-3</v>
      </c>
    </row>
    <row r="24" spans="1:5" ht="15.75" customHeight="1">
      <c r="B24" s="1" t="s">
        <v>495</v>
      </c>
      <c r="C24" s="14">
        <v>7.5639000000000003</v>
      </c>
      <c r="D24" s="1">
        <v>7.63</v>
      </c>
      <c r="E24" s="14">
        <f t="shared" si="0"/>
        <v>-6.6099999999999604E-2</v>
      </c>
    </row>
    <row r="25" spans="1:5" ht="15.75" customHeight="1">
      <c r="B25" s="1" t="s">
        <v>488</v>
      </c>
      <c r="C25" s="14">
        <v>5.3661000000000003</v>
      </c>
      <c r="D25" s="1">
        <v>5.4</v>
      </c>
      <c r="E25" s="14">
        <f t="shared" si="0"/>
        <v>-3.3900000000000041E-2</v>
      </c>
    </row>
    <row r="26" spans="1:5" ht="15.75" customHeight="1">
      <c r="B26" s="1" t="s">
        <v>496</v>
      </c>
      <c r="C26" s="14">
        <v>5.7442000000000002</v>
      </c>
      <c r="D26" s="1">
        <v>5.7</v>
      </c>
      <c r="E26" s="14">
        <f t="shared" si="0"/>
        <v>4.4200000000000017E-2</v>
      </c>
    </row>
    <row r="27" spans="1:5" ht="15.75" customHeight="1">
      <c r="A27" s="1" t="s">
        <v>497</v>
      </c>
      <c r="B27" s="1" t="s">
        <v>481</v>
      </c>
      <c r="C27" s="14">
        <v>3.9415</v>
      </c>
      <c r="D27" s="1">
        <v>3.86</v>
      </c>
      <c r="E27" s="14">
        <f t="shared" si="0"/>
        <v>8.1500000000000128E-2</v>
      </c>
    </row>
    <row r="28" spans="1:5" ht="15.75" customHeight="1">
      <c r="B28" s="1" t="s">
        <v>480</v>
      </c>
      <c r="C28" s="14">
        <v>6.0557999999999996</v>
      </c>
      <c r="D28" s="1">
        <v>6.01</v>
      </c>
      <c r="E28" s="14">
        <f t="shared" si="0"/>
        <v>4.5799999999999841E-2</v>
      </c>
    </row>
    <row r="29" spans="1:5" ht="15.75" customHeight="1">
      <c r="B29" s="1" t="s">
        <v>481</v>
      </c>
      <c r="C29" s="14">
        <v>7.3230000000000004</v>
      </c>
      <c r="D29" s="1">
        <v>7.18</v>
      </c>
      <c r="E29" s="14">
        <f t="shared" si="0"/>
        <v>0.14300000000000068</v>
      </c>
    </row>
    <row r="30" spans="1:5" ht="15.75" customHeight="1">
      <c r="B30" s="1" t="s">
        <v>484</v>
      </c>
      <c r="C30" s="14">
        <v>3.8062</v>
      </c>
      <c r="D30" s="1">
        <v>3.77</v>
      </c>
      <c r="E30" s="14">
        <f t="shared" si="0"/>
        <v>3.620000000000001E-2</v>
      </c>
    </row>
    <row r="31" spans="1:5" ht="15.75" customHeight="1">
      <c r="B31" s="1" t="s">
        <v>485</v>
      </c>
      <c r="C31" s="14">
        <v>5.5217999999999998</v>
      </c>
      <c r="D31" s="1">
        <v>5.61</v>
      </c>
      <c r="E31" s="14">
        <f t="shared" si="0"/>
        <v>-8.82000000000005E-2</v>
      </c>
    </row>
    <row r="32" spans="1:5" ht="15.75" customHeight="1">
      <c r="B32" s="1" t="s">
        <v>483</v>
      </c>
      <c r="C32" s="14">
        <v>5.8503999999999996</v>
      </c>
      <c r="D32" s="1">
        <v>5.79</v>
      </c>
      <c r="E32" s="14">
        <f t="shared" si="0"/>
        <v>6.0399999999999565E-2</v>
      </c>
    </row>
    <row r="33" spans="1:5" ht="15.75" customHeight="1">
      <c r="B33" s="1" t="s">
        <v>484</v>
      </c>
      <c r="C33" s="14">
        <v>7.2637</v>
      </c>
      <c r="D33" s="1">
        <v>7.12</v>
      </c>
      <c r="E33" s="14">
        <f t="shared" si="0"/>
        <v>0.14369999999999994</v>
      </c>
    </row>
    <row r="34" spans="1:5" ht="15.75" customHeight="1">
      <c r="A34" s="1" t="s">
        <v>498</v>
      </c>
      <c r="B34" s="1" t="s">
        <v>487</v>
      </c>
      <c r="C34" s="14">
        <v>1.9521999999999999</v>
      </c>
      <c r="D34" s="1">
        <v>2</v>
      </c>
      <c r="E34" s="14">
        <f t="shared" si="0"/>
        <v>-4.7800000000000065E-2</v>
      </c>
    </row>
    <row r="35" spans="1:5" ht="15.75" customHeight="1">
      <c r="B35" s="1" t="s">
        <v>495</v>
      </c>
      <c r="C35" s="14">
        <v>6.4249000000000001</v>
      </c>
      <c r="D35" s="1">
        <v>6.4</v>
      </c>
      <c r="E35" s="14">
        <f t="shared" si="0"/>
        <v>2.48999999999997E-2</v>
      </c>
    </row>
    <row r="36" spans="1:5" ht="15.75" customHeight="1">
      <c r="B36" s="1" t="s">
        <v>488</v>
      </c>
      <c r="C36" s="14">
        <v>1.0932999999999999</v>
      </c>
      <c r="D36" s="1">
        <v>1.1599999999999999</v>
      </c>
      <c r="E36" s="14">
        <f t="shared" si="0"/>
        <v>-6.6699999999999982E-2</v>
      </c>
    </row>
    <row r="37" spans="1:5" ht="15.75" customHeight="1">
      <c r="B37" s="1" t="s">
        <v>496</v>
      </c>
      <c r="C37" s="14">
        <v>5.3948</v>
      </c>
      <c r="D37" s="1">
        <v>5.6</v>
      </c>
      <c r="E37" s="14">
        <f t="shared" si="0"/>
        <v>-0.2051999999999996</v>
      </c>
    </row>
    <row r="38" spans="1:5" ht="15.75" customHeight="1">
      <c r="A38" s="1" t="s">
        <v>499</v>
      </c>
      <c r="B38" s="1" t="s">
        <v>490</v>
      </c>
      <c r="C38" s="14">
        <v>7.2603</v>
      </c>
      <c r="D38" s="1">
        <v>7.1</v>
      </c>
      <c r="E38" s="14">
        <f t="shared" si="0"/>
        <v>0.16030000000000033</v>
      </c>
    </row>
    <row r="39" spans="1:5" ht="15.75" customHeight="1">
      <c r="B39" s="1" t="s">
        <v>491</v>
      </c>
      <c r="C39" s="14">
        <v>5.4248000000000003</v>
      </c>
      <c r="D39" s="1">
        <v>5.52</v>
      </c>
      <c r="E39" s="14">
        <f t="shared" si="0"/>
        <v>-9.5199999999999285E-2</v>
      </c>
    </row>
    <row r="40" spans="1:5" ht="15.75" customHeight="1">
      <c r="A40" s="1" t="s">
        <v>500</v>
      </c>
      <c r="B40" s="1" t="s">
        <v>481</v>
      </c>
      <c r="C40" s="14">
        <v>4.0053000000000001</v>
      </c>
      <c r="D40" s="1">
        <v>3.98</v>
      </c>
      <c r="E40" s="14">
        <f t="shared" si="0"/>
        <v>2.53000000000001E-2</v>
      </c>
    </row>
    <row r="41" spans="1:5" ht="15.75" customHeight="1">
      <c r="B41" s="1" t="s">
        <v>490</v>
      </c>
      <c r="C41" s="14">
        <v>7.2533000000000003</v>
      </c>
      <c r="D41" s="1">
        <v>7.23</v>
      </c>
      <c r="E41" s="14">
        <f t="shared" si="0"/>
        <v>2.3299999999999876E-2</v>
      </c>
    </row>
    <row r="42" spans="1:5" ht="15.75" customHeight="1">
      <c r="B42" s="1" t="s">
        <v>490</v>
      </c>
      <c r="C42" s="14">
        <v>8.1402000000000001</v>
      </c>
      <c r="D42" s="1">
        <v>8.1300000000000008</v>
      </c>
      <c r="E42" s="14">
        <f t="shared" si="0"/>
        <v>1.0199999999999321E-2</v>
      </c>
    </row>
    <row r="43" spans="1:5" ht="15.75" customHeight="1">
      <c r="B43" s="1" t="s">
        <v>482</v>
      </c>
      <c r="C43" s="14">
        <v>8.2280999999999995</v>
      </c>
      <c r="D43" s="1">
        <v>8.23</v>
      </c>
      <c r="E43" s="14">
        <f t="shared" si="0"/>
        <v>-1.900000000000901E-3</v>
      </c>
    </row>
    <row r="44" spans="1:5" ht="15.75" customHeight="1">
      <c r="B44" s="1" t="s">
        <v>481</v>
      </c>
      <c r="C44" s="14">
        <v>8.6735000000000007</v>
      </c>
      <c r="D44" s="1">
        <v>8.67</v>
      </c>
      <c r="E44" s="14">
        <f t="shared" si="0"/>
        <v>3.5000000000007248E-3</v>
      </c>
    </row>
    <row r="45" spans="1:5" ht="15.75" customHeight="1">
      <c r="B45" s="1" t="s">
        <v>480</v>
      </c>
      <c r="C45" s="14">
        <v>9.2798999999999996</v>
      </c>
      <c r="D45" s="1">
        <v>9.2200000000000006</v>
      </c>
      <c r="E45" s="14">
        <f t="shared" si="0"/>
        <v>5.9899999999998954E-2</v>
      </c>
    </row>
    <row r="46" spans="1:5" ht="15.75" customHeight="1">
      <c r="B46" s="1" t="s">
        <v>482</v>
      </c>
      <c r="C46" s="14">
        <v>9.6654999999999998</v>
      </c>
      <c r="D46" s="1">
        <v>9.43</v>
      </c>
      <c r="E46" s="14">
        <f t="shared" si="0"/>
        <v>0.23550000000000004</v>
      </c>
    </row>
    <row r="47" spans="1:5" ht="15.75" customHeight="1">
      <c r="B47" s="1" t="s">
        <v>484</v>
      </c>
      <c r="C47" s="14">
        <v>3.5649999999999999</v>
      </c>
      <c r="D47" s="1">
        <v>3.58</v>
      </c>
      <c r="E47" s="14">
        <f t="shared" si="0"/>
        <v>-1.5000000000000124E-2</v>
      </c>
    </row>
    <row r="48" spans="1:5" ht="15.75" customHeight="1">
      <c r="B48" s="1" t="s">
        <v>485</v>
      </c>
      <c r="C48" s="14">
        <v>5.9405999999999999</v>
      </c>
      <c r="D48" s="1">
        <v>6.06</v>
      </c>
      <c r="E48" s="14">
        <f t="shared" si="0"/>
        <v>-0.11939999999999973</v>
      </c>
    </row>
    <row r="49" spans="1:5" ht="15.75" customHeight="1">
      <c r="B49" s="1" t="s">
        <v>491</v>
      </c>
      <c r="C49" s="14">
        <v>7.0978000000000003</v>
      </c>
      <c r="D49" s="1">
        <v>7.06</v>
      </c>
      <c r="E49" s="14">
        <f t="shared" si="0"/>
        <v>3.7800000000000722E-2</v>
      </c>
    </row>
    <row r="50" spans="1:5" ht="15.75" customHeight="1">
      <c r="B50" s="1" t="s">
        <v>491</v>
      </c>
      <c r="C50" s="14">
        <v>7.9557000000000002</v>
      </c>
      <c r="D50" s="1">
        <v>7.94</v>
      </c>
      <c r="E50" s="14">
        <f t="shared" si="0"/>
        <v>1.5699999999999825E-2</v>
      </c>
    </row>
    <row r="51" spans="1:5" ht="15.75" customHeight="1">
      <c r="B51" s="1" t="s">
        <v>485</v>
      </c>
      <c r="C51" s="14">
        <v>8.1053999999999995</v>
      </c>
      <c r="D51" s="1">
        <v>8.1</v>
      </c>
      <c r="E51" s="14">
        <f t="shared" si="0"/>
        <v>5.3999999999998494E-3</v>
      </c>
    </row>
    <row r="52" spans="1:5" ht="15.75" customHeight="1">
      <c r="B52" s="1" t="s">
        <v>483</v>
      </c>
      <c r="C52" s="14">
        <v>8.4391999999999996</v>
      </c>
      <c r="D52" s="1">
        <v>8.42</v>
      </c>
      <c r="E52" s="14">
        <f t="shared" si="0"/>
        <v>1.9199999999999662E-2</v>
      </c>
    </row>
    <row r="53" spans="1:5" ht="15.75" customHeight="1">
      <c r="A53" s="1" t="s">
        <v>501</v>
      </c>
      <c r="B53" s="1" t="s">
        <v>487</v>
      </c>
      <c r="C53" s="14">
        <v>5.2522000000000002</v>
      </c>
      <c r="D53" s="1">
        <v>5.23</v>
      </c>
      <c r="E53" s="14">
        <f t="shared" si="0"/>
        <v>2.2199999999999775E-2</v>
      </c>
    </row>
    <row r="54" spans="1:5" ht="15.75" customHeight="1">
      <c r="B54" s="1" t="s">
        <v>488</v>
      </c>
      <c r="C54" s="14">
        <v>4.6109</v>
      </c>
      <c r="D54" s="1">
        <v>4.6500000000000004</v>
      </c>
      <c r="E54" s="14">
        <f t="shared" si="0"/>
        <v>-3.9100000000000357E-2</v>
      </c>
    </row>
    <row r="55" spans="1:5" ht="15.75" customHeight="1">
      <c r="A55" s="1" t="s">
        <v>502</v>
      </c>
      <c r="B55" s="1" t="s">
        <v>481</v>
      </c>
      <c r="C55" s="14">
        <v>2.2582</v>
      </c>
      <c r="D55" s="1">
        <v>2.2200000000000002</v>
      </c>
      <c r="E55" s="14">
        <f t="shared" si="0"/>
        <v>3.819999999999979E-2</v>
      </c>
    </row>
    <row r="56" spans="1:5" ht="15.75" customHeight="1">
      <c r="B56" s="1" t="s">
        <v>490</v>
      </c>
      <c r="C56" s="14">
        <v>5.9374000000000002</v>
      </c>
      <c r="D56" s="1">
        <v>5.96</v>
      </c>
      <c r="E56" s="14">
        <f t="shared" si="0"/>
        <v>-2.2599999999999731E-2</v>
      </c>
    </row>
    <row r="57" spans="1:5" ht="15.75" customHeight="1">
      <c r="B57" s="1" t="s">
        <v>482</v>
      </c>
      <c r="C57" s="14">
        <v>6.6235999999999997</v>
      </c>
      <c r="D57" s="1">
        <v>6.4</v>
      </c>
      <c r="E57" s="14">
        <f t="shared" si="0"/>
        <v>0.22359999999999935</v>
      </c>
    </row>
    <row r="58" spans="1:5" ht="15.75" customHeight="1">
      <c r="B58" s="1" t="s">
        <v>484</v>
      </c>
      <c r="C58" s="14">
        <v>1.9119999999999999</v>
      </c>
      <c r="D58" s="1">
        <v>1.94</v>
      </c>
      <c r="E58" s="14">
        <f t="shared" si="0"/>
        <v>-2.8000000000000025E-2</v>
      </c>
    </row>
    <row r="59" spans="1:5" ht="15.75" customHeight="1">
      <c r="B59" s="1" t="s">
        <v>485</v>
      </c>
      <c r="C59" s="14">
        <v>3.2406999999999999</v>
      </c>
      <c r="D59" s="1">
        <v>3.43</v>
      </c>
      <c r="E59" s="14">
        <f t="shared" si="0"/>
        <v>-0.18930000000000025</v>
      </c>
    </row>
    <row r="60" spans="1:5" ht="15.75" customHeight="1">
      <c r="B60" s="1" t="s">
        <v>491</v>
      </c>
      <c r="C60" s="14">
        <v>5.7301000000000002</v>
      </c>
      <c r="D60" s="1">
        <v>5.6</v>
      </c>
      <c r="E60" s="14">
        <f t="shared" si="0"/>
        <v>0.13010000000000055</v>
      </c>
    </row>
    <row r="61" spans="1:5" ht="15.75" customHeight="1">
      <c r="A61" s="1" t="s">
        <v>503</v>
      </c>
      <c r="B61" s="1" t="s">
        <v>504</v>
      </c>
      <c r="C61" s="14">
        <v>7.1348000000000003</v>
      </c>
      <c r="D61" s="1">
        <v>7.1</v>
      </c>
      <c r="E61" s="14">
        <f t="shared" si="0"/>
        <v>3.4800000000000608E-2</v>
      </c>
    </row>
    <row r="62" spans="1:5" ht="15.75" customHeight="1">
      <c r="B62" s="1" t="s">
        <v>505</v>
      </c>
      <c r="C62" s="14">
        <v>7.4657</v>
      </c>
      <c r="D62" s="1">
        <v>7.44</v>
      </c>
      <c r="E62" s="14">
        <f t="shared" si="0"/>
        <v>2.5699999999999612E-2</v>
      </c>
    </row>
    <row r="63" spans="1:5" ht="15.75" customHeight="1">
      <c r="B63" s="1" t="s">
        <v>506</v>
      </c>
      <c r="C63" s="14">
        <v>5.4332000000000003</v>
      </c>
      <c r="D63" s="1">
        <v>5.53</v>
      </c>
      <c r="E63" s="14">
        <f t="shared" si="0"/>
        <v>-9.6799999999999997E-2</v>
      </c>
    </row>
    <row r="64" spans="1:5" ht="15.75" customHeight="1">
      <c r="B64" s="1" t="s">
        <v>507</v>
      </c>
      <c r="C64" s="14">
        <v>6.3955000000000002</v>
      </c>
      <c r="D64" s="1">
        <v>6.4</v>
      </c>
      <c r="E64" s="14">
        <f t="shared" si="0"/>
        <v>-4.5000000000001705E-3</v>
      </c>
    </row>
    <row r="65" spans="1:6" ht="15.75" customHeight="1">
      <c r="B65" s="1" t="s">
        <v>508</v>
      </c>
      <c r="C65" s="14">
        <v>7.1093000000000002</v>
      </c>
      <c r="D65" s="1">
        <v>7.08</v>
      </c>
      <c r="E65" s="14">
        <f t="shared" si="0"/>
        <v>2.9300000000000104E-2</v>
      </c>
    </row>
    <row r="66" spans="1:6" ht="15.75" customHeight="1">
      <c r="A66" s="1" t="s">
        <v>509</v>
      </c>
      <c r="B66" s="1" t="s">
        <v>510</v>
      </c>
      <c r="C66" s="14">
        <v>7.3949999999999996</v>
      </c>
      <c r="D66" s="1">
        <v>7.39</v>
      </c>
      <c r="E66" s="14">
        <f t="shared" si="0"/>
        <v>4.9999999999998934E-3</v>
      </c>
    </row>
    <row r="67" spans="1:6" ht="15.75" customHeight="1">
      <c r="B67" s="1" t="s">
        <v>511</v>
      </c>
      <c r="C67" s="14">
        <v>8.0120000000000005</v>
      </c>
      <c r="D67" s="1">
        <v>7.93</v>
      </c>
      <c r="E67" s="14">
        <f t="shared" si="0"/>
        <v>8.2000000000000739E-2</v>
      </c>
    </row>
    <row r="68" spans="1:6" ht="15.75" customHeight="1">
      <c r="B68" s="1" t="s">
        <v>512</v>
      </c>
      <c r="C68" s="14">
        <v>8.0609000000000002</v>
      </c>
      <c r="D68" s="1">
        <v>8.08</v>
      </c>
      <c r="E68" s="14">
        <f t="shared" si="0"/>
        <v>-1.9099999999999895E-2</v>
      </c>
    </row>
    <row r="69" spans="1:6" ht="15.75" customHeight="1">
      <c r="B69" s="1" t="s">
        <v>513</v>
      </c>
      <c r="C69" s="14">
        <v>4.4330999999999996</v>
      </c>
      <c r="D69" s="1">
        <v>4.54</v>
      </c>
      <c r="E69" s="14">
        <f t="shared" si="0"/>
        <v>-0.10690000000000044</v>
      </c>
    </row>
    <row r="70" spans="1:6" ht="15.75" customHeight="1">
      <c r="A70" s="1" t="s">
        <v>514</v>
      </c>
      <c r="B70" s="1" t="s">
        <v>515</v>
      </c>
      <c r="C70" s="14">
        <v>9.3896999999999995</v>
      </c>
      <c r="D70" s="1">
        <v>9.34</v>
      </c>
      <c r="E70" s="14">
        <f t="shared" si="0"/>
        <v>4.9699999999999633E-2</v>
      </c>
    </row>
    <row r="71" spans="1:6" ht="15.75" customHeight="1">
      <c r="B71" s="1" t="s">
        <v>516</v>
      </c>
      <c r="C71" s="14">
        <v>9.9741</v>
      </c>
      <c r="D71" s="1">
        <v>9.8800000000000008</v>
      </c>
      <c r="E71" s="14">
        <f t="shared" si="0"/>
        <v>9.4099999999999184E-2</v>
      </c>
    </row>
    <row r="72" spans="1:6" ht="15.75" customHeight="1">
      <c r="B72" s="1" t="s">
        <v>505</v>
      </c>
      <c r="C72" s="14">
        <v>10.4169</v>
      </c>
      <c r="D72" s="1">
        <v>10.29</v>
      </c>
      <c r="E72" s="14">
        <f t="shared" si="0"/>
        <v>0.1269000000000009</v>
      </c>
    </row>
    <row r="73" spans="1:6" ht="15.75" customHeight="1">
      <c r="B73" s="1" t="s">
        <v>517</v>
      </c>
      <c r="C73" s="14">
        <v>13.1378</v>
      </c>
      <c r="D73" s="1">
        <v>12.98</v>
      </c>
      <c r="E73" s="14">
        <f t="shared" si="0"/>
        <v>0.15779999999999994</v>
      </c>
    </row>
    <row r="74" spans="1:6" ht="15.75" customHeight="1">
      <c r="B74" s="1" t="s">
        <v>518</v>
      </c>
      <c r="C74" s="14">
        <v>13.4092</v>
      </c>
      <c r="D74" s="1">
        <v>13.03</v>
      </c>
      <c r="E74" s="14">
        <f t="shared" si="0"/>
        <v>0.37920000000000087</v>
      </c>
      <c r="F74" s="1"/>
    </row>
    <row r="75" spans="1:6" ht="15.75" customHeight="1">
      <c r="B75" s="1" t="s">
        <v>519</v>
      </c>
      <c r="C75" s="14">
        <v>13.2325</v>
      </c>
      <c r="D75" s="1">
        <v>13.09</v>
      </c>
      <c r="E75" s="14">
        <f t="shared" si="0"/>
        <v>0.14250000000000007</v>
      </c>
    </row>
    <row r="76" spans="1:6" ht="15.75" customHeight="1">
      <c r="B76" s="1" t="s">
        <v>518</v>
      </c>
      <c r="C76" s="14">
        <v>13.660600000000001</v>
      </c>
      <c r="D76" s="1">
        <v>13.46</v>
      </c>
      <c r="E76" s="14">
        <f t="shared" si="0"/>
        <v>0.20059999999999967</v>
      </c>
    </row>
    <row r="77" spans="1:6" ht="15.75" customHeight="1">
      <c r="B77" s="1" t="s">
        <v>506</v>
      </c>
      <c r="C77" s="14">
        <v>7.6317000000000004</v>
      </c>
      <c r="D77" s="1">
        <v>7.7</v>
      </c>
      <c r="E77" s="14">
        <f t="shared" si="0"/>
        <v>-6.8299999999999805E-2</v>
      </c>
    </row>
    <row r="78" spans="1:6" ht="15.75" customHeight="1">
      <c r="B78" s="1" t="s">
        <v>520</v>
      </c>
      <c r="C78" s="14">
        <v>8.0823</v>
      </c>
      <c r="D78" s="1">
        <v>8.01</v>
      </c>
      <c r="E78" s="14">
        <f t="shared" si="0"/>
        <v>7.2300000000000253E-2</v>
      </c>
    </row>
    <row r="79" spans="1:6" ht="15.75" customHeight="1">
      <c r="B79" s="1" t="s">
        <v>507</v>
      </c>
      <c r="C79" s="14">
        <v>8.8865999999999996</v>
      </c>
      <c r="D79" s="1">
        <v>8.8699999999999992</v>
      </c>
      <c r="E79" s="14">
        <f t="shared" si="0"/>
        <v>1.6600000000000392E-2</v>
      </c>
    </row>
    <row r="80" spans="1:6" ht="15.75" customHeight="1">
      <c r="B80" s="1" t="s">
        <v>508</v>
      </c>
      <c r="C80" s="14">
        <v>9.8059999999999992</v>
      </c>
      <c r="D80" s="1">
        <v>9.66</v>
      </c>
      <c r="E80" s="14">
        <f t="shared" si="0"/>
        <v>0.14599999999999902</v>
      </c>
    </row>
    <row r="81" spans="1:5" ht="15.75" customHeight="1">
      <c r="A81" s="1" t="s">
        <v>521</v>
      </c>
      <c r="B81" s="1" t="s">
        <v>493</v>
      </c>
      <c r="C81" s="14">
        <v>8.5539000000000005</v>
      </c>
      <c r="D81" s="1">
        <v>8.49</v>
      </c>
      <c r="E81" s="14">
        <f t="shared" si="0"/>
        <v>6.390000000000029E-2</v>
      </c>
    </row>
    <row r="82" spans="1:5" ht="15.75" customHeight="1">
      <c r="B82" s="1" t="s">
        <v>522</v>
      </c>
      <c r="C82" s="14">
        <v>9.9783000000000008</v>
      </c>
      <c r="D82" s="1">
        <v>9.92</v>
      </c>
      <c r="E82" s="14">
        <f t="shared" si="0"/>
        <v>5.8300000000000907E-2</v>
      </c>
    </row>
    <row r="83" spans="1:5" ht="15.75" customHeight="1">
      <c r="B83" s="1" t="s">
        <v>523</v>
      </c>
      <c r="C83" s="14">
        <v>10.1069</v>
      </c>
      <c r="D83" s="1">
        <v>10.06</v>
      </c>
      <c r="E83" s="14">
        <f t="shared" si="0"/>
        <v>4.6899999999999054E-2</v>
      </c>
    </row>
    <row r="84" spans="1:5" ht="15.75" customHeight="1">
      <c r="B84" s="1" t="s">
        <v>524</v>
      </c>
      <c r="C84" s="14">
        <v>11.2011</v>
      </c>
      <c r="D84" s="1">
        <v>10.95</v>
      </c>
      <c r="E84" s="14">
        <f t="shared" si="0"/>
        <v>0.25110000000000099</v>
      </c>
    </row>
    <row r="85" spans="1:5" ht="15.75" customHeight="1">
      <c r="B85" s="1" t="s">
        <v>525</v>
      </c>
      <c r="C85" s="14">
        <v>11.7331</v>
      </c>
      <c r="D85" s="1">
        <v>11.52</v>
      </c>
      <c r="E85" s="14">
        <f t="shared" si="0"/>
        <v>0.21310000000000073</v>
      </c>
    </row>
    <row r="86" spans="1:5" ht="15.75" customHeight="1">
      <c r="B86" s="1" t="s">
        <v>526</v>
      </c>
      <c r="C86" s="14">
        <v>11.9405</v>
      </c>
      <c r="D86" s="1">
        <v>11.72</v>
      </c>
      <c r="E86" s="14">
        <f t="shared" si="0"/>
        <v>0.22049999999999947</v>
      </c>
    </row>
    <row r="87" spans="1:5" ht="15.75" customHeight="1">
      <c r="B87" s="1" t="s">
        <v>527</v>
      </c>
      <c r="C87" s="14">
        <v>6.3330000000000002</v>
      </c>
      <c r="D87" s="1">
        <v>6.28</v>
      </c>
      <c r="E87" s="14">
        <f t="shared" si="0"/>
        <v>5.2999999999999936E-2</v>
      </c>
    </row>
    <row r="88" spans="1:5" ht="15.75" customHeight="1">
      <c r="B88" s="1" t="s">
        <v>528</v>
      </c>
      <c r="C88" s="14">
        <v>8.3277000000000001</v>
      </c>
      <c r="D88" s="1">
        <v>8.4499999999999993</v>
      </c>
      <c r="E88" s="14">
        <f t="shared" si="0"/>
        <v>-0.12229999999999919</v>
      </c>
    </row>
    <row r="89" spans="1:5" ht="15.75" customHeight="1">
      <c r="B89" s="1" t="s">
        <v>529</v>
      </c>
      <c r="C89" s="14">
        <v>9.2211999999999996</v>
      </c>
      <c r="D89" s="1">
        <v>9.27</v>
      </c>
      <c r="E89" s="14">
        <f t="shared" si="0"/>
        <v>-4.8799999999999955E-2</v>
      </c>
    </row>
    <row r="90" spans="1:5" ht="15.75" customHeight="1">
      <c r="B90" s="1" t="s">
        <v>530</v>
      </c>
      <c r="C90" s="14">
        <v>9.7978000000000005</v>
      </c>
      <c r="D90" s="1">
        <v>9.8000000000000007</v>
      </c>
      <c r="E90" s="14">
        <f t="shared" si="0"/>
        <v>-2.2000000000002018E-3</v>
      </c>
    </row>
    <row r="91" spans="1:5" ht="15.75" customHeight="1">
      <c r="B91" s="1" t="s">
        <v>531</v>
      </c>
      <c r="C91" s="14">
        <v>10.6907</v>
      </c>
      <c r="D91" s="1">
        <v>10.47</v>
      </c>
      <c r="E91" s="14">
        <f t="shared" si="0"/>
        <v>0.22069999999999901</v>
      </c>
    </row>
    <row r="100" spans="3:4" ht="15.75" customHeight="1">
      <c r="C100" s="1" t="s">
        <v>532</v>
      </c>
      <c r="D100" s="14">
        <f ca="1">IFERROR(__xludf.DUMMYFUNCTION("AVERAGE(FILTER((E3:E91), E3:E91&lt;&gt;0))"),0.0307415730337078)</f>
        <v>3.0741573033707802E-2</v>
      </c>
    </row>
    <row r="101" spans="3:4" ht="15.75" customHeight="1">
      <c r="C101" s="1" t="s">
        <v>6</v>
      </c>
      <c r="D101" s="14">
        <f ca="1">IFERROR(__xludf.DUMMYFUNCTION("AVERAGE(FILTER(ABS(E3:E91), E3:E91&lt;&gt;0))"),0.0763258426966292)</f>
        <v>7.6325842696629204E-2</v>
      </c>
    </row>
    <row r="102" spans="3:4" ht="15.75" customHeight="1">
      <c r="C102" s="1" t="s">
        <v>7</v>
      </c>
      <c r="D102" s="14">
        <f ca="1">IFERROR(__xludf.DUMMYFUNCTION("SQRT(AVERAGE(FILTER(E3:E91^2, E3:E91&lt;&gt;0)))"),0.105210612742764)</f>
        <v>0.105210612742764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49FA-DF72-4743-B685-5244ECFF06A7}">
  <sheetPr>
    <outlinePr summaryBelow="0" summaryRight="0"/>
  </sheetPr>
  <dimension ref="A1:F102"/>
  <sheetViews>
    <sheetView workbookViewId="0"/>
  </sheetViews>
  <sheetFormatPr defaultColWidth="12.6640625" defaultRowHeight="15.75" customHeight="1"/>
  <cols>
    <col min="1" max="1" width="14" style="2" customWidth="1"/>
    <col min="2" max="16384" width="12.6640625" style="2"/>
  </cols>
  <sheetData>
    <row r="1" spans="1:5" ht="15.75" customHeight="1">
      <c r="A1" s="16" t="s">
        <v>62</v>
      </c>
      <c r="C1" s="1" t="s">
        <v>478</v>
      </c>
      <c r="D1" s="1" t="s">
        <v>479</v>
      </c>
      <c r="E1" s="1" t="s">
        <v>236</v>
      </c>
    </row>
    <row r="2" spans="1:5" ht="15.75" customHeight="1">
      <c r="C2" s="1" t="s">
        <v>230</v>
      </c>
      <c r="D2" s="1" t="s">
        <v>230</v>
      </c>
      <c r="E2" s="1" t="s">
        <v>230</v>
      </c>
    </row>
    <row r="3" spans="1:5" ht="15.75" customHeight="1">
      <c r="A3" s="1" t="s">
        <v>334</v>
      </c>
      <c r="B3" s="1" t="s">
        <v>480</v>
      </c>
      <c r="C3" s="14">
        <v>7.6184000000000003</v>
      </c>
      <c r="D3" s="1">
        <v>7.62</v>
      </c>
      <c r="E3" s="14">
        <f t="shared" ref="E3:E91" si="0">C3-D3</f>
        <v>-1.5999999999998238E-3</v>
      </c>
    </row>
    <row r="4" spans="1:5" ht="15.75" customHeight="1">
      <c r="B4" s="1" t="s">
        <v>481</v>
      </c>
      <c r="C4" s="14">
        <v>9.3864999999999998</v>
      </c>
      <c r="D4" s="1">
        <v>9.41</v>
      </c>
      <c r="E4" s="14">
        <f t="shared" si="0"/>
        <v>-2.3500000000000298E-2</v>
      </c>
    </row>
    <row r="5" spans="1:5" ht="15.75" customHeight="1">
      <c r="B5" s="1" t="s">
        <v>482</v>
      </c>
      <c r="C5" s="14">
        <v>9.9762000000000004</v>
      </c>
      <c r="D5" s="1">
        <v>9.99</v>
      </c>
      <c r="E5" s="14">
        <f t="shared" si="0"/>
        <v>-1.3799999999999812E-2</v>
      </c>
    </row>
    <row r="6" spans="1:5" ht="15.75" customHeight="1">
      <c r="B6" s="1" t="s">
        <v>483</v>
      </c>
      <c r="C6" s="14">
        <v>7.2225999999999999</v>
      </c>
      <c r="D6" s="1">
        <v>7.25</v>
      </c>
      <c r="E6" s="14">
        <f t="shared" si="0"/>
        <v>-2.7400000000000091E-2</v>
      </c>
    </row>
    <row r="7" spans="1:5" ht="15.75" customHeight="1">
      <c r="B7" s="1" t="s">
        <v>484</v>
      </c>
      <c r="C7" s="14">
        <v>9.2185000000000006</v>
      </c>
      <c r="D7" s="1">
        <v>9.24</v>
      </c>
      <c r="E7" s="14">
        <f t="shared" si="0"/>
        <v>-2.1499999999999631E-2</v>
      </c>
    </row>
    <row r="8" spans="1:5" ht="15.75" customHeight="1">
      <c r="B8" s="1" t="s">
        <v>485</v>
      </c>
      <c r="C8" s="14">
        <v>9.5024999999999995</v>
      </c>
      <c r="D8" s="1">
        <v>9.5399999999999991</v>
      </c>
      <c r="E8" s="14">
        <f t="shared" si="0"/>
        <v>-3.7499999999999645E-2</v>
      </c>
    </row>
    <row r="9" spans="1:5" ht="15.75" customHeight="1">
      <c r="A9" s="1" t="s">
        <v>486</v>
      </c>
      <c r="B9" s="1" t="s">
        <v>487</v>
      </c>
      <c r="C9" s="14">
        <v>4.3493000000000004</v>
      </c>
      <c r="D9" s="1">
        <v>4.3099999999999996</v>
      </c>
      <c r="E9" s="14">
        <f t="shared" si="0"/>
        <v>3.9300000000000779E-2</v>
      </c>
    </row>
    <row r="10" spans="1:5" ht="15.75" customHeight="1">
      <c r="B10" s="1" t="s">
        <v>488</v>
      </c>
      <c r="C10" s="14">
        <v>3.9449999999999998</v>
      </c>
      <c r="D10" s="1">
        <v>4</v>
      </c>
      <c r="E10" s="14">
        <f t="shared" si="0"/>
        <v>-5.500000000000016E-2</v>
      </c>
    </row>
    <row r="11" spans="1:5" ht="15.75" customHeight="1">
      <c r="A11" s="1" t="s">
        <v>489</v>
      </c>
      <c r="B11" s="1" t="s">
        <v>480</v>
      </c>
      <c r="C11" s="14">
        <v>6.7382999999999997</v>
      </c>
      <c r="D11" s="1">
        <v>6.6</v>
      </c>
      <c r="E11" s="14">
        <f t="shared" si="0"/>
        <v>0.13830000000000009</v>
      </c>
    </row>
    <row r="12" spans="1:5" ht="15.75" customHeight="1">
      <c r="B12" s="1" t="s">
        <v>490</v>
      </c>
      <c r="C12" s="14">
        <v>6.8414999999999999</v>
      </c>
      <c r="D12" s="1">
        <v>6.7</v>
      </c>
      <c r="E12" s="14">
        <f t="shared" si="0"/>
        <v>0.14149999999999974</v>
      </c>
    </row>
    <row r="13" spans="1:5" ht="15.75" customHeight="1">
      <c r="B13" s="1" t="s">
        <v>491</v>
      </c>
      <c r="C13" s="14">
        <v>4.2598000000000003</v>
      </c>
      <c r="D13" s="1">
        <v>4.38</v>
      </c>
      <c r="E13" s="14">
        <f t="shared" si="0"/>
        <v>-0.12019999999999964</v>
      </c>
    </row>
    <row r="14" spans="1:5" ht="15.75" customHeight="1">
      <c r="B14" s="1" t="s">
        <v>483</v>
      </c>
      <c r="C14" s="14">
        <v>6.4355000000000002</v>
      </c>
      <c r="D14" s="1">
        <v>6.45</v>
      </c>
      <c r="E14" s="14">
        <f t="shared" si="0"/>
        <v>-1.4499999999999957E-2</v>
      </c>
    </row>
    <row r="15" spans="1:5" ht="15.75" customHeight="1">
      <c r="A15" s="1" t="s">
        <v>492</v>
      </c>
      <c r="B15" s="1" t="s">
        <v>481</v>
      </c>
      <c r="C15" s="14">
        <v>3.1556000000000002</v>
      </c>
      <c r="D15" s="1">
        <v>3.14</v>
      </c>
      <c r="E15" s="14">
        <f t="shared" si="0"/>
        <v>1.5600000000000058E-2</v>
      </c>
    </row>
    <row r="16" spans="1:5" ht="15.75" customHeight="1">
      <c r="B16" s="1" t="s">
        <v>480</v>
      </c>
      <c r="C16" s="14">
        <v>5.5263999999999998</v>
      </c>
      <c r="D16" s="1">
        <v>5.54</v>
      </c>
      <c r="E16" s="14">
        <f t="shared" si="0"/>
        <v>-1.3600000000000279E-2</v>
      </c>
    </row>
    <row r="17" spans="1:5" ht="15.75" customHeight="1">
      <c r="B17" s="1" t="s">
        <v>482</v>
      </c>
      <c r="C17" s="14">
        <v>5.9141000000000004</v>
      </c>
      <c r="D17" s="1">
        <v>5.9</v>
      </c>
      <c r="E17" s="14">
        <f t="shared" si="0"/>
        <v>1.4100000000000001E-2</v>
      </c>
    </row>
    <row r="18" spans="1:5" ht="15.75" customHeight="1">
      <c r="B18" s="1" t="s">
        <v>484</v>
      </c>
      <c r="C18" s="14">
        <v>2.8628</v>
      </c>
      <c r="D18" s="1">
        <v>2.8</v>
      </c>
      <c r="E18" s="14">
        <f t="shared" si="0"/>
        <v>6.2800000000000189E-2</v>
      </c>
    </row>
    <row r="19" spans="1:5" ht="15.75" customHeight="1">
      <c r="B19" s="1" t="s">
        <v>485</v>
      </c>
      <c r="C19" s="14">
        <v>3.895</v>
      </c>
      <c r="D19" s="1">
        <v>4.05</v>
      </c>
      <c r="E19" s="14">
        <f t="shared" si="0"/>
        <v>-0.1549999999999998</v>
      </c>
    </row>
    <row r="20" spans="1:5" ht="15.75" customHeight="1">
      <c r="B20" s="1" t="s">
        <v>483</v>
      </c>
      <c r="C20" s="14">
        <v>5.3695000000000004</v>
      </c>
      <c r="D20" s="1">
        <v>5.35</v>
      </c>
      <c r="E20" s="14">
        <f t="shared" si="0"/>
        <v>1.9500000000000739E-2</v>
      </c>
    </row>
    <row r="21" spans="1:5" ht="15.75" customHeight="1">
      <c r="B21" s="1" t="s">
        <v>485</v>
      </c>
      <c r="C21" s="14">
        <v>6.6651999999999996</v>
      </c>
      <c r="D21" s="1">
        <v>6.82</v>
      </c>
      <c r="E21" s="14">
        <f t="shared" si="0"/>
        <v>-0.15480000000000071</v>
      </c>
    </row>
    <row r="22" spans="1:5" ht="15.75" customHeight="1">
      <c r="A22" s="1" t="s">
        <v>36</v>
      </c>
      <c r="B22" s="1" t="s">
        <v>493</v>
      </c>
      <c r="C22" s="14">
        <v>7.8746999999999998</v>
      </c>
      <c r="D22" s="1">
        <v>7.84</v>
      </c>
      <c r="E22" s="14">
        <f t="shared" si="0"/>
        <v>3.4699999999999953E-2</v>
      </c>
    </row>
    <row r="23" spans="1:5" ht="15.75" customHeight="1">
      <c r="A23" s="1" t="s">
        <v>494</v>
      </c>
      <c r="B23" s="1" t="s">
        <v>487</v>
      </c>
      <c r="C23" s="14">
        <v>5.6993999999999998</v>
      </c>
      <c r="D23" s="1">
        <v>5.7</v>
      </c>
      <c r="E23" s="14">
        <f t="shared" si="0"/>
        <v>-6.0000000000037801E-4</v>
      </c>
    </row>
    <row r="24" spans="1:5" ht="15.75" customHeight="1">
      <c r="B24" s="1" t="s">
        <v>495</v>
      </c>
      <c r="C24" s="14">
        <v>7.5769000000000002</v>
      </c>
      <c r="D24" s="1">
        <v>7.63</v>
      </c>
      <c r="E24" s="14">
        <f t="shared" si="0"/>
        <v>-5.3099999999999703E-2</v>
      </c>
    </row>
    <row r="25" spans="1:5" ht="15.75" customHeight="1">
      <c r="B25" s="1" t="s">
        <v>488</v>
      </c>
      <c r="C25" s="14">
        <v>5.3692000000000002</v>
      </c>
      <c r="D25" s="1">
        <v>5.4</v>
      </c>
      <c r="E25" s="14">
        <f t="shared" si="0"/>
        <v>-3.0800000000000161E-2</v>
      </c>
    </row>
    <row r="26" spans="1:5" ht="15.75" customHeight="1">
      <c r="B26" s="1" t="s">
        <v>496</v>
      </c>
      <c r="C26" s="14">
        <v>5.7363999999999997</v>
      </c>
      <c r="D26" s="1">
        <v>5.7</v>
      </c>
      <c r="E26" s="14">
        <f t="shared" si="0"/>
        <v>3.6399999999999544E-2</v>
      </c>
    </row>
    <row r="27" spans="1:5" ht="15.75" customHeight="1">
      <c r="A27" s="1" t="s">
        <v>497</v>
      </c>
      <c r="B27" s="1" t="s">
        <v>481</v>
      </c>
      <c r="C27" s="14">
        <v>3.9363999999999999</v>
      </c>
      <c r="D27" s="1">
        <v>3.86</v>
      </c>
      <c r="E27" s="14">
        <f t="shared" si="0"/>
        <v>7.6400000000000023E-2</v>
      </c>
    </row>
    <row r="28" spans="1:5" ht="15.75" customHeight="1">
      <c r="B28" s="1" t="s">
        <v>480</v>
      </c>
      <c r="C28" s="14">
        <v>6.0557999999999996</v>
      </c>
      <c r="D28" s="1">
        <v>6.01</v>
      </c>
      <c r="E28" s="14">
        <f t="shared" si="0"/>
        <v>4.5799999999999841E-2</v>
      </c>
    </row>
    <row r="29" spans="1:5" ht="15.75" customHeight="1">
      <c r="B29" s="1" t="s">
        <v>481</v>
      </c>
      <c r="C29" s="14">
        <v>7.2637999999999998</v>
      </c>
      <c r="D29" s="1">
        <v>7.18</v>
      </c>
      <c r="E29" s="14">
        <f t="shared" si="0"/>
        <v>8.3800000000000097E-2</v>
      </c>
    </row>
    <row r="30" spans="1:5" ht="15.75" customHeight="1">
      <c r="B30" s="1" t="s">
        <v>484</v>
      </c>
      <c r="C30" s="14">
        <v>3.8031999999999999</v>
      </c>
      <c r="D30" s="1">
        <v>3.77</v>
      </c>
      <c r="E30" s="14">
        <f t="shared" si="0"/>
        <v>3.3199999999999896E-2</v>
      </c>
    </row>
    <row r="31" spans="1:5" ht="15.75" customHeight="1">
      <c r="B31" s="1" t="s">
        <v>485</v>
      </c>
      <c r="C31" s="14">
        <v>5.5167999999999999</v>
      </c>
      <c r="D31" s="1">
        <v>5.61</v>
      </c>
      <c r="E31" s="14">
        <f t="shared" si="0"/>
        <v>-9.3200000000000394E-2</v>
      </c>
    </row>
    <row r="32" spans="1:5" ht="15.75" customHeight="1">
      <c r="B32" s="1" t="s">
        <v>483</v>
      </c>
      <c r="C32" s="14">
        <v>5.8498999999999999</v>
      </c>
      <c r="D32" s="1">
        <v>5.79</v>
      </c>
      <c r="E32" s="14">
        <f t="shared" si="0"/>
        <v>5.9899999999999842E-2</v>
      </c>
    </row>
    <row r="33" spans="1:5" ht="15.75" customHeight="1">
      <c r="B33" s="1" t="s">
        <v>484</v>
      </c>
      <c r="C33" s="14">
        <v>7.2244000000000002</v>
      </c>
      <c r="D33" s="1">
        <v>7.12</v>
      </c>
      <c r="E33" s="14">
        <f t="shared" si="0"/>
        <v>0.10440000000000005</v>
      </c>
    </row>
    <row r="34" spans="1:5" ht="15.75" customHeight="1">
      <c r="A34" s="1" t="s">
        <v>498</v>
      </c>
      <c r="B34" s="1" t="s">
        <v>487</v>
      </c>
      <c r="C34" s="14">
        <v>1.9508000000000001</v>
      </c>
      <c r="D34" s="1">
        <v>2</v>
      </c>
      <c r="E34" s="14">
        <f t="shared" si="0"/>
        <v>-4.919999999999991E-2</v>
      </c>
    </row>
    <row r="35" spans="1:5" ht="15.75" customHeight="1">
      <c r="B35" s="1" t="s">
        <v>495</v>
      </c>
      <c r="C35" s="14">
        <v>6.4329999999999998</v>
      </c>
      <c r="D35" s="1">
        <v>6.4</v>
      </c>
      <c r="E35" s="14">
        <f t="shared" si="0"/>
        <v>3.2999999999999474E-2</v>
      </c>
    </row>
    <row r="36" spans="1:5" ht="15.75" customHeight="1">
      <c r="B36" s="1" t="s">
        <v>488</v>
      </c>
      <c r="C36" s="14">
        <v>1.0944</v>
      </c>
      <c r="D36" s="1">
        <v>1.1599999999999999</v>
      </c>
      <c r="E36" s="14">
        <f t="shared" si="0"/>
        <v>-6.5599999999999881E-2</v>
      </c>
    </row>
    <row r="37" spans="1:5" ht="15.75" customHeight="1">
      <c r="B37" s="1" t="s">
        <v>496</v>
      </c>
      <c r="C37" s="14">
        <v>5.3851000000000004</v>
      </c>
      <c r="D37" s="1">
        <v>5.6</v>
      </c>
      <c r="E37" s="14">
        <f t="shared" si="0"/>
        <v>-0.2148999999999992</v>
      </c>
    </row>
    <row r="38" spans="1:5" ht="15.75" customHeight="1">
      <c r="A38" s="1" t="s">
        <v>499</v>
      </c>
      <c r="B38" s="1" t="s">
        <v>490</v>
      </c>
      <c r="C38" s="14">
        <v>7.2721</v>
      </c>
      <c r="D38" s="1">
        <v>7.1</v>
      </c>
      <c r="E38" s="14">
        <f t="shared" si="0"/>
        <v>0.17210000000000036</v>
      </c>
    </row>
    <row r="39" spans="1:5" ht="15.75" customHeight="1">
      <c r="B39" s="1" t="s">
        <v>491</v>
      </c>
      <c r="C39" s="14">
        <v>5.4181999999999997</v>
      </c>
      <c r="D39" s="1">
        <v>5.52</v>
      </c>
      <c r="E39" s="14">
        <f t="shared" si="0"/>
        <v>-0.10179999999999989</v>
      </c>
    </row>
    <row r="40" spans="1:5" ht="15.75" customHeight="1">
      <c r="A40" s="1" t="s">
        <v>500</v>
      </c>
      <c r="B40" s="1" t="s">
        <v>481</v>
      </c>
      <c r="C40" s="14">
        <v>4.0057</v>
      </c>
      <c r="D40" s="1">
        <v>3.98</v>
      </c>
      <c r="E40" s="14">
        <f t="shared" si="0"/>
        <v>2.5700000000000056E-2</v>
      </c>
    </row>
    <row r="41" spans="1:5" ht="15.75" customHeight="1">
      <c r="B41" s="1" t="s">
        <v>490</v>
      </c>
      <c r="C41" s="14">
        <v>7.2679999999999998</v>
      </c>
      <c r="D41" s="1">
        <v>7.23</v>
      </c>
      <c r="E41" s="14">
        <f t="shared" si="0"/>
        <v>3.7999999999999368E-2</v>
      </c>
    </row>
    <row r="42" spans="1:5" ht="15.75" customHeight="1">
      <c r="B42" s="1" t="s">
        <v>490</v>
      </c>
      <c r="C42" s="14">
        <v>8.1534999999999993</v>
      </c>
      <c r="D42" s="1">
        <v>8.1300000000000008</v>
      </c>
      <c r="E42" s="14">
        <f t="shared" si="0"/>
        <v>2.3499999999998522E-2</v>
      </c>
    </row>
    <row r="43" spans="1:5" ht="15.75" customHeight="1">
      <c r="B43" s="1" t="s">
        <v>482</v>
      </c>
      <c r="C43" s="14">
        <v>8.2432999999999996</v>
      </c>
      <c r="D43" s="1">
        <v>8.23</v>
      </c>
      <c r="E43" s="14">
        <f t="shared" si="0"/>
        <v>1.3299999999999201E-2</v>
      </c>
    </row>
    <row r="44" spans="1:5" ht="15.75" customHeight="1">
      <c r="B44" s="1" t="s">
        <v>481</v>
      </c>
      <c r="C44" s="14">
        <v>8.6903000000000006</v>
      </c>
      <c r="D44" s="1">
        <v>8.67</v>
      </c>
      <c r="E44" s="14">
        <f t="shared" si="0"/>
        <v>2.0300000000000651E-2</v>
      </c>
    </row>
    <row r="45" spans="1:5" ht="15.75" customHeight="1">
      <c r="B45" s="1" t="s">
        <v>480</v>
      </c>
      <c r="C45" s="14">
        <v>9.2851999999999997</v>
      </c>
      <c r="D45" s="1">
        <v>9.2200000000000006</v>
      </c>
      <c r="E45" s="14">
        <f t="shared" si="0"/>
        <v>6.5199999999999037E-2</v>
      </c>
    </row>
    <row r="46" spans="1:5" ht="15.75" customHeight="1">
      <c r="B46" s="1" t="s">
        <v>482</v>
      </c>
      <c r="C46" s="14">
        <v>9.6677</v>
      </c>
      <c r="D46" s="1">
        <v>9.43</v>
      </c>
      <c r="E46" s="14">
        <f t="shared" si="0"/>
        <v>0.23770000000000024</v>
      </c>
    </row>
    <row r="47" spans="1:5" ht="15.75" customHeight="1">
      <c r="B47" s="1" t="s">
        <v>484</v>
      </c>
      <c r="C47" s="14">
        <v>3.5653000000000001</v>
      </c>
      <c r="D47" s="1">
        <v>3.58</v>
      </c>
      <c r="E47" s="14">
        <f t="shared" si="0"/>
        <v>-1.4699999999999935E-2</v>
      </c>
    </row>
    <row r="48" spans="1:5" ht="15.75" customHeight="1">
      <c r="B48" s="1" t="s">
        <v>485</v>
      </c>
      <c r="C48" s="14">
        <v>5.9337</v>
      </c>
      <c r="D48" s="1">
        <v>6.06</v>
      </c>
      <c r="E48" s="14">
        <f t="shared" si="0"/>
        <v>-0.12629999999999963</v>
      </c>
    </row>
    <row r="49" spans="1:5" ht="15.75" customHeight="1">
      <c r="B49" s="1" t="s">
        <v>491</v>
      </c>
      <c r="C49" s="14">
        <v>7.1109999999999998</v>
      </c>
      <c r="D49" s="1">
        <v>7.06</v>
      </c>
      <c r="E49" s="14">
        <f t="shared" si="0"/>
        <v>5.1000000000000156E-2</v>
      </c>
    </row>
    <row r="50" spans="1:5" ht="15.75" customHeight="1">
      <c r="B50" s="1" t="s">
        <v>491</v>
      </c>
      <c r="C50" s="14">
        <v>7.9683999999999999</v>
      </c>
      <c r="D50" s="1">
        <v>7.94</v>
      </c>
      <c r="E50" s="14">
        <f t="shared" si="0"/>
        <v>2.8399999999999537E-2</v>
      </c>
    </row>
    <row r="51" spans="1:5" ht="15.75" customHeight="1">
      <c r="B51" s="1" t="s">
        <v>485</v>
      </c>
      <c r="C51" s="14">
        <v>8.1187000000000005</v>
      </c>
      <c r="D51" s="1">
        <v>8.1</v>
      </c>
      <c r="E51" s="14">
        <f t="shared" si="0"/>
        <v>1.8700000000000827E-2</v>
      </c>
    </row>
    <row r="52" spans="1:5" ht="15.75" customHeight="1">
      <c r="B52" s="1" t="s">
        <v>483</v>
      </c>
      <c r="C52" s="14">
        <v>8.4428000000000001</v>
      </c>
      <c r="D52" s="1">
        <v>8.42</v>
      </c>
      <c r="E52" s="14">
        <f t="shared" si="0"/>
        <v>2.2800000000000153E-2</v>
      </c>
    </row>
    <row r="53" spans="1:5" ht="15.75" customHeight="1">
      <c r="A53" s="1" t="s">
        <v>501</v>
      </c>
      <c r="B53" s="1" t="s">
        <v>487</v>
      </c>
      <c r="C53" s="14">
        <v>5.2519999999999998</v>
      </c>
      <c r="D53" s="1">
        <v>5.23</v>
      </c>
      <c r="E53" s="14">
        <f t="shared" si="0"/>
        <v>2.1999999999999353E-2</v>
      </c>
    </row>
    <row r="54" spans="1:5" ht="15.75" customHeight="1">
      <c r="B54" s="1" t="s">
        <v>488</v>
      </c>
      <c r="C54" s="14">
        <v>4.6108000000000002</v>
      </c>
      <c r="D54" s="1">
        <v>4.6500000000000004</v>
      </c>
      <c r="E54" s="14">
        <f t="shared" si="0"/>
        <v>-3.9200000000000124E-2</v>
      </c>
    </row>
    <row r="55" spans="1:5" ht="15.75" customHeight="1">
      <c r="A55" s="1" t="s">
        <v>502</v>
      </c>
      <c r="B55" s="1" t="s">
        <v>481</v>
      </c>
      <c r="C55" s="14">
        <v>2.2591000000000001</v>
      </c>
      <c r="D55" s="1">
        <v>2.2200000000000002</v>
      </c>
      <c r="E55" s="14">
        <f t="shared" si="0"/>
        <v>3.9099999999999913E-2</v>
      </c>
    </row>
    <row r="56" spans="1:5" ht="15.75" customHeight="1">
      <c r="B56" s="1" t="s">
        <v>490</v>
      </c>
      <c r="C56" s="14">
        <v>5.9451000000000001</v>
      </c>
      <c r="D56" s="1">
        <v>5.96</v>
      </c>
      <c r="E56" s="14">
        <f t="shared" si="0"/>
        <v>-1.4899999999999913E-2</v>
      </c>
    </row>
    <row r="57" spans="1:5" ht="15.75" customHeight="1">
      <c r="B57" s="1" t="s">
        <v>482</v>
      </c>
      <c r="C57" s="14">
        <v>6.6284999999999998</v>
      </c>
      <c r="D57" s="1">
        <v>6.4</v>
      </c>
      <c r="E57" s="14">
        <f t="shared" si="0"/>
        <v>0.22849999999999948</v>
      </c>
    </row>
    <row r="58" spans="1:5" ht="15.75" customHeight="1">
      <c r="B58" s="1" t="s">
        <v>484</v>
      </c>
      <c r="C58" s="14">
        <v>1.9118999999999999</v>
      </c>
      <c r="D58" s="1">
        <v>1.94</v>
      </c>
      <c r="E58" s="14">
        <f t="shared" si="0"/>
        <v>-2.8100000000000014E-2</v>
      </c>
    </row>
    <row r="59" spans="1:5" ht="15.75" customHeight="1">
      <c r="B59" s="1" t="s">
        <v>485</v>
      </c>
      <c r="C59" s="14">
        <v>3.2347999999999999</v>
      </c>
      <c r="D59" s="1">
        <v>3.43</v>
      </c>
      <c r="E59" s="14">
        <f t="shared" si="0"/>
        <v>-0.19520000000000026</v>
      </c>
    </row>
    <row r="60" spans="1:5" ht="15.75" customHeight="1">
      <c r="B60" s="1" t="s">
        <v>491</v>
      </c>
      <c r="C60" s="14">
        <v>5.7380000000000004</v>
      </c>
      <c r="D60" s="1">
        <v>5.6</v>
      </c>
      <c r="E60" s="14">
        <f t="shared" si="0"/>
        <v>0.13800000000000079</v>
      </c>
    </row>
    <row r="61" spans="1:5" ht="15.75" customHeight="1">
      <c r="A61" s="1" t="s">
        <v>503</v>
      </c>
      <c r="B61" s="1" t="s">
        <v>504</v>
      </c>
      <c r="C61" s="14">
        <v>7.1307999999999998</v>
      </c>
      <c r="D61" s="1">
        <v>7.1</v>
      </c>
      <c r="E61" s="14">
        <f t="shared" si="0"/>
        <v>3.0800000000000161E-2</v>
      </c>
    </row>
    <row r="62" spans="1:5" ht="15.75" customHeight="1">
      <c r="B62" s="1" t="s">
        <v>505</v>
      </c>
      <c r="C62" s="14">
        <v>7.4622999999999999</v>
      </c>
      <c r="D62" s="1">
        <v>7.44</v>
      </c>
      <c r="E62" s="14">
        <f t="shared" si="0"/>
        <v>2.2299999999999542E-2</v>
      </c>
    </row>
    <row r="63" spans="1:5" ht="15.75" customHeight="1">
      <c r="B63" s="1" t="s">
        <v>506</v>
      </c>
      <c r="C63" s="14">
        <v>5.4268000000000001</v>
      </c>
      <c r="D63" s="1">
        <v>5.53</v>
      </c>
      <c r="E63" s="14">
        <f t="shared" si="0"/>
        <v>-0.10320000000000018</v>
      </c>
    </row>
    <row r="64" spans="1:5" ht="15.75" customHeight="1">
      <c r="B64" s="1" t="s">
        <v>507</v>
      </c>
      <c r="C64" s="14">
        <v>6.3903999999999996</v>
      </c>
      <c r="D64" s="1">
        <v>6.4</v>
      </c>
      <c r="E64" s="14">
        <f t="shared" si="0"/>
        <v>-9.6000000000007191E-3</v>
      </c>
    </row>
    <row r="65" spans="1:6" ht="15.75" customHeight="1">
      <c r="B65" s="1" t="s">
        <v>508</v>
      </c>
      <c r="C65" s="14">
        <v>7.1050000000000004</v>
      </c>
      <c r="D65" s="1">
        <v>7.08</v>
      </c>
      <c r="E65" s="14">
        <f t="shared" si="0"/>
        <v>2.5000000000000355E-2</v>
      </c>
    </row>
    <row r="66" spans="1:6" ht="15.75" customHeight="1">
      <c r="A66" s="1" t="s">
        <v>509</v>
      </c>
      <c r="B66" s="1" t="s">
        <v>510</v>
      </c>
      <c r="C66" s="14">
        <v>7.3944000000000001</v>
      </c>
      <c r="D66" s="1">
        <v>7.39</v>
      </c>
      <c r="E66" s="14">
        <f t="shared" si="0"/>
        <v>4.4000000000004036E-3</v>
      </c>
    </row>
    <row r="67" spans="1:6" ht="15.75" customHeight="1">
      <c r="B67" s="1" t="s">
        <v>511</v>
      </c>
      <c r="C67" s="14">
        <v>8.0122999999999998</v>
      </c>
      <c r="D67" s="1">
        <v>7.93</v>
      </c>
      <c r="E67" s="14">
        <f t="shared" si="0"/>
        <v>8.230000000000004E-2</v>
      </c>
    </row>
    <row r="68" spans="1:6" ht="15.75" customHeight="1">
      <c r="B68" s="1" t="s">
        <v>512</v>
      </c>
      <c r="C68" s="14">
        <v>8.0614000000000008</v>
      </c>
      <c r="D68" s="1">
        <v>8.08</v>
      </c>
      <c r="E68" s="14">
        <f t="shared" si="0"/>
        <v>-1.8599999999999284E-2</v>
      </c>
    </row>
    <row r="69" spans="1:6" ht="15.75" customHeight="1">
      <c r="B69" s="1" t="s">
        <v>513</v>
      </c>
      <c r="C69" s="14">
        <v>4.4278000000000004</v>
      </c>
      <c r="D69" s="1">
        <v>4.54</v>
      </c>
      <c r="E69" s="14">
        <f t="shared" si="0"/>
        <v>-0.11219999999999963</v>
      </c>
    </row>
    <row r="70" spans="1:6" ht="15.75" customHeight="1">
      <c r="A70" s="1" t="s">
        <v>514</v>
      </c>
      <c r="B70" s="1" t="s">
        <v>515</v>
      </c>
      <c r="C70" s="14">
        <v>9.3928999999999991</v>
      </c>
      <c r="D70" s="1">
        <v>9.34</v>
      </c>
      <c r="E70" s="14">
        <f t="shared" si="0"/>
        <v>5.2899999999999281E-2</v>
      </c>
    </row>
    <row r="71" spans="1:6" ht="15.75" customHeight="1">
      <c r="B71" s="1" t="s">
        <v>516</v>
      </c>
      <c r="C71" s="14">
        <v>9.9694000000000003</v>
      </c>
      <c r="D71" s="1">
        <v>9.8800000000000008</v>
      </c>
      <c r="E71" s="14">
        <f t="shared" si="0"/>
        <v>8.939999999999948E-2</v>
      </c>
    </row>
    <row r="72" spans="1:6" ht="15.75" customHeight="1">
      <c r="B72" s="1" t="s">
        <v>505</v>
      </c>
      <c r="C72" s="14">
        <v>10.4122</v>
      </c>
      <c r="D72" s="1">
        <v>10.29</v>
      </c>
      <c r="E72" s="14">
        <f t="shared" si="0"/>
        <v>0.1222000000000012</v>
      </c>
    </row>
    <row r="73" spans="1:6" ht="15.75" customHeight="1">
      <c r="B73" s="1" t="s">
        <v>517</v>
      </c>
      <c r="C73" s="14">
        <v>13.1471</v>
      </c>
      <c r="D73" s="1">
        <v>12.98</v>
      </c>
      <c r="E73" s="14">
        <f t="shared" si="0"/>
        <v>0.16709999999999958</v>
      </c>
    </row>
    <row r="74" spans="1:6" ht="15.75" customHeight="1">
      <c r="B74" s="1" t="s">
        <v>518</v>
      </c>
      <c r="C74" s="14">
        <v>13.416499999999999</v>
      </c>
      <c r="D74" s="1">
        <v>13.03</v>
      </c>
      <c r="E74" s="14">
        <f t="shared" si="0"/>
        <v>0.38649999999999984</v>
      </c>
      <c r="F74" s="1"/>
    </row>
    <row r="75" spans="1:6" ht="15.75" customHeight="1">
      <c r="B75" s="1" t="s">
        <v>519</v>
      </c>
      <c r="C75" s="14">
        <v>13.2401</v>
      </c>
      <c r="D75" s="1">
        <v>13.09</v>
      </c>
      <c r="E75" s="14">
        <f t="shared" si="0"/>
        <v>0.15010000000000012</v>
      </c>
    </row>
    <row r="76" spans="1:6" ht="15.75" customHeight="1">
      <c r="B76" s="1" t="s">
        <v>518</v>
      </c>
      <c r="C76" s="14">
        <v>13.661300000000001</v>
      </c>
      <c r="D76" s="1">
        <v>13.46</v>
      </c>
      <c r="E76" s="14">
        <f t="shared" si="0"/>
        <v>0.20129999999999981</v>
      </c>
    </row>
    <row r="77" spans="1:6" ht="15.75" customHeight="1">
      <c r="B77" s="1" t="s">
        <v>506</v>
      </c>
      <c r="C77" s="14">
        <v>7.6230000000000002</v>
      </c>
      <c r="D77" s="1">
        <v>7.7</v>
      </c>
      <c r="E77" s="14">
        <f t="shared" si="0"/>
        <v>-7.6999999999999957E-2</v>
      </c>
    </row>
    <row r="78" spans="1:6" ht="15.75" customHeight="1">
      <c r="B78" s="1" t="s">
        <v>520</v>
      </c>
      <c r="C78" s="14">
        <v>8.0821000000000005</v>
      </c>
      <c r="D78" s="1">
        <v>8.01</v>
      </c>
      <c r="E78" s="14">
        <f t="shared" si="0"/>
        <v>7.2100000000000719E-2</v>
      </c>
    </row>
    <row r="79" spans="1:6" ht="15.75" customHeight="1">
      <c r="B79" s="1" t="s">
        <v>507</v>
      </c>
      <c r="C79" s="14">
        <v>8.8731000000000009</v>
      </c>
      <c r="D79" s="1">
        <v>8.8699999999999992</v>
      </c>
      <c r="E79" s="14">
        <f t="shared" si="0"/>
        <v>3.100000000001657E-3</v>
      </c>
    </row>
    <row r="80" spans="1:6" ht="15.75" customHeight="1">
      <c r="B80" s="1" t="s">
        <v>508</v>
      </c>
      <c r="C80" s="14">
        <v>9.8002000000000002</v>
      </c>
      <c r="D80" s="1">
        <v>9.66</v>
      </c>
      <c r="E80" s="14">
        <f t="shared" si="0"/>
        <v>0.1402000000000001</v>
      </c>
    </row>
    <row r="81" spans="1:5" ht="15.75" customHeight="1">
      <c r="A81" s="1" t="s">
        <v>521</v>
      </c>
      <c r="B81" s="1" t="s">
        <v>493</v>
      </c>
      <c r="C81" s="14">
        <v>8.5500000000000007</v>
      </c>
      <c r="D81" s="1">
        <v>8.49</v>
      </c>
      <c r="E81" s="14">
        <f t="shared" si="0"/>
        <v>6.0000000000000497E-2</v>
      </c>
    </row>
    <row r="82" spans="1:5" ht="15.75" customHeight="1">
      <c r="B82" s="1" t="s">
        <v>522</v>
      </c>
      <c r="C82" s="14">
        <v>9.9773999999999994</v>
      </c>
      <c r="D82" s="1">
        <v>9.92</v>
      </c>
      <c r="E82" s="14">
        <f t="shared" si="0"/>
        <v>5.7399999999999451E-2</v>
      </c>
    </row>
    <row r="83" spans="1:5" ht="15.75" customHeight="1">
      <c r="B83" s="1" t="s">
        <v>523</v>
      </c>
      <c r="C83" s="14">
        <v>10.104200000000001</v>
      </c>
      <c r="D83" s="1">
        <v>10.06</v>
      </c>
      <c r="E83" s="14">
        <f t="shared" si="0"/>
        <v>4.4200000000000017E-2</v>
      </c>
    </row>
    <row r="84" spans="1:5" ht="15.75" customHeight="1">
      <c r="B84" s="1" t="s">
        <v>524</v>
      </c>
      <c r="C84" s="14">
        <v>11.2036</v>
      </c>
      <c r="D84" s="1">
        <v>10.95</v>
      </c>
      <c r="E84" s="14">
        <f t="shared" si="0"/>
        <v>0.25360000000000049</v>
      </c>
    </row>
    <row r="85" spans="1:5" ht="15.75" customHeight="1">
      <c r="B85" s="1" t="s">
        <v>525</v>
      </c>
      <c r="C85" s="14">
        <v>11.735900000000001</v>
      </c>
      <c r="D85" s="1">
        <v>11.52</v>
      </c>
      <c r="E85" s="14">
        <f t="shared" si="0"/>
        <v>0.21590000000000131</v>
      </c>
    </row>
    <row r="86" spans="1:5" ht="15.75" customHeight="1">
      <c r="B86" s="1" t="s">
        <v>526</v>
      </c>
      <c r="C86" s="14">
        <v>11.9437</v>
      </c>
      <c r="D86" s="1">
        <v>11.72</v>
      </c>
      <c r="E86" s="14">
        <f t="shared" si="0"/>
        <v>0.22369999999999912</v>
      </c>
    </row>
    <row r="87" spans="1:5" ht="15.75" customHeight="1">
      <c r="B87" s="1" t="s">
        <v>527</v>
      </c>
      <c r="C87" s="14">
        <v>6.3282999999999996</v>
      </c>
      <c r="D87" s="1">
        <v>6.28</v>
      </c>
      <c r="E87" s="14">
        <f t="shared" si="0"/>
        <v>4.8299999999999343E-2</v>
      </c>
    </row>
    <row r="88" spans="1:5" ht="15.75" customHeight="1">
      <c r="B88" s="1" t="s">
        <v>528</v>
      </c>
      <c r="C88" s="14">
        <v>8.3230000000000004</v>
      </c>
      <c r="D88" s="1">
        <v>8.4499999999999993</v>
      </c>
      <c r="E88" s="14">
        <f t="shared" si="0"/>
        <v>-0.12699999999999889</v>
      </c>
    </row>
    <row r="89" spans="1:5" ht="15.75" customHeight="1">
      <c r="B89" s="1" t="s">
        <v>529</v>
      </c>
      <c r="C89" s="14">
        <v>9.2186000000000003</v>
      </c>
      <c r="D89" s="1">
        <v>9.27</v>
      </c>
      <c r="E89" s="14">
        <f t="shared" si="0"/>
        <v>-5.1399999999999224E-2</v>
      </c>
    </row>
    <row r="90" spans="1:5" ht="15.75" customHeight="1">
      <c r="B90" s="1" t="s">
        <v>530</v>
      </c>
      <c r="C90" s="14">
        <v>9.7949000000000002</v>
      </c>
      <c r="D90" s="1">
        <v>9.8000000000000007</v>
      </c>
      <c r="E90" s="14">
        <f t="shared" si="0"/>
        <v>-5.1000000000005485E-3</v>
      </c>
    </row>
    <row r="91" spans="1:5" ht="15.75" customHeight="1">
      <c r="B91" s="1" t="s">
        <v>531</v>
      </c>
      <c r="C91" s="14">
        <v>10.692399999999999</v>
      </c>
      <c r="D91" s="1">
        <v>10.47</v>
      </c>
      <c r="E91" s="14">
        <f t="shared" si="0"/>
        <v>0.2223999999999986</v>
      </c>
    </row>
    <row r="100" spans="3:4" ht="15.75" customHeight="1">
      <c r="C100" s="1" t="s">
        <v>532</v>
      </c>
      <c r="D100" s="14">
        <f ca="1">IFERROR(__xludf.DUMMYFUNCTION("AVERAGE(FILTER((E3:E91), E3:E91&lt;&gt;0))"),0.0290797752808988)</f>
        <v>2.9079775280898799E-2</v>
      </c>
    </row>
    <row r="101" spans="3:4" ht="15.75" customHeight="1">
      <c r="C101" s="1" t="s">
        <v>6</v>
      </c>
      <c r="D101" s="14">
        <f ca="1">IFERROR(__xludf.DUMMYFUNCTION("AVERAGE(FILTER(ABS(E3:E91), E3:E91&lt;&gt;0))"),0.0778460674157303)</f>
        <v>7.7846067415730302E-2</v>
      </c>
    </row>
    <row r="102" spans="3:4" ht="15.75" customHeight="1">
      <c r="C102" s="1" t="s">
        <v>7</v>
      </c>
      <c r="D102" s="14">
        <f ca="1">IFERROR(__xludf.DUMMYFUNCTION("SQRT(AVERAGE(FILTER(E3:E91^2, E3:E91&lt;&gt;0)))"),0.107178967729659)</f>
        <v>0.107178967729659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DF50-445F-4772-8565-03D19DCC11D0}">
  <sheetPr>
    <outlinePr summaryBelow="0" summaryRight="0"/>
  </sheetPr>
  <dimension ref="A1:F102"/>
  <sheetViews>
    <sheetView workbookViewId="0"/>
  </sheetViews>
  <sheetFormatPr defaultColWidth="12.6640625" defaultRowHeight="15.75" customHeight="1"/>
  <cols>
    <col min="1" max="1" width="14" style="2" customWidth="1"/>
    <col min="2" max="16384" width="12.6640625" style="2"/>
  </cols>
  <sheetData>
    <row r="1" spans="1:5" ht="15.75" customHeight="1">
      <c r="A1" s="16" t="s">
        <v>439</v>
      </c>
      <c r="C1" s="1" t="s">
        <v>478</v>
      </c>
      <c r="D1" s="1" t="s">
        <v>479</v>
      </c>
      <c r="E1" s="1" t="s">
        <v>236</v>
      </c>
    </row>
    <row r="2" spans="1:5" ht="15.75" customHeight="1">
      <c r="C2" s="1" t="s">
        <v>230</v>
      </c>
      <c r="D2" s="1" t="s">
        <v>230</v>
      </c>
      <c r="E2" s="1" t="s">
        <v>230</v>
      </c>
    </row>
    <row r="3" spans="1:5" ht="15.75" customHeight="1">
      <c r="A3" s="1" t="s">
        <v>334</v>
      </c>
      <c r="B3" s="1" t="s">
        <v>480</v>
      </c>
      <c r="C3" s="14">
        <v>7.6155999999999997</v>
      </c>
      <c r="D3" s="1">
        <v>7.62</v>
      </c>
      <c r="E3" s="14">
        <f t="shared" ref="E3:E91" si="0">C3-D3</f>
        <v>-4.4000000000004036E-3</v>
      </c>
    </row>
    <row r="4" spans="1:5" ht="15.75" customHeight="1">
      <c r="B4" s="1" t="s">
        <v>481</v>
      </c>
      <c r="C4" s="14">
        <v>9.3828999999999994</v>
      </c>
      <c r="D4" s="1">
        <v>9.41</v>
      </c>
      <c r="E4" s="14">
        <f t="shared" si="0"/>
        <v>-2.710000000000079E-2</v>
      </c>
    </row>
    <row r="5" spans="1:5" ht="15.75" customHeight="1">
      <c r="B5" s="1" t="s">
        <v>482</v>
      </c>
      <c r="C5" s="14">
        <v>9.9743999999999993</v>
      </c>
      <c r="D5" s="1">
        <v>9.99</v>
      </c>
      <c r="E5" s="14">
        <f t="shared" si="0"/>
        <v>-1.5600000000000946E-2</v>
      </c>
    </row>
    <row r="6" spans="1:5" ht="15.75" customHeight="1">
      <c r="B6" s="1" t="s">
        <v>483</v>
      </c>
      <c r="C6" s="14">
        <v>7.2202000000000002</v>
      </c>
      <c r="D6" s="1">
        <v>7.25</v>
      </c>
      <c r="E6" s="14">
        <f t="shared" si="0"/>
        <v>-2.9799999999999827E-2</v>
      </c>
    </row>
    <row r="7" spans="1:5" ht="15.75" customHeight="1">
      <c r="B7" s="1" t="s">
        <v>484</v>
      </c>
      <c r="C7" s="14">
        <v>9.2155000000000005</v>
      </c>
      <c r="D7" s="1">
        <v>9.24</v>
      </c>
      <c r="E7" s="14">
        <f t="shared" si="0"/>
        <v>-2.4499999999999744E-2</v>
      </c>
    </row>
    <row r="8" spans="1:5" ht="15.75" customHeight="1">
      <c r="B8" s="1" t="s">
        <v>485</v>
      </c>
      <c r="C8" s="14">
        <v>9.5000999999999998</v>
      </c>
      <c r="D8" s="1">
        <v>9.5399999999999991</v>
      </c>
      <c r="E8" s="14">
        <f t="shared" si="0"/>
        <v>-3.989999999999938E-2</v>
      </c>
    </row>
    <row r="9" spans="1:5" ht="15.75" customHeight="1">
      <c r="A9" s="1" t="s">
        <v>486</v>
      </c>
      <c r="B9" s="1" t="s">
        <v>487</v>
      </c>
      <c r="C9" s="14">
        <v>4.3509000000000002</v>
      </c>
      <c r="D9" s="1">
        <v>4.3099999999999996</v>
      </c>
      <c r="E9" s="14">
        <f t="shared" si="0"/>
        <v>4.0900000000000603E-2</v>
      </c>
    </row>
    <row r="10" spans="1:5" ht="15.75" customHeight="1">
      <c r="B10" s="1" t="s">
        <v>488</v>
      </c>
      <c r="C10" s="14">
        <v>3.9464000000000001</v>
      </c>
      <c r="D10" s="1">
        <v>4</v>
      </c>
      <c r="E10" s="14">
        <f t="shared" si="0"/>
        <v>-5.359999999999987E-2</v>
      </c>
    </row>
    <row r="11" spans="1:5" ht="15.75" customHeight="1">
      <c r="A11" s="1" t="s">
        <v>489</v>
      </c>
      <c r="B11" s="1" t="s">
        <v>480</v>
      </c>
      <c r="C11" s="14">
        <v>6.7396000000000003</v>
      </c>
      <c r="D11" s="1">
        <v>6.6</v>
      </c>
      <c r="E11" s="14">
        <f t="shared" si="0"/>
        <v>0.13960000000000061</v>
      </c>
    </row>
    <row r="12" spans="1:5" ht="15.75" customHeight="1">
      <c r="B12" s="1" t="s">
        <v>490</v>
      </c>
      <c r="C12" s="14">
        <v>6.8406000000000002</v>
      </c>
      <c r="D12" s="1">
        <v>6.7</v>
      </c>
      <c r="E12" s="14">
        <f t="shared" si="0"/>
        <v>0.14060000000000006</v>
      </c>
    </row>
    <row r="13" spans="1:5" ht="15.75" customHeight="1">
      <c r="B13" s="1" t="s">
        <v>491</v>
      </c>
      <c r="C13" s="14">
        <v>4.2641999999999998</v>
      </c>
      <c r="D13" s="1">
        <v>4.38</v>
      </c>
      <c r="E13" s="14">
        <f t="shared" si="0"/>
        <v>-0.11580000000000013</v>
      </c>
    </row>
    <row r="14" spans="1:5" ht="15.75" customHeight="1">
      <c r="B14" s="1" t="s">
        <v>483</v>
      </c>
      <c r="C14" s="14">
        <v>6.4360999999999997</v>
      </c>
      <c r="D14" s="1">
        <v>6.45</v>
      </c>
      <c r="E14" s="14">
        <f t="shared" si="0"/>
        <v>-1.3900000000000468E-2</v>
      </c>
    </row>
    <row r="15" spans="1:5" ht="15.75" customHeight="1">
      <c r="A15" s="1" t="s">
        <v>492</v>
      </c>
      <c r="B15" s="1" t="s">
        <v>481</v>
      </c>
      <c r="C15" s="14">
        <v>3.1587000000000001</v>
      </c>
      <c r="D15" s="1">
        <v>3.14</v>
      </c>
      <c r="E15" s="14">
        <f t="shared" si="0"/>
        <v>1.8699999999999939E-2</v>
      </c>
    </row>
    <row r="16" spans="1:5" ht="15.75" customHeight="1">
      <c r="B16" s="1" t="s">
        <v>480</v>
      </c>
      <c r="C16" s="14">
        <v>5.5228000000000002</v>
      </c>
      <c r="D16" s="1">
        <v>5.54</v>
      </c>
      <c r="E16" s="14">
        <f t="shared" si="0"/>
        <v>-1.7199999999999882E-2</v>
      </c>
    </row>
    <row r="17" spans="1:5" ht="15.75" customHeight="1">
      <c r="B17" s="1" t="s">
        <v>482</v>
      </c>
      <c r="C17" s="14">
        <v>5.9146999999999998</v>
      </c>
      <c r="D17" s="1">
        <v>5.9</v>
      </c>
      <c r="E17" s="14">
        <f t="shared" si="0"/>
        <v>1.4699999999999491E-2</v>
      </c>
    </row>
    <row r="18" spans="1:5" ht="15.75" customHeight="1">
      <c r="B18" s="1" t="s">
        <v>484</v>
      </c>
      <c r="C18" s="14">
        <v>2.8647</v>
      </c>
      <c r="D18" s="1">
        <v>2.8</v>
      </c>
      <c r="E18" s="14">
        <f t="shared" si="0"/>
        <v>6.4700000000000202E-2</v>
      </c>
    </row>
    <row r="19" spans="1:5" ht="15.75" customHeight="1">
      <c r="B19" s="1" t="s">
        <v>485</v>
      </c>
      <c r="C19" s="14">
        <v>3.9001000000000001</v>
      </c>
      <c r="D19" s="1">
        <v>4.05</v>
      </c>
      <c r="E19" s="14">
        <f t="shared" si="0"/>
        <v>-0.1498999999999997</v>
      </c>
    </row>
    <row r="20" spans="1:5" ht="15.75" customHeight="1">
      <c r="B20" s="1" t="s">
        <v>483</v>
      </c>
      <c r="C20" s="14">
        <v>5.3666999999999998</v>
      </c>
      <c r="D20" s="1">
        <v>5.35</v>
      </c>
      <c r="E20" s="14">
        <f t="shared" si="0"/>
        <v>1.6700000000000159E-2</v>
      </c>
    </row>
    <row r="21" spans="1:5" ht="15.75" customHeight="1">
      <c r="B21" s="1" t="s">
        <v>485</v>
      </c>
      <c r="C21" s="14">
        <v>6.8022999999999998</v>
      </c>
      <c r="D21" s="1">
        <v>6.82</v>
      </c>
      <c r="E21" s="14">
        <f t="shared" si="0"/>
        <v>-1.7700000000000493E-2</v>
      </c>
    </row>
    <row r="22" spans="1:5" ht="15.75" customHeight="1">
      <c r="A22" s="1" t="s">
        <v>36</v>
      </c>
      <c r="B22" s="1" t="s">
        <v>493</v>
      </c>
      <c r="C22" s="14">
        <v>7.8752000000000004</v>
      </c>
      <c r="D22" s="1">
        <v>7.84</v>
      </c>
      <c r="E22" s="14">
        <f t="shared" si="0"/>
        <v>3.5200000000000564E-2</v>
      </c>
    </row>
    <row r="23" spans="1:5" ht="15.75" customHeight="1">
      <c r="A23" s="1" t="s">
        <v>494</v>
      </c>
      <c r="B23" s="1" t="s">
        <v>487</v>
      </c>
      <c r="C23" s="14">
        <v>5.7023000000000001</v>
      </c>
      <c r="D23" s="1">
        <v>5.7</v>
      </c>
      <c r="E23" s="14">
        <f t="shared" si="0"/>
        <v>2.2999999999999687E-3</v>
      </c>
    </row>
    <row r="24" spans="1:5" ht="15.75" customHeight="1">
      <c r="B24" s="1" t="s">
        <v>495</v>
      </c>
      <c r="C24" s="14">
        <v>7.5739999999999998</v>
      </c>
      <c r="D24" s="1">
        <v>7.63</v>
      </c>
      <c r="E24" s="14">
        <f t="shared" si="0"/>
        <v>-5.600000000000005E-2</v>
      </c>
    </row>
    <row r="25" spans="1:5" ht="15.75" customHeight="1">
      <c r="B25" s="1" t="s">
        <v>488</v>
      </c>
      <c r="C25" s="14">
        <v>5.3723999999999998</v>
      </c>
      <c r="D25" s="1">
        <v>5.4</v>
      </c>
      <c r="E25" s="14">
        <f t="shared" si="0"/>
        <v>-2.7600000000000513E-2</v>
      </c>
    </row>
    <row r="26" spans="1:5" ht="15.75" customHeight="1">
      <c r="B26" s="1" t="s">
        <v>496</v>
      </c>
      <c r="C26" s="14">
        <v>5.7419000000000002</v>
      </c>
      <c r="D26" s="1">
        <v>5.7</v>
      </c>
      <c r="E26" s="14">
        <f t="shared" si="0"/>
        <v>4.1900000000000048E-2</v>
      </c>
    </row>
    <row r="27" spans="1:5" ht="15.75" customHeight="1">
      <c r="A27" s="1" t="s">
        <v>497</v>
      </c>
      <c r="B27" s="1" t="s">
        <v>481</v>
      </c>
      <c r="C27" s="14">
        <v>3.9390000000000001</v>
      </c>
      <c r="D27" s="1">
        <v>3.86</v>
      </c>
      <c r="E27" s="14">
        <f t="shared" si="0"/>
        <v>7.9000000000000181E-2</v>
      </c>
    </row>
    <row r="28" spans="1:5" ht="15.75" customHeight="1">
      <c r="B28" s="1" t="s">
        <v>480</v>
      </c>
      <c r="C28" s="14">
        <v>6.0515999999999996</v>
      </c>
      <c r="D28" s="1">
        <v>6.01</v>
      </c>
      <c r="E28" s="14">
        <f t="shared" si="0"/>
        <v>4.1599999999999859E-2</v>
      </c>
    </row>
    <row r="29" spans="1:5" ht="15.75" customHeight="1">
      <c r="B29" s="1" t="s">
        <v>481</v>
      </c>
      <c r="C29" s="14">
        <v>7.2586000000000004</v>
      </c>
      <c r="D29" s="1">
        <v>7.18</v>
      </c>
      <c r="E29" s="14">
        <f t="shared" si="0"/>
        <v>7.8600000000000669E-2</v>
      </c>
    </row>
    <row r="30" spans="1:5" ht="15.75" customHeight="1">
      <c r="B30" s="1" t="s">
        <v>484</v>
      </c>
      <c r="C30" s="14">
        <v>3.8048000000000002</v>
      </c>
      <c r="D30" s="1">
        <v>3.77</v>
      </c>
      <c r="E30" s="14">
        <f t="shared" si="0"/>
        <v>3.4800000000000164E-2</v>
      </c>
    </row>
    <row r="31" spans="1:5" ht="15.75" customHeight="1">
      <c r="B31" s="1" t="s">
        <v>485</v>
      </c>
      <c r="C31" s="14">
        <v>5.5214999999999996</v>
      </c>
      <c r="D31" s="1">
        <v>5.61</v>
      </c>
      <c r="E31" s="14">
        <f t="shared" si="0"/>
        <v>-8.8500000000000689E-2</v>
      </c>
    </row>
    <row r="32" spans="1:5" ht="15.75" customHeight="1">
      <c r="B32" s="1" t="s">
        <v>483</v>
      </c>
      <c r="C32" s="14">
        <v>5.8464999999999998</v>
      </c>
      <c r="D32" s="1">
        <v>5.79</v>
      </c>
      <c r="E32" s="14">
        <f t="shared" si="0"/>
        <v>5.6499999999999773E-2</v>
      </c>
    </row>
    <row r="33" spans="1:5" ht="15.75" customHeight="1">
      <c r="B33" s="1" t="s">
        <v>484</v>
      </c>
      <c r="C33" s="14">
        <v>7.2194000000000003</v>
      </c>
      <c r="D33" s="1">
        <v>7.12</v>
      </c>
      <c r="E33" s="14">
        <f t="shared" si="0"/>
        <v>9.9400000000000155E-2</v>
      </c>
    </row>
    <row r="34" spans="1:5" ht="15.75" customHeight="1">
      <c r="A34" s="1" t="s">
        <v>498</v>
      </c>
      <c r="B34" s="1" t="s">
        <v>487</v>
      </c>
      <c r="C34" s="14">
        <v>1.9524999999999999</v>
      </c>
      <c r="D34" s="1">
        <v>2</v>
      </c>
      <c r="E34" s="14">
        <f t="shared" si="0"/>
        <v>-4.7500000000000098E-2</v>
      </c>
    </row>
    <row r="35" spans="1:5" ht="15.75" customHeight="1">
      <c r="B35" s="1" t="s">
        <v>495</v>
      </c>
      <c r="C35" s="14">
        <v>6.4279999999999999</v>
      </c>
      <c r="D35" s="1">
        <v>6.4</v>
      </c>
      <c r="E35" s="14">
        <f t="shared" si="0"/>
        <v>2.7999999999999581E-2</v>
      </c>
    </row>
    <row r="36" spans="1:5" ht="15.75" customHeight="1">
      <c r="B36" s="1" t="s">
        <v>488</v>
      </c>
      <c r="C36" s="14">
        <v>1.0955999999999999</v>
      </c>
      <c r="D36" s="1">
        <v>1.1599999999999999</v>
      </c>
      <c r="E36" s="14">
        <f t="shared" si="0"/>
        <v>-6.4400000000000013E-2</v>
      </c>
    </row>
    <row r="37" spans="1:5" ht="15.75" customHeight="1">
      <c r="B37" s="1" t="s">
        <v>496</v>
      </c>
      <c r="C37" s="14">
        <v>5.3907999999999996</v>
      </c>
      <c r="D37" s="1">
        <v>5.6</v>
      </c>
      <c r="E37" s="14">
        <f t="shared" si="0"/>
        <v>-0.20920000000000005</v>
      </c>
    </row>
    <row r="38" spans="1:5" ht="15.75" customHeight="1">
      <c r="A38" s="1" t="s">
        <v>499</v>
      </c>
      <c r="B38" s="1" t="s">
        <v>490</v>
      </c>
      <c r="C38" s="14">
        <v>7.2728000000000002</v>
      </c>
      <c r="D38" s="1">
        <v>7.1</v>
      </c>
      <c r="E38" s="14">
        <f t="shared" si="0"/>
        <v>0.17280000000000051</v>
      </c>
    </row>
    <row r="39" spans="1:5" ht="15.75" customHeight="1">
      <c r="B39" s="1" t="s">
        <v>491</v>
      </c>
      <c r="C39" s="14">
        <v>5.4219999999999997</v>
      </c>
      <c r="D39" s="1">
        <v>5.52</v>
      </c>
      <c r="E39" s="14">
        <f t="shared" si="0"/>
        <v>-9.7999999999999865E-2</v>
      </c>
    </row>
    <row r="40" spans="1:5" ht="15.75" customHeight="1">
      <c r="A40" s="1" t="s">
        <v>500</v>
      </c>
      <c r="B40" s="1" t="s">
        <v>481</v>
      </c>
      <c r="C40" s="14">
        <v>4.0077999999999996</v>
      </c>
      <c r="D40" s="1">
        <v>3.98</v>
      </c>
      <c r="E40" s="14">
        <f t="shared" si="0"/>
        <v>2.7799999999999603E-2</v>
      </c>
    </row>
    <row r="41" spans="1:5" ht="15.75" customHeight="1">
      <c r="B41" s="1" t="s">
        <v>490</v>
      </c>
      <c r="C41" s="14">
        <v>7.2622999999999998</v>
      </c>
      <c r="D41" s="1">
        <v>7.23</v>
      </c>
      <c r="E41" s="14">
        <f t="shared" si="0"/>
        <v>3.2299999999999329E-2</v>
      </c>
    </row>
    <row r="42" spans="1:5" ht="15.75" customHeight="1">
      <c r="B42" s="1" t="s">
        <v>490</v>
      </c>
      <c r="C42" s="14">
        <v>8.1471999999999998</v>
      </c>
      <c r="D42" s="1">
        <v>8.1300000000000008</v>
      </c>
      <c r="E42" s="14">
        <f t="shared" si="0"/>
        <v>1.7199999999998994E-2</v>
      </c>
    </row>
    <row r="43" spans="1:5" ht="15.75" customHeight="1">
      <c r="B43" s="1" t="s">
        <v>482</v>
      </c>
      <c r="C43" s="14">
        <v>8.2367000000000008</v>
      </c>
      <c r="D43" s="1">
        <v>8.23</v>
      </c>
      <c r="E43" s="14">
        <f t="shared" si="0"/>
        <v>6.7000000000003723E-3</v>
      </c>
    </row>
    <row r="44" spans="1:5" ht="15.75" customHeight="1">
      <c r="B44" s="1" t="s">
        <v>481</v>
      </c>
      <c r="C44" s="14">
        <v>8.6813000000000002</v>
      </c>
      <c r="D44" s="1">
        <v>8.67</v>
      </c>
      <c r="E44" s="14">
        <f t="shared" si="0"/>
        <v>1.130000000000031E-2</v>
      </c>
    </row>
    <row r="45" spans="1:5" ht="15.75" customHeight="1">
      <c r="B45" s="1" t="s">
        <v>480</v>
      </c>
      <c r="C45" s="14">
        <v>9.2855000000000008</v>
      </c>
      <c r="D45" s="1">
        <v>9.2200000000000006</v>
      </c>
      <c r="E45" s="14">
        <f t="shared" si="0"/>
        <v>6.5500000000000114E-2</v>
      </c>
    </row>
    <row r="46" spans="1:5" ht="15.75" customHeight="1">
      <c r="B46" s="1" t="s">
        <v>482</v>
      </c>
      <c r="C46" s="14">
        <v>9.6669999999999998</v>
      </c>
      <c r="D46" s="1">
        <v>9.43</v>
      </c>
      <c r="E46" s="14">
        <f t="shared" si="0"/>
        <v>0.2370000000000001</v>
      </c>
    </row>
    <row r="47" spans="1:5" ht="15.75" customHeight="1">
      <c r="B47" s="1" t="s">
        <v>484</v>
      </c>
      <c r="C47" s="14">
        <v>3.5680000000000001</v>
      </c>
      <c r="D47" s="1">
        <v>3.58</v>
      </c>
      <c r="E47" s="14">
        <f t="shared" si="0"/>
        <v>-1.2000000000000011E-2</v>
      </c>
    </row>
    <row r="48" spans="1:5" ht="15.75" customHeight="1">
      <c r="B48" s="1" t="s">
        <v>485</v>
      </c>
      <c r="C48" s="14">
        <v>5.9397000000000002</v>
      </c>
      <c r="D48" s="1">
        <v>6.06</v>
      </c>
      <c r="E48" s="14">
        <f t="shared" si="0"/>
        <v>-0.12029999999999941</v>
      </c>
    </row>
    <row r="49" spans="1:5" ht="15.75" customHeight="1">
      <c r="B49" s="1" t="s">
        <v>491</v>
      </c>
      <c r="C49" s="14">
        <v>7.1059999999999999</v>
      </c>
      <c r="D49" s="1">
        <v>7.06</v>
      </c>
      <c r="E49" s="14">
        <f t="shared" si="0"/>
        <v>4.6000000000000263E-2</v>
      </c>
    </row>
    <row r="50" spans="1:5" ht="15.75" customHeight="1">
      <c r="B50" s="1" t="s">
        <v>491</v>
      </c>
      <c r="C50" s="14">
        <v>7.9622000000000002</v>
      </c>
      <c r="D50" s="1">
        <v>7.94</v>
      </c>
      <c r="E50" s="14">
        <f t="shared" si="0"/>
        <v>2.2199999999999775E-2</v>
      </c>
    </row>
    <row r="51" spans="1:5" ht="15.75" customHeight="1">
      <c r="B51" s="1" t="s">
        <v>485</v>
      </c>
      <c r="C51" s="14">
        <v>8.1127000000000002</v>
      </c>
      <c r="D51" s="1">
        <v>8.1</v>
      </c>
      <c r="E51" s="14">
        <f t="shared" si="0"/>
        <v>1.27000000000006E-2</v>
      </c>
    </row>
    <row r="52" spans="1:5" ht="15.75" customHeight="1">
      <c r="B52" s="1" t="s">
        <v>483</v>
      </c>
      <c r="C52" s="14">
        <v>8.4435000000000002</v>
      </c>
      <c r="D52" s="1">
        <v>8.42</v>
      </c>
      <c r="E52" s="14">
        <f t="shared" si="0"/>
        <v>2.3500000000000298E-2</v>
      </c>
    </row>
    <row r="53" spans="1:5" ht="15.75" customHeight="1">
      <c r="A53" s="1" t="s">
        <v>501</v>
      </c>
      <c r="B53" s="1" t="s">
        <v>487</v>
      </c>
      <c r="C53" s="14">
        <v>5.2541000000000002</v>
      </c>
      <c r="D53" s="1">
        <v>5.23</v>
      </c>
      <c r="E53" s="14">
        <f t="shared" si="0"/>
        <v>2.4099999999999788E-2</v>
      </c>
    </row>
    <row r="54" spans="1:5" ht="15.75" customHeight="1">
      <c r="B54" s="1" t="s">
        <v>488</v>
      </c>
      <c r="C54" s="14">
        <v>4.6128</v>
      </c>
      <c r="D54" s="1">
        <v>4.6500000000000004</v>
      </c>
      <c r="E54" s="14">
        <f t="shared" si="0"/>
        <v>-3.7200000000000344E-2</v>
      </c>
    </row>
    <row r="55" spans="1:5" ht="15.75" customHeight="1">
      <c r="A55" s="1" t="s">
        <v>502</v>
      </c>
      <c r="B55" s="1" t="s">
        <v>481</v>
      </c>
      <c r="C55" s="14">
        <v>2.2576000000000001</v>
      </c>
      <c r="D55" s="1">
        <v>2.2200000000000002</v>
      </c>
      <c r="E55" s="14">
        <f t="shared" si="0"/>
        <v>3.7599999999999856E-2</v>
      </c>
    </row>
    <row r="56" spans="1:5" ht="15.75" customHeight="1">
      <c r="B56" s="1" t="s">
        <v>490</v>
      </c>
      <c r="C56" s="14">
        <v>5.9371999999999998</v>
      </c>
      <c r="D56" s="1">
        <v>5.96</v>
      </c>
      <c r="E56" s="14">
        <f t="shared" si="0"/>
        <v>-2.2800000000000153E-2</v>
      </c>
    </row>
    <row r="57" spans="1:5" ht="15.75" customHeight="1">
      <c r="B57" s="1" t="s">
        <v>482</v>
      </c>
      <c r="C57" s="14">
        <v>6.6273999999999997</v>
      </c>
      <c r="D57" s="1">
        <v>6.4</v>
      </c>
      <c r="E57" s="14">
        <f t="shared" si="0"/>
        <v>0.22739999999999938</v>
      </c>
    </row>
    <row r="58" spans="1:5" ht="15.75" customHeight="1">
      <c r="B58" s="1" t="s">
        <v>484</v>
      </c>
      <c r="C58" s="14">
        <v>1.9113</v>
      </c>
      <c r="D58" s="1">
        <v>1.94</v>
      </c>
      <c r="E58" s="14">
        <f t="shared" si="0"/>
        <v>-2.8699999999999948E-2</v>
      </c>
    </row>
    <row r="59" spans="1:5" ht="15.75" customHeight="1">
      <c r="B59" s="1" t="s">
        <v>485</v>
      </c>
      <c r="C59" s="14">
        <v>3.2393999999999998</v>
      </c>
      <c r="D59" s="1">
        <v>3.43</v>
      </c>
      <c r="E59" s="14">
        <f t="shared" si="0"/>
        <v>-0.19060000000000032</v>
      </c>
    </row>
    <row r="60" spans="1:5" ht="15.75" customHeight="1">
      <c r="B60" s="1" t="s">
        <v>491</v>
      </c>
      <c r="C60" s="14">
        <v>5.7305999999999999</v>
      </c>
      <c r="D60" s="1">
        <v>5.6</v>
      </c>
      <c r="E60" s="14">
        <f t="shared" si="0"/>
        <v>0.13060000000000027</v>
      </c>
    </row>
    <row r="61" spans="1:5" ht="15.75" customHeight="1">
      <c r="A61" s="1" t="s">
        <v>503</v>
      </c>
      <c r="B61" s="1" t="s">
        <v>504</v>
      </c>
      <c r="C61" s="14">
        <v>7.1337000000000002</v>
      </c>
      <c r="D61" s="1">
        <v>7.1</v>
      </c>
      <c r="E61" s="14">
        <f t="shared" si="0"/>
        <v>3.3700000000000507E-2</v>
      </c>
    </row>
    <row r="62" spans="1:5" ht="15.75" customHeight="1">
      <c r="B62" s="1" t="s">
        <v>505</v>
      </c>
      <c r="C62" s="14">
        <v>7.4645999999999999</v>
      </c>
      <c r="D62" s="1">
        <v>7.44</v>
      </c>
      <c r="E62" s="14">
        <f t="shared" si="0"/>
        <v>2.4599999999999511E-2</v>
      </c>
    </row>
    <row r="63" spans="1:5" ht="15.75" customHeight="1">
      <c r="B63" s="1" t="s">
        <v>506</v>
      </c>
      <c r="C63" s="14">
        <v>5.4314999999999998</v>
      </c>
      <c r="D63" s="1">
        <v>5.53</v>
      </c>
      <c r="E63" s="14">
        <f t="shared" si="0"/>
        <v>-9.8500000000000476E-2</v>
      </c>
    </row>
    <row r="64" spans="1:5" ht="15.75" customHeight="1">
      <c r="B64" s="1" t="s">
        <v>507</v>
      </c>
      <c r="C64" s="14">
        <v>6.3940999999999999</v>
      </c>
      <c r="D64" s="1">
        <v>6.4</v>
      </c>
      <c r="E64" s="14">
        <f t="shared" si="0"/>
        <v>-5.9000000000004604E-3</v>
      </c>
    </row>
    <row r="65" spans="1:6" ht="15.75" customHeight="1">
      <c r="B65" s="1" t="s">
        <v>508</v>
      </c>
      <c r="C65" s="14">
        <v>7.1079999999999997</v>
      </c>
      <c r="D65" s="1">
        <v>7.08</v>
      </c>
      <c r="E65" s="14">
        <f t="shared" si="0"/>
        <v>2.7999999999999581E-2</v>
      </c>
    </row>
    <row r="66" spans="1:6" ht="15.75" customHeight="1">
      <c r="A66" s="1" t="s">
        <v>509</v>
      </c>
      <c r="B66" s="1" t="s">
        <v>510</v>
      </c>
      <c r="C66" s="14">
        <v>7.3944999999999999</v>
      </c>
      <c r="D66" s="1">
        <v>7.39</v>
      </c>
      <c r="E66" s="14">
        <f t="shared" si="0"/>
        <v>4.5000000000001705E-3</v>
      </c>
    </row>
    <row r="67" spans="1:6" ht="15.75" customHeight="1">
      <c r="B67" s="1" t="s">
        <v>511</v>
      </c>
      <c r="C67" s="14">
        <v>8.0137999999999998</v>
      </c>
      <c r="D67" s="1">
        <v>7.93</v>
      </c>
      <c r="E67" s="14">
        <f t="shared" si="0"/>
        <v>8.3800000000000097E-2</v>
      </c>
    </row>
    <row r="68" spans="1:6" ht="15.75" customHeight="1">
      <c r="B68" s="1" t="s">
        <v>512</v>
      </c>
      <c r="C68" s="14">
        <v>8.0604999999999993</v>
      </c>
      <c r="D68" s="1">
        <v>8.08</v>
      </c>
      <c r="E68" s="14">
        <f t="shared" si="0"/>
        <v>-1.9500000000000739E-2</v>
      </c>
    </row>
    <row r="69" spans="1:6" ht="15.75" customHeight="1">
      <c r="B69" s="1" t="s">
        <v>513</v>
      </c>
      <c r="C69" s="14">
        <v>4.4324000000000003</v>
      </c>
      <c r="D69" s="1">
        <v>4.54</v>
      </c>
      <c r="E69" s="14">
        <f t="shared" si="0"/>
        <v>-0.1075999999999997</v>
      </c>
    </row>
    <row r="70" spans="1:6" ht="15.75" customHeight="1">
      <c r="A70" s="1" t="s">
        <v>514</v>
      </c>
      <c r="B70" s="1" t="s">
        <v>515</v>
      </c>
      <c r="C70" s="14">
        <v>9.3931000000000004</v>
      </c>
      <c r="D70" s="1">
        <v>9.34</v>
      </c>
      <c r="E70" s="14">
        <f t="shared" si="0"/>
        <v>5.3100000000000591E-2</v>
      </c>
    </row>
    <row r="71" spans="1:6" ht="15.75" customHeight="1">
      <c r="B71" s="1" t="s">
        <v>516</v>
      </c>
      <c r="C71" s="14">
        <v>9.9732000000000003</v>
      </c>
      <c r="D71" s="1">
        <v>9.8800000000000008</v>
      </c>
      <c r="E71" s="14">
        <f t="shared" si="0"/>
        <v>9.3199999999999505E-2</v>
      </c>
    </row>
    <row r="72" spans="1:6" ht="15.75" customHeight="1">
      <c r="B72" s="1" t="s">
        <v>505</v>
      </c>
      <c r="C72" s="14">
        <v>10.4156</v>
      </c>
      <c r="D72" s="1">
        <v>10.29</v>
      </c>
      <c r="E72" s="14">
        <f t="shared" si="0"/>
        <v>0.12560000000000038</v>
      </c>
    </row>
    <row r="73" spans="1:6" ht="15.75" customHeight="1">
      <c r="B73" s="1" t="s">
        <v>517</v>
      </c>
      <c r="C73" s="14">
        <v>13.1347</v>
      </c>
      <c r="D73" s="1">
        <v>12.98</v>
      </c>
      <c r="E73" s="14">
        <f t="shared" si="0"/>
        <v>0.15470000000000006</v>
      </c>
    </row>
    <row r="74" spans="1:6" ht="15.75" customHeight="1">
      <c r="B74" s="1" t="s">
        <v>518</v>
      </c>
      <c r="C74" s="14">
        <v>13.4063</v>
      </c>
      <c r="D74" s="1">
        <v>13.03</v>
      </c>
      <c r="E74" s="14">
        <f t="shared" si="0"/>
        <v>0.37630000000000052</v>
      </c>
      <c r="F74" s="1"/>
    </row>
    <row r="75" spans="1:6" ht="15.75" customHeight="1">
      <c r="B75" s="1" t="s">
        <v>519</v>
      </c>
      <c r="C75" s="14">
        <v>13.228400000000001</v>
      </c>
      <c r="D75" s="1">
        <v>13.09</v>
      </c>
      <c r="E75" s="14">
        <f t="shared" si="0"/>
        <v>0.13840000000000074</v>
      </c>
    </row>
    <row r="76" spans="1:6" ht="15.75" customHeight="1">
      <c r="B76" s="1" t="s">
        <v>518</v>
      </c>
      <c r="C76" s="14">
        <v>13.6607</v>
      </c>
      <c r="D76" s="1">
        <v>13.46</v>
      </c>
      <c r="E76" s="14">
        <f t="shared" si="0"/>
        <v>0.20069999999999943</v>
      </c>
    </row>
    <row r="77" spans="1:6" ht="15.75" customHeight="1">
      <c r="B77" s="1" t="s">
        <v>506</v>
      </c>
      <c r="C77" s="14">
        <v>7.6295000000000002</v>
      </c>
      <c r="D77" s="1">
        <v>7.7</v>
      </c>
      <c r="E77" s="14">
        <f t="shared" si="0"/>
        <v>-7.0500000000000007E-2</v>
      </c>
    </row>
    <row r="78" spans="1:6" ht="15.75" customHeight="1">
      <c r="B78" s="1" t="s">
        <v>520</v>
      </c>
      <c r="C78" s="14">
        <v>8.0822000000000003</v>
      </c>
      <c r="D78" s="1">
        <v>8.01</v>
      </c>
      <c r="E78" s="14">
        <f t="shared" si="0"/>
        <v>7.2200000000000486E-2</v>
      </c>
    </row>
    <row r="79" spans="1:6" ht="15.75" customHeight="1">
      <c r="B79" s="1" t="s">
        <v>507</v>
      </c>
      <c r="C79" s="14">
        <v>8.8778000000000006</v>
      </c>
      <c r="D79" s="1">
        <v>8.8699999999999992</v>
      </c>
      <c r="E79" s="14">
        <f t="shared" si="0"/>
        <v>7.8000000000013614E-3</v>
      </c>
    </row>
    <row r="80" spans="1:6" ht="15.75" customHeight="1">
      <c r="B80" s="1" t="s">
        <v>508</v>
      </c>
      <c r="C80" s="14">
        <v>9.8047000000000004</v>
      </c>
      <c r="D80" s="1">
        <v>9.66</v>
      </c>
      <c r="E80" s="14">
        <f t="shared" si="0"/>
        <v>0.14470000000000027</v>
      </c>
    </row>
    <row r="81" spans="1:5" ht="15.75" customHeight="1">
      <c r="A81" s="1" t="s">
        <v>521</v>
      </c>
      <c r="B81" s="1" t="s">
        <v>493</v>
      </c>
      <c r="C81" s="14">
        <v>8.5515000000000008</v>
      </c>
      <c r="D81" s="1">
        <v>8.49</v>
      </c>
      <c r="E81" s="14">
        <f t="shared" si="0"/>
        <v>6.1500000000000554E-2</v>
      </c>
    </row>
    <row r="82" spans="1:5" ht="15.75" customHeight="1">
      <c r="B82" s="1" t="s">
        <v>522</v>
      </c>
      <c r="C82" s="14">
        <v>9.9816000000000003</v>
      </c>
      <c r="D82" s="1">
        <v>9.92</v>
      </c>
      <c r="E82" s="14">
        <f t="shared" si="0"/>
        <v>6.1600000000000321E-2</v>
      </c>
    </row>
    <row r="83" spans="1:5" ht="15.75" customHeight="1">
      <c r="B83" s="1" t="s">
        <v>523</v>
      </c>
      <c r="C83" s="14">
        <v>10.108700000000001</v>
      </c>
      <c r="D83" s="1">
        <v>10.06</v>
      </c>
      <c r="E83" s="14">
        <f t="shared" si="0"/>
        <v>4.8700000000000188E-2</v>
      </c>
    </row>
    <row r="84" spans="1:5" ht="15.75" customHeight="1">
      <c r="B84" s="1" t="s">
        <v>524</v>
      </c>
      <c r="C84" s="14">
        <v>11.1957</v>
      </c>
      <c r="D84" s="1">
        <v>10.95</v>
      </c>
      <c r="E84" s="14">
        <f t="shared" si="0"/>
        <v>0.24570000000000114</v>
      </c>
    </row>
    <row r="85" spans="1:5" ht="15.75" customHeight="1">
      <c r="B85" s="1" t="s">
        <v>525</v>
      </c>
      <c r="C85" s="14">
        <v>11.727399999999999</v>
      </c>
      <c r="D85" s="1">
        <v>11.52</v>
      </c>
      <c r="E85" s="14">
        <f t="shared" si="0"/>
        <v>0.20739999999999981</v>
      </c>
    </row>
    <row r="86" spans="1:5" ht="15.75" customHeight="1">
      <c r="B86" s="1" t="s">
        <v>526</v>
      </c>
      <c r="C86" s="14">
        <v>11.9354</v>
      </c>
      <c r="D86" s="1">
        <v>11.72</v>
      </c>
      <c r="E86" s="14">
        <f t="shared" si="0"/>
        <v>0.21539999999999893</v>
      </c>
    </row>
    <row r="87" spans="1:5" ht="15.75" customHeight="1">
      <c r="B87" s="1" t="s">
        <v>527</v>
      </c>
      <c r="C87" s="14">
        <v>6.3310000000000004</v>
      </c>
      <c r="D87" s="1">
        <v>6.28</v>
      </c>
      <c r="E87" s="14">
        <f t="shared" si="0"/>
        <v>5.1000000000000156E-2</v>
      </c>
    </row>
    <row r="88" spans="1:5" ht="15.75" customHeight="1">
      <c r="B88" s="1" t="s">
        <v>528</v>
      </c>
      <c r="C88" s="14">
        <v>8.3285999999999998</v>
      </c>
      <c r="D88" s="1">
        <v>8.4499999999999993</v>
      </c>
      <c r="E88" s="14">
        <f t="shared" si="0"/>
        <v>-0.12139999999999951</v>
      </c>
    </row>
    <row r="89" spans="1:5" ht="15.75" customHeight="1">
      <c r="B89" s="1" t="s">
        <v>529</v>
      </c>
      <c r="C89" s="14">
        <v>9.2232000000000003</v>
      </c>
      <c r="D89" s="1">
        <v>9.27</v>
      </c>
      <c r="E89" s="14">
        <f t="shared" si="0"/>
        <v>-4.6799999999999287E-2</v>
      </c>
    </row>
    <row r="90" spans="1:5" ht="15.75" customHeight="1">
      <c r="B90" s="1" t="s">
        <v>530</v>
      </c>
      <c r="C90" s="14">
        <v>9.7995999999999999</v>
      </c>
      <c r="D90" s="1">
        <v>9.8000000000000007</v>
      </c>
      <c r="E90" s="14">
        <f t="shared" si="0"/>
        <v>-4.0000000000084412E-4</v>
      </c>
    </row>
    <row r="91" spans="1:5" ht="15.75" customHeight="1">
      <c r="B91" s="1" t="s">
        <v>531</v>
      </c>
      <c r="C91" s="14">
        <v>10.6853</v>
      </c>
      <c r="D91" s="1">
        <v>10.47</v>
      </c>
      <c r="E91" s="14">
        <f t="shared" si="0"/>
        <v>0.21529999999999916</v>
      </c>
    </row>
    <row r="100" spans="3:4" ht="15.75" customHeight="1">
      <c r="C100" s="1" t="s">
        <v>532</v>
      </c>
      <c r="D100" s="14">
        <f ca="1">IFERROR(__xludf.DUMMYFUNCTION("AVERAGE(FILTER((E3:E91), E3:E91&lt;&gt;0))"),0.0302584269662921)</f>
        <v>3.02584269662921E-2</v>
      </c>
    </row>
    <row r="101" spans="3:4" ht="15.75" customHeight="1">
      <c r="C101" s="1" t="s">
        <v>6</v>
      </c>
      <c r="D101" s="14">
        <f ca="1">IFERROR(__xludf.DUMMYFUNCTION("AVERAGE(FILTER(ABS(E3:E91), E3:E91&lt;&gt;0))"),0.0748157303370787)</f>
        <v>7.4815730337078695E-2</v>
      </c>
    </row>
    <row r="102" spans="3:4" ht="15.75" customHeight="1">
      <c r="C102" s="1" t="s">
        <v>7</v>
      </c>
      <c r="D102" s="14">
        <f ca="1">IFERROR(__xludf.DUMMYFUNCTION("SQRT(AVERAGE(FILTER(E3:E91^2, E3:E91&lt;&gt;0)))"),0.103531919845844)</f>
        <v>0.10353191984584401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4031-6278-4DA8-BC6F-4C87EB7A3C32}">
  <sheetPr>
    <outlinePr summaryBelow="0" summaryRight="0"/>
  </sheetPr>
  <dimension ref="A1:F102"/>
  <sheetViews>
    <sheetView workbookViewId="0"/>
  </sheetViews>
  <sheetFormatPr defaultColWidth="12.6640625" defaultRowHeight="15.75" customHeight="1"/>
  <cols>
    <col min="1" max="1" width="14" style="2" customWidth="1"/>
    <col min="2" max="16384" width="12.6640625" style="2"/>
  </cols>
  <sheetData>
    <row r="1" spans="1:5" ht="15.75" customHeight="1">
      <c r="A1" s="16" t="s">
        <v>60</v>
      </c>
      <c r="C1" s="1" t="s">
        <v>478</v>
      </c>
      <c r="D1" s="1" t="s">
        <v>479</v>
      </c>
      <c r="E1" s="1" t="s">
        <v>236</v>
      </c>
    </row>
    <row r="2" spans="1:5" ht="15.75" customHeight="1">
      <c r="C2" s="1" t="s">
        <v>230</v>
      </c>
      <c r="D2" s="1" t="s">
        <v>230</v>
      </c>
      <c r="E2" s="1" t="s">
        <v>230</v>
      </c>
    </row>
    <row r="3" spans="1:5" ht="15.75" customHeight="1">
      <c r="A3" s="1" t="s">
        <v>334</v>
      </c>
      <c r="B3" s="1" t="s">
        <v>480</v>
      </c>
      <c r="C3" s="14">
        <v>7.5819999999999999</v>
      </c>
      <c r="D3" s="1">
        <v>7.62</v>
      </c>
      <c r="E3" s="14">
        <f t="shared" ref="E3:E91" si="0">C3-D3</f>
        <v>-3.8000000000000256E-2</v>
      </c>
    </row>
    <row r="4" spans="1:5" ht="15.75" customHeight="1">
      <c r="B4" s="1" t="s">
        <v>481</v>
      </c>
      <c r="C4" s="14">
        <v>9.3474000000000004</v>
      </c>
      <c r="D4" s="1">
        <v>9.41</v>
      </c>
      <c r="E4" s="14">
        <f t="shared" si="0"/>
        <v>-6.2599999999999767E-2</v>
      </c>
    </row>
    <row r="5" spans="1:5" ht="15.75" customHeight="1">
      <c r="B5" s="1" t="s">
        <v>482</v>
      </c>
      <c r="C5" s="14">
        <v>9.9382999999999999</v>
      </c>
      <c r="D5" s="1">
        <v>9.99</v>
      </c>
      <c r="E5" s="14">
        <f t="shared" si="0"/>
        <v>-5.1700000000000301E-2</v>
      </c>
    </row>
    <row r="6" spans="1:5" ht="15.75" customHeight="1">
      <c r="B6" s="1" t="s">
        <v>483</v>
      </c>
      <c r="C6" s="14">
        <v>7.1898</v>
      </c>
      <c r="D6" s="1">
        <v>7.25</v>
      </c>
      <c r="E6" s="14">
        <f t="shared" si="0"/>
        <v>-6.0200000000000031E-2</v>
      </c>
    </row>
    <row r="7" spans="1:5" ht="15.75" customHeight="1">
      <c r="B7" s="1" t="s">
        <v>484</v>
      </c>
      <c r="C7" s="14">
        <v>9.1824999999999992</v>
      </c>
      <c r="D7" s="1">
        <v>9.24</v>
      </c>
      <c r="E7" s="14">
        <f t="shared" si="0"/>
        <v>-5.7500000000000995E-2</v>
      </c>
    </row>
    <row r="8" spans="1:5" ht="15.75" customHeight="1">
      <c r="B8" s="1" t="s">
        <v>485</v>
      </c>
      <c r="C8" s="14">
        <v>9.4716000000000005</v>
      </c>
      <c r="D8" s="1">
        <v>9.5399999999999991</v>
      </c>
      <c r="E8" s="14">
        <f t="shared" si="0"/>
        <v>-6.8399999999998684E-2</v>
      </c>
    </row>
    <row r="9" spans="1:5" ht="15.75" customHeight="1">
      <c r="A9" s="1" t="s">
        <v>486</v>
      </c>
      <c r="B9" s="1" t="s">
        <v>487</v>
      </c>
      <c r="C9" s="14">
        <v>4.3383000000000003</v>
      </c>
      <c r="D9" s="1">
        <v>4.3099999999999996</v>
      </c>
      <c r="E9" s="14">
        <f t="shared" si="0"/>
        <v>2.8300000000000658E-2</v>
      </c>
    </row>
    <row r="10" spans="1:5" ht="15.75" customHeight="1">
      <c r="B10" s="1" t="s">
        <v>488</v>
      </c>
      <c r="C10" s="14">
        <v>3.9331</v>
      </c>
      <c r="D10" s="1">
        <v>4</v>
      </c>
      <c r="E10" s="14">
        <f t="shared" si="0"/>
        <v>-6.6899999999999959E-2</v>
      </c>
    </row>
    <row r="11" spans="1:5" ht="15.75" customHeight="1">
      <c r="A11" s="1" t="s">
        <v>489</v>
      </c>
      <c r="B11" s="1" t="s">
        <v>480</v>
      </c>
      <c r="C11" s="14">
        <v>6.7409999999999997</v>
      </c>
      <c r="D11" s="1">
        <v>6.6</v>
      </c>
      <c r="E11" s="14">
        <f t="shared" si="0"/>
        <v>0.14100000000000001</v>
      </c>
    </row>
    <row r="12" spans="1:5" ht="15.75" customHeight="1">
      <c r="B12" s="1" t="s">
        <v>490</v>
      </c>
      <c r="C12" s="14">
        <v>6.8372000000000002</v>
      </c>
      <c r="D12" s="1">
        <v>6.7</v>
      </c>
      <c r="E12" s="14">
        <f t="shared" si="0"/>
        <v>0.13719999999999999</v>
      </c>
    </row>
    <row r="13" spans="1:5" ht="15.75" customHeight="1">
      <c r="B13" s="1" t="s">
        <v>491</v>
      </c>
      <c r="C13" s="14">
        <v>4.2725</v>
      </c>
      <c r="D13" s="1">
        <v>4.38</v>
      </c>
      <c r="E13" s="14">
        <f t="shared" si="0"/>
        <v>-0.10749999999999993</v>
      </c>
    </row>
    <row r="14" spans="1:5" ht="15.75" customHeight="1">
      <c r="B14" s="1" t="s">
        <v>483</v>
      </c>
      <c r="C14" s="14">
        <v>6.4362000000000004</v>
      </c>
      <c r="D14" s="1">
        <v>6.45</v>
      </c>
      <c r="E14" s="14">
        <f t="shared" si="0"/>
        <v>-1.3799999999999812E-2</v>
      </c>
    </row>
    <row r="15" spans="1:5" ht="15.75" customHeight="1">
      <c r="A15" s="1" t="s">
        <v>492</v>
      </c>
      <c r="B15" s="1" t="s">
        <v>481</v>
      </c>
      <c r="C15" s="14">
        <v>3.1741000000000001</v>
      </c>
      <c r="D15" s="1">
        <v>3.14</v>
      </c>
      <c r="E15" s="14">
        <f t="shared" si="0"/>
        <v>3.4100000000000019E-2</v>
      </c>
    </row>
    <row r="16" spans="1:5" ht="15.75" customHeight="1">
      <c r="B16" s="1" t="s">
        <v>480</v>
      </c>
      <c r="C16" s="14">
        <v>5.5450999999999997</v>
      </c>
      <c r="D16" s="1">
        <v>5.54</v>
      </c>
      <c r="E16" s="14">
        <f t="shared" si="0"/>
        <v>5.0999999999996604E-3</v>
      </c>
    </row>
    <row r="17" spans="1:5" ht="15.75" customHeight="1">
      <c r="B17" s="1" t="s">
        <v>482</v>
      </c>
      <c r="C17" s="14">
        <v>5.9271000000000003</v>
      </c>
      <c r="D17" s="1">
        <v>5.9</v>
      </c>
      <c r="E17" s="14">
        <f t="shared" si="0"/>
        <v>2.7099999999999902E-2</v>
      </c>
    </row>
    <row r="18" spans="1:5" ht="15.75" customHeight="1">
      <c r="B18" s="1" t="s">
        <v>484</v>
      </c>
      <c r="C18" s="14">
        <v>2.8662999999999998</v>
      </c>
      <c r="D18" s="1">
        <v>2.8</v>
      </c>
      <c r="E18" s="14">
        <f t="shared" si="0"/>
        <v>6.6300000000000026E-2</v>
      </c>
    </row>
    <row r="19" spans="1:5" ht="15.75" customHeight="1">
      <c r="B19" s="1" t="s">
        <v>485</v>
      </c>
      <c r="C19" s="14">
        <v>3.9314</v>
      </c>
      <c r="D19" s="1">
        <v>4.05</v>
      </c>
      <c r="E19" s="14">
        <f t="shared" si="0"/>
        <v>-0.11859999999999982</v>
      </c>
    </row>
    <row r="20" spans="1:5" ht="15.75" customHeight="1">
      <c r="B20" s="1" t="s">
        <v>483</v>
      </c>
      <c r="C20" s="14">
        <v>5.3898999999999999</v>
      </c>
      <c r="D20" s="1">
        <v>5.35</v>
      </c>
      <c r="E20" s="14">
        <f t="shared" si="0"/>
        <v>3.9900000000000269E-2</v>
      </c>
    </row>
    <row r="21" spans="1:5" ht="15.75" customHeight="1">
      <c r="B21" s="1" t="s">
        <v>485</v>
      </c>
      <c r="C21" s="14">
        <v>6.84</v>
      </c>
      <c r="D21" s="1">
        <v>6.82</v>
      </c>
      <c r="E21" s="14">
        <f t="shared" si="0"/>
        <v>1.9999999999999574E-2</v>
      </c>
    </row>
    <row r="22" spans="1:5" ht="15.75" customHeight="1">
      <c r="A22" s="1" t="s">
        <v>36</v>
      </c>
      <c r="B22" s="1" t="s">
        <v>493</v>
      </c>
      <c r="C22" s="14">
        <v>7.8745000000000003</v>
      </c>
      <c r="D22" s="1">
        <v>7.84</v>
      </c>
      <c r="E22" s="14">
        <f t="shared" si="0"/>
        <v>3.4500000000000419E-2</v>
      </c>
    </row>
    <row r="23" spans="1:5" ht="15.75" customHeight="1">
      <c r="A23" s="1" t="s">
        <v>494</v>
      </c>
      <c r="B23" s="1" t="s">
        <v>487</v>
      </c>
      <c r="C23" s="14">
        <v>5.6775000000000002</v>
      </c>
      <c r="D23" s="1">
        <v>5.7</v>
      </c>
      <c r="E23" s="14">
        <f t="shared" si="0"/>
        <v>-2.2499999999999964E-2</v>
      </c>
    </row>
    <row r="24" spans="1:5" ht="15.75" customHeight="1">
      <c r="B24" s="1" t="s">
        <v>495</v>
      </c>
      <c r="C24" s="14">
        <v>7.5233999999999996</v>
      </c>
      <c r="D24" s="1">
        <v>7.63</v>
      </c>
      <c r="E24" s="14">
        <f t="shared" si="0"/>
        <v>-0.10660000000000025</v>
      </c>
    </row>
    <row r="25" spans="1:5" ht="15.75" customHeight="1">
      <c r="B25" s="1" t="s">
        <v>488</v>
      </c>
      <c r="C25" s="14">
        <v>5.3502000000000001</v>
      </c>
      <c r="D25" s="1">
        <v>5.4</v>
      </c>
      <c r="E25" s="14">
        <f t="shared" si="0"/>
        <v>-4.9800000000000288E-2</v>
      </c>
    </row>
    <row r="26" spans="1:5" ht="15.75" customHeight="1">
      <c r="B26" s="1" t="s">
        <v>496</v>
      </c>
      <c r="C26" s="14">
        <v>5.7598000000000003</v>
      </c>
      <c r="D26" s="1">
        <v>5.7</v>
      </c>
      <c r="E26" s="14">
        <f t="shared" si="0"/>
        <v>5.9800000000000075E-2</v>
      </c>
    </row>
    <row r="27" spans="1:5" ht="15.75" customHeight="1">
      <c r="A27" s="1" t="s">
        <v>497</v>
      </c>
      <c r="B27" s="1" t="s">
        <v>481</v>
      </c>
      <c r="C27" s="14">
        <v>3.9451999999999998</v>
      </c>
      <c r="D27" s="1">
        <v>3.86</v>
      </c>
      <c r="E27" s="14">
        <f t="shared" si="0"/>
        <v>8.5199999999999942E-2</v>
      </c>
    </row>
    <row r="28" spans="1:5" ht="15.75" customHeight="1">
      <c r="B28" s="1" t="s">
        <v>480</v>
      </c>
      <c r="C28" s="14">
        <v>6.0617000000000001</v>
      </c>
      <c r="D28" s="1">
        <v>6.01</v>
      </c>
      <c r="E28" s="14">
        <f t="shared" si="0"/>
        <v>5.1700000000000301E-2</v>
      </c>
    </row>
    <row r="29" spans="1:5" ht="15.75" customHeight="1">
      <c r="B29" s="1" t="s">
        <v>481</v>
      </c>
      <c r="C29" s="14">
        <v>7.2712000000000003</v>
      </c>
      <c r="D29" s="1">
        <v>7.18</v>
      </c>
      <c r="E29" s="14">
        <f t="shared" si="0"/>
        <v>9.1200000000000614E-2</v>
      </c>
    </row>
    <row r="30" spans="1:5" ht="15.75" customHeight="1">
      <c r="B30" s="1" t="s">
        <v>484</v>
      </c>
      <c r="C30" s="14">
        <v>3.8067000000000002</v>
      </c>
      <c r="D30" s="1">
        <v>3.77</v>
      </c>
      <c r="E30" s="14">
        <f t="shared" si="0"/>
        <v>3.6700000000000177E-2</v>
      </c>
    </row>
    <row r="31" spans="1:5" ht="15.75" customHeight="1">
      <c r="B31" s="1" t="s">
        <v>485</v>
      </c>
      <c r="C31" s="14">
        <v>5.5313999999999997</v>
      </c>
      <c r="D31" s="1">
        <v>5.61</v>
      </c>
      <c r="E31" s="14">
        <f t="shared" si="0"/>
        <v>-7.8600000000000669E-2</v>
      </c>
    </row>
    <row r="32" spans="1:5" ht="15.75" customHeight="1">
      <c r="B32" s="1" t="s">
        <v>483</v>
      </c>
      <c r="C32" s="14">
        <v>5.8558000000000003</v>
      </c>
      <c r="D32" s="1">
        <v>5.79</v>
      </c>
      <c r="E32" s="14">
        <f t="shared" si="0"/>
        <v>6.5800000000000303E-2</v>
      </c>
    </row>
    <row r="33" spans="1:5" ht="15.75" customHeight="1">
      <c r="B33" s="1" t="s">
        <v>484</v>
      </c>
      <c r="C33" s="14">
        <v>7.2321999999999997</v>
      </c>
      <c r="D33" s="1">
        <v>7.12</v>
      </c>
      <c r="E33" s="14">
        <f t="shared" si="0"/>
        <v>0.11219999999999963</v>
      </c>
    </row>
    <row r="34" spans="1:5" ht="15.75" customHeight="1">
      <c r="A34" s="1" t="s">
        <v>498</v>
      </c>
      <c r="B34" s="1" t="s">
        <v>487</v>
      </c>
      <c r="C34" s="14">
        <v>1.9501999999999999</v>
      </c>
      <c r="D34" s="1">
        <v>2</v>
      </c>
      <c r="E34" s="14">
        <f t="shared" si="0"/>
        <v>-4.9800000000000066E-2</v>
      </c>
    </row>
    <row r="35" spans="1:5" ht="15.75" customHeight="1">
      <c r="B35" s="1" t="s">
        <v>495</v>
      </c>
      <c r="C35" s="14">
        <v>6.4070999999999998</v>
      </c>
      <c r="D35" s="1">
        <v>6.4</v>
      </c>
      <c r="E35" s="14">
        <f t="shared" si="0"/>
        <v>7.0999999999994401E-3</v>
      </c>
    </row>
    <row r="36" spans="1:5" ht="15.75" customHeight="1">
      <c r="B36" s="1" t="s">
        <v>488</v>
      </c>
      <c r="C36" s="14">
        <v>1.0879000000000001</v>
      </c>
      <c r="D36" s="1">
        <v>1.1599999999999999</v>
      </c>
      <c r="E36" s="14">
        <f t="shared" si="0"/>
        <v>-7.2099999999999831E-2</v>
      </c>
    </row>
    <row r="37" spans="1:5" ht="15.75" customHeight="1">
      <c r="B37" s="1" t="s">
        <v>496</v>
      </c>
      <c r="C37" s="14">
        <v>5.4203999999999999</v>
      </c>
      <c r="D37" s="1">
        <v>5.6</v>
      </c>
      <c r="E37" s="14">
        <f t="shared" si="0"/>
        <v>-0.17959999999999976</v>
      </c>
    </row>
    <row r="38" spans="1:5" ht="15.75" customHeight="1">
      <c r="A38" s="1" t="s">
        <v>499</v>
      </c>
      <c r="B38" s="1" t="s">
        <v>490</v>
      </c>
      <c r="C38" s="14">
        <v>7.2153999999999998</v>
      </c>
      <c r="D38" s="1">
        <v>7.1</v>
      </c>
      <c r="E38" s="14">
        <f t="shared" si="0"/>
        <v>0.11540000000000017</v>
      </c>
    </row>
    <row r="39" spans="1:5" ht="15.75" customHeight="1">
      <c r="B39" s="1" t="s">
        <v>491</v>
      </c>
      <c r="C39" s="14">
        <v>5.4372999999999996</v>
      </c>
      <c r="D39" s="1">
        <v>5.52</v>
      </c>
      <c r="E39" s="14">
        <f t="shared" si="0"/>
        <v>-8.2699999999999996E-2</v>
      </c>
    </row>
    <row r="40" spans="1:5" ht="15.75" customHeight="1">
      <c r="A40" s="1" t="s">
        <v>500</v>
      </c>
      <c r="B40" s="1" t="s">
        <v>481</v>
      </c>
      <c r="C40" s="14">
        <v>3.9967999999999999</v>
      </c>
      <c r="D40" s="1">
        <v>3.98</v>
      </c>
      <c r="E40" s="14">
        <f t="shared" si="0"/>
        <v>1.6799999999999926E-2</v>
      </c>
    </row>
    <row r="41" spans="1:5" ht="15.75" customHeight="1">
      <c r="B41" s="1" t="s">
        <v>490</v>
      </c>
      <c r="C41" s="14">
        <v>7.2144000000000004</v>
      </c>
      <c r="D41" s="1">
        <v>7.23</v>
      </c>
      <c r="E41" s="14">
        <f t="shared" si="0"/>
        <v>-1.5600000000000058E-2</v>
      </c>
    </row>
    <row r="42" spans="1:5" ht="15.75" customHeight="1">
      <c r="B42" s="1" t="s">
        <v>490</v>
      </c>
      <c r="C42" s="14">
        <v>8.1083999999999996</v>
      </c>
      <c r="D42" s="1">
        <v>8.1300000000000008</v>
      </c>
      <c r="E42" s="14">
        <f t="shared" si="0"/>
        <v>-2.1600000000001174E-2</v>
      </c>
    </row>
    <row r="43" spans="1:5" ht="15.75" customHeight="1">
      <c r="B43" s="1" t="s">
        <v>482</v>
      </c>
      <c r="C43" s="14">
        <v>8.1904000000000003</v>
      </c>
      <c r="D43" s="1">
        <v>8.23</v>
      </c>
      <c r="E43" s="14">
        <f t="shared" si="0"/>
        <v>-3.960000000000008E-2</v>
      </c>
    </row>
    <row r="44" spans="1:5" ht="15.75" customHeight="1">
      <c r="B44" s="1" t="s">
        <v>481</v>
      </c>
      <c r="C44" s="14">
        <v>8.6363000000000003</v>
      </c>
      <c r="D44" s="1">
        <v>8.67</v>
      </c>
      <c r="E44" s="14">
        <f t="shared" si="0"/>
        <v>-3.3699999999999619E-2</v>
      </c>
    </row>
    <row r="45" spans="1:5" ht="15.75" customHeight="1">
      <c r="B45" s="1" t="s">
        <v>480</v>
      </c>
      <c r="C45" s="14">
        <v>9.2676999999999996</v>
      </c>
      <c r="D45" s="1">
        <v>9.2200000000000006</v>
      </c>
      <c r="E45" s="14">
        <f t="shared" si="0"/>
        <v>4.7699999999998965E-2</v>
      </c>
    </row>
    <row r="46" spans="1:5" ht="15.75" customHeight="1">
      <c r="B46" s="1" t="s">
        <v>482</v>
      </c>
      <c r="C46" s="14">
        <v>9.6547999999999998</v>
      </c>
      <c r="D46" s="1">
        <v>9.43</v>
      </c>
      <c r="E46" s="14">
        <f t="shared" si="0"/>
        <v>0.22480000000000011</v>
      </c>
    </row>
    <row r="47" spans="1:5" ht="15.75" customHeight="1">
      <c r="B47" s="1" t="s">
        <v>484</v>
      </c>
      <c r="C47" s="14">
        <v>3.5573999999999999</v>
      </c>
      <c r="D47" s="1">
        <v>3.58</v>
      </c>
      <c r="E47" s="14">
        <f t="shared" si="0"/>
        <v>-2.2600000000000176E-2</v>
      </c>
    </row>
    <row r="48" spans="1:5" ht="15.75" customHeight="1">
      <c r="B48" s="1" t="s">
        <v>485</v>
      </c>
      <c r="C48" s="14">
        <v>5.9572000000000003</v>
      </c>
      <c r="D48" s="1">
        <v>6.06</v>
      </c>
      <c r="E48" s="14">
        <f t="shared" si="0"/>
        <v>-0.10279999999999934</v>
      </c>
    </row>
    <row r="49" spans="1:5" ht="15.75" customHeight="1">
      <c r="B49" s="1" t="s">
        <v>491</v>
      </c>
      <c r="C49" s="14">
        <v>7.0605000000000002</v>
      </c>
      <c r="D49" s="1">
        <v>7.06</v>
      </c>
      <c r="E49" s="14">
        <f t="shared" si="0"/>
        <v>5.0000000000061107E-4</v>
      </c>
    </row>
    <row r="50" spans="1:5" ht="15.75" customHeight="1">
      <c r="B50" s="1" t="s">
        <v>491</v>
      </c>
      <c r="C50" s="14">
        <v>7.9255000000000004</v>
      </c>
      <c r="D50" s="1">
        <v>7.94</v>
      </c>
      <c r="E50" s="14">
        <f t="shared" si="0"/>
        <v>-1.4499999999999957E-2</v>
      </c>
    </row>
    <row r="51" spans="1:5" ht="15.75" customHeight="1">
      <c r="B51" s="1" t="s">
        <v>485</v>
      </c>
      <c r="C51" s="14">
        <v>8.0711999999999993</v>
      </c>
      <c r="D51" s="1">
        <v>8.1</v>
      </c>
      <c r="E51" s="14">
        <f t="shared" si="0"/>
        <v>-2.8800000000000381E-2</v>
      </c>
    </row>
    <row r="52" spans="1:5" ht="15.75" customHeight="1">
      <c r="B52" s="1" t="s">
        <v>483</v>
      </c>
      <c r="C52" s="14">
        <v>8.4308999999999994</v>
      </c>
      <c r="D52" s="1">
        <v>8.42</v>
      </c>
      <c r="E52" s="14">
        <f t="shared" si="0"/>
        <v>1.0899999999999466E-2</v>
      </c>
    </row>
    <row r="53" spans="1:5" ht="15.75" customHeight="1">
      <c r="A53" s="1" t="s">
        <v>501</v>
      </c>
      <c r="B53" s="1" t="s">
        <v>487</v>
      </c>
      <c r="C53" s="14">
        <v>5.2493999999999996</v>
      </c>
      <c r="D53" s="1">
        <v>5.23</v>
      </c>
      <c r="E53" s="14">
        <f t="shared" si="0"/>
        <v>1.9399999999999196E-2</v>
      </c>
    </row>
    <row r="54" spans="1:5" ht="15.75" customHeight="1">
      <c r="B54" s="1" t="s">
        <v>488</v>
      </c>
      <c r="C54" s="14">
        <v>4.6089000000000002</v>
      </c>
      <c r="D54" s="1">
        <v>4.6500000000000004</v>
      </c>
      <c r="E54" s="14">
        <f t="shared" si="0"/>
        <v>-4.1100000000000136E-2</v>
      </c>
    </row>
    <row r="55" spans="1:5" ht="15.75" customHeight="1">
      <c r="A55" s="1" t="s">
        <v>502</v>
      </c>
      <c r="B55" s="1" t="s">
        <v>481</v>
      </c>
      <c r="C55" s="14">
        <v>2.2425000000000002</v>
      </c>
      <c r="D55" s="1">
        <v>2.2200000000000002</v>
      </c>
      <c r="E55" s="14">
        <f t="shared" si="0"/>
        <v>2.2499999999999964E-2</v>
      </c>
    </row>
    <row r="56" spans="1:5" ht="15.75" customHeight="1">
      <c r="B56" s="1" t="s">
        <v>490</v>
      </c>
      <c r="C56" s="14">
        <v>5.9168000000000003</v>
      </c>
      <c r="D56" s="1">
        <v>5.96</v>
      </c>
      <c r="E56" s="14">
        <f t="shared" si="0"/>
        <v>-4.3199999999999683E-2</v>
      </c>
    </row>
    <row r="57" spans="1:5" ht="15.75" customHeight="1">
      <c r="B57" s="1" t="s">
        <v>482</v>
      </c>
      <c r="C57" s="14">
        <v>6.6032000000000002</v>
      </c>
      <c r="D57" s="1">
        <v>6.4</v>
      </c>
      <c r="E57" s="14">
        <f t="shared" si="0"/>
        <v>0.20319999999999983</v>
      </c>
    </row>
    <row r="58" spans="1:5" ht="15.75" customHeight="1">
      <c r="B58" s="1" t="s">
        <v>484</v>
      </c>
      <c r="C58" s="14">
        <v>1.8996</v>
      </c>
      <c r="D58" s="1">
        <v>1.94</v>
      </c>
      <c r="E58" s="14">
        <f t="shared" si="0"/>
        <v>-4.0399999999999991E-2</v>
      </c>
    </row>
    <row r="59" spans="1:5" ht="15.75" customHeight="1">
      <c r="B59" s="1" t="s">
        <v>485</v>
      </c>
      <c r="C59" s="14">
        <v>3.2509999999999999</v>
      </c>
      <c r="D59" s="1">
        <v>3.43</v>
      </c>
      <c r="E59" s="14">
        <f t="shared" si="0"/>
        <v>-0.17900000000000027</v>
      </c>
    </row>
    <row r="60" spans="1:5" ht="15.75" customHeight="1">
      <c r="B60" s="1" t="s">
        <v>491</v>
      </c>
      <c r="C60" s="14">
        <v>5.7079000000000004</v>
      </c>
      <c r="D60" s="1">
        <v>5.6</v>
      </c>
      <c r="E60" s="14">
        <f t="shared" si="0"/>
        <v>0.10790000000000077</v>
      </c>
    </row>
    <row r="61" spans="1:5" ht="15.75" customHeight="1">
      <c r="A61" s="1" t="s">
        <v>503</v>
      </c>
      <c r="B61" s="1" t="s">
        <v>504</v>
      </c>
      <c r="C61" s="14">
        <v>7.1496000000000004</v>
      </c>
      <c r="D61" s="1">
        <v>7.1</v>
      </c>
      <c r="E61" s="14">
        <f t="shared" si="0"/>
        <v>4.9600000000000755E-2</v>
      </c>
    </row>
    <row r="62" spans="1:5" ht="15.75" customHeight="1">
      <c r="B62" s="1" t="s">
        <v>505</v>
      </c>
      <c r="C62" s="14">
        <v>7.4804000000000004</v>
      </c>
      <c r="D62" s="1">
        <v>7.44</v>
      </c>
      <c r="E62" s="14">
        <f t="shared" si="0"/>
        <v>4.0399999999999991E-2</v>
      </c>
    </row>
    <row r="63" spans="1:5" ht="15.75" customHeight="1">
      <c r="B63" s="1" t="s">
        <v>506</v>
      </c>
      <c r="C63" s="14">
        <v>5.4508999999999999</v>
      </c>
      <c r="D63" s="1">
        <v>5.53</v>
      </c>
      <c r="E63" s="14">
        <f t="shared" si="0"/>
        <v>-7.9100000000000392E-2</v>
      </c>
    </row>
    <row r="64" spans="1:5" ht="15.75" customHeight="1">
      <c r="B64" s="1" t="s">
        <v>507</v>
      </c>
      <c r="C64" s="14">
        <v>6.4114000000000004</v>
      </c>
      <c r="D64" s="1">
        <v>6.4</v>
      </c>
      <c r="E64" s="14">
        <f t="shared" si="0"/>
        <v>1.1400000000000077E-2</v>
      </c>
    </row>
    <row r="65" spans="1:6" ht="15.75" customHeight="1">
      <c r="B65" s="1" t="s">
        <v>508</v>
      </c>
      <c r="C65" s="14">
        <v>7.1249000000000002</v>
      </c>
      <c r="D65" s="1">
        <v>7.08</v>
      </c>
      <c r="E65" s="14">
        <f t="shared" si="0"/>
        <v>4.4900000000000162E-2</v>
      </c>
    </row>
    <row r="66" spans="1:6" ht="15.75" customHeight="1">
      <c r="A66" s="1" t="s">
        <v>509</v>
      </c>
      <c r="B66" s="1" t="s">
        <v>510</v>
      </c>
      <c r="C66" s="14">
        <v>7.4004000000000003</v>
      </c>
      <c r="D66" s="1">
        <v>7.39</v>
      </c>
      <c r="E66" s="14">
        <f t="shared" si="0"/>
        <v>1.0400000000000631E-2</v>
      </c>
    </row>
    <row r="67" spans="1:6" ht="15.75" customHeight="1">
      <c r="B67" s="1" t="s">
        <v>511</v>
      </c>
      <c r="C67" s="14">
        <v>8.0106000000000002</v>
      </c>
      <c r="D67" s="1">
        <v>7.93</v>
      </c>
      <c r="E67" s="14">
        <f t="shared" si="0"/>
        <v>8.0600000000000449E-2</v>
      </c>
    </row>
    <row r="68" spans="1:6" ht="15.75" customHeight="1">
      <c r="B68" s="1" t="s">
        <v>512</v>
      </c>
      <c r="C68" s="14">
        <v>8.0650999999999993</v>
      </c>
      <c r="D68" s="1">
        <v>8.08</v>
      </c>
      <c r="E68" s="14">
        <f t="shared" si="0"/>
        <v>-1.4900000000000801E-2</v>
      </c>
    </row>
    <row r="69" spans="1:6" ht="15.75" customHeight="1">
      <c r="B69" s="1" t="s">
        <v>513</v>
      </c>
      <c r="C69" s="14">
        <v>4.4462999999999999</v>
      </c>
      <c r="D69" s="1">
        <v>4.54</v>
      </c>
      <c r="E69" s="14">
        <f t="shared" si="0"/>
        <v>-9.3700000000000117E-2</v>
      </c>
    </row>
    <row r="70" spans="1:6" ht="15.75" customHeight="1">
      <c r="A70" s="1" t="s">
        <v>514</v>
      </c>
      <c r="B70" s="1" t="s">
        <v>515</v>
      </c>
      <c r="C70" s="14">
        <v>9.3961000000000006</v>
      </c>
      <c r="D70" s="1">
        <v>9.34</v>
      </c>
      <c r="E70" s="14">
        <f t="shared" si="0"/>
        <v>5.6100000000000705E-2</v>
      </c>
    </row>
    <row r="71" spans="1:6" ht="15.75" customHeight="1">
      <c r="B71" s="1" t="s">
        <v>516</v>
      </c>
      <c r="C71" s="14">
        <v>9.9938000000000002</v>
      </c>
      <c r="D71" s="1">
        <v>9.8800000000000008</v>
      </c>
      <c r="E71" s="14">
        <f t="shared" si="0"/>
        <v>0.11379999999999946</v>
      </c>
    </row>
    <row r="72" spans="1:6" ht="15.75" customHeight="1">
      <c r="B72" s="1" t="s">
        <v>505</v>
      </c>
      <c r="C72" s="14">
        <v>10.4367</v>
      </c>
      <c r="D72" s="1">
        <v>10.29</v>
      </c>
      <c r="E72" s="14">
        <f t="shared" si="0"/>
        <v>0.14670000000000094</v>
      </c>
    </row>
    <row r="73" spans="1:6" ht="15.75" customHeight="1">
      <c r="B73" s="1" t="s">
        <v>517</v>
      </c>
      <c r="C73" s="14">
        <v>13.1372</v>
      </c>
      <c r="D73" s="1">
        <v>12.98</v>
      </c>
      <c r="E73" s="14">
        <f t="shared" si="0"/>
        <v>0.15719999999999956</v>
      </c>
    </row>
    <row r="74" spans="1:6" ht="15.75" customHeight="1">
      <c r="B74" s="1" t="s">
        <v>518</v>
      </c>
      <c r="C74" s="14">
        <v>13.4079</v>
      </c>
      <c r="D74" s="1">
        <v>13.03</v>
      </c>
      <c r="E74" s="14">
        <f t="shared" si="0"/>
        <v>0.37790000000000035</v>
      </c>
      <c r="F74" s="1"/>
    </row>
    <row r="75" spans="1:6" ht="15.75" customHeight="1">
      <c r="B75" s="1" t="s">
        <v>519</v>
      </c>
      <c r="C75" s="14">
        <v>13.2372</v>
      </c>
      <c r="D75" s="1">
        <v>13.09</v>
      </c>
      <c r="E75" s="14">
        <f t="shared" si="0"/>
        <v>0.14719999999999978</v>
      </c>
    </row>
    <row r="76" spans="1:6" ht="15.75" customHeight="1">
      <c r="B76" s="1" t="s">
        <v>518</v>
      </c>
      <c r="C76" s="14">
        <v>13.6614</v>
      </c>
      <c r="D76" s="1">
        <v>13.46</v>
      </c>
      <c r="E76" s="14">
        <f t="shared" si="0"/>
        <v>0.20139999999999958</v>
      </c>
    </row>
    <row r="77" spans="1:6" ht="15.75" customHeight="1">
      <c r="B77" s="1" t="s">
        <v>506</v>
      </c>
      <c r="C77" s="14">
        <v>7.6558000000000002</v>
      </c>
      <c r="D77" s="1">
        <v>7.7</v>
      </c>
      <c r="E77" s="14">
        <f t="shared" si="0"/>
        <v>-4.4200000000000017E-2</v>
      </c>
    </row>
    <row r="78" spans="1:6" ht="15.75" customHeight="1">
      <c r="B78" s="1" t="s">
        <v>520</v>
      </c>
      <c r="C78" s="14">
        <v>8.0844000000000005</v>
      </c>
      <c r="D78" s="1">
        <v>8.01</v>
      </c>
      <c r="E78" s="14">
        <f t="shared" si="0"/>
        <v>7.4400000000000688E-2</v>
      </c>
    </row>
    <row r="79" spans="1:6" ht="15.75" customHeight="1">
      <c r="B79" s="1" t="s">
        <v>507</v>
      </c>
      <c r="C79" s="14">
        <v>8.9009999999999998</v>
      </c>
      <c r="D79" s="1">
        <v>8.8699999999999992</v>
      </c>
      <c r="E79" s="14">
        <f t="shared" si="0"/>
        <v>3.1000000000000583E-2</v>
      </c>
    </row>
    <row r="80" spans="1:6" ht="15.75" customHeight="1">
      <c r="B80" s="1" t="s">
        <v>508</v>
      </c>
      <c r="C80" s="14">
        <v>9.8275000000000006</v>
      </c>
      <c r="D80" s="1">
        <v>9.66</v>
      </c>
      <c r="E80" s="14">
        <f t="shared" si="0"/>
        <v>0.16750000000000043</v>
      </c>
    </row>
    <row r="81" spans="1:5" ht="15.75" customHeight="1">
      <c r="A81" s="1" t="s">
        <v>521</v>
      </c>
      <c r="B81" s="1" t="s">
        <v>493</v>
      </c>
      <c r="C81" s="14">
        <v>8.5634999999999994</v>
      </c>
      <c r="D81" s="1">
        <v>8.49</v>
      </c>
      <c r="E81" s="14">
        <f t="shared" si="0"/>
        <v>7.3499999999999233E-2</v>
      </c>
    </row>
    <row r="82" spans="1:5" ht="15.75" customHeight="1">
      <c r="B82" s="1" t="s">
        <v>522</v>
      </c>
      <c r="C82" s="14">
        <v>9.9764999999999997</v>
      </c>
      <c r="D82" s="1">
        <v>9.92</v>
      </c>
      <c r="E82" s="14">
        <f t="shared" si="0"/>
        <v>5.6499999999999773E-2</v>
      </c>
    </row>
    <row r="83" spans="1:5" ht="15.75" customHeight="1">
      <c r="B83" s="1" t="s">
        <v>523</v>
      </c>
      <c r="C83" s="14">
        <v>10.110099999999999</v>
      </c>
      <c r="D83" s="1">
        <v>10.06</v>
      </c>
      <c r="E83" s="14">
        <f t="shared" si="0"/>
        <v>5.0099999999998701E-2</v>
      </c>
    </row>
    <row r="84" spans="1:5" ht="15.75" customHeight="1">
      <c r="B84" s="1" t="s">
        <v>524</v>
      </c>
      <c r="C84" s="14">
        <v>11.209</v>
      </c>
      <c r="D84" s="1">
        <v>10.95</v>
      </c>
      <c r="E84" s="14">
        <f t="shared" si="0"/>
        <v>0.25900000000000034</v>
      </c>
    </row>
    <row r="85" spans="1:5" ht="15.75" customHeight="1">
      <c r="B85" s="1" t="s">
        <v>525</v>
      </c>
      <c r="C85" s="14">
        <v>11.7403</v>
      </c>
      <c r="D85" s="1">
        <v>11.52</v>
      </c>
      <c r="E85" s="14">
        <f t="shared" si="0"/>
        <v>0.22029999999999994</v>
      </c>
    </row>
    <row r="86" spans="1:5" ht="15.75" customHeight="1">
      <c r="B86" s="1" t="s">
        <v>526</v>
      </c>
      <c r="C86" s="14">
        <v>11.947800000000001</v>
      </c>
      <c r="D86" s="1">
        <v>11.72</v>
      </c>
      <c r="E86" s="14">
        <f t="shared" si="0"/>
        <v>0.22780000000000022</v>
      </c>
    </row>
    <row r="87" spans="1:5" ht="15.75" customHeight="1">
      <c r="B87" s="1" t="s">
        <v>527</v>
      </c>
      <c r="C87" s="14">
        <v>6.3433999999999999</v>
      </c>
      <c r="D87" s="1">
        <v>6.28</v>
      </c>
      <c r="E87" s="14">
        <f t="shared" si="0"/>
        <v>6.3399999999999679E-2</v>
      </c>
    </row>
    <row r="88" spans="1:5" ht="15.75" customHeight="1">
      <c r="B88" s="1" t="s">
        <v>528</v>
      </c>
      <c r="C88" s="14">
        <v>8.3356999999999992</v>
      </c>
      <c r="D88" s="1">
        <v>8.4499999999999993</v>
      </c>
      <c r="E88" s="14">
        <f t="shared" si="0"/>
        <v>-0.11430000000000007</v>
      </c>
    </row>
    <row r="89" spans="1:5" ht="15.75" customHeight="1">
      <c r="B89" s="1" t="s">
        <v>529</v>
      </c>
      <c r="C89" s="14">
        <v>9.2236999999999991</v>
      </c>
      <c r="D89" s="1">
        <v>9.27</v>
      </c>
      <c r="E89" s="14">
        <f t="shared" si="0"/>
        <v>-4.6300000000000452E-2</v>
      </c>
    </row>
    <row r="90" spans="1:5" ht="15.75" customHeight="1">
      <c r="B90" s="1" t="s">
        <v>530</v>
      </c>
      <c r="C90" s="14">
        <v>9.8018999999999998</v>
      </c>
      <c r="D90" s="1">
        <v>9.8000000000000007</v>
      </c>
      <c r="E90" s="14">
        <f t="shared" si="0"/>
        <v>1.8999999999991246E-3</v>
      </c>
    </row>
    <row r="91" spans="1:5" ht="15.75" customHeight="1">
      <c r="B91" s="1" t="s">
        <v>531</v>
      </c>
      <c r="C91" s="14">
        <v>10.6999</v>
      </c>
      <c r="D91" s="1">
        <v>10.47</v>
      </c>
      <c r="E91" s="14">
        <f t="shared" si="0"/>
        <v>0.22989999999999888</v>
      </c>
    </row>
    <row r="100" spans="3:4" ht="15.75" customHeight="1">
      <c r="C100" s="1" t="s">
        <v>532</v>
      </c>
      <c r="D100" s="14">
        <f ca="1">IFERROR(__xludf.DUMMYFUNCTION("AVERAGE(FILTER((E3:E91), E3:E91&lt;&gt;0))"),0.0274483146067415)</f>
        <v>2.7448314606741499E-2</v>
      </c>
    </row>
    <row r="101" spans="3:4" ht="15.75" customHeight="1">
      <c r="C101" s="1" t="s">
        <v>6</v>
      </c>
      <c r="D101" s="14">
        <f ca="1">IFERROR(__xludf.DUMMYFUNCTION("AVERAGE(FILTER(ABS(E3:E91), E3:E91&lt;&gt;0))"),0.0782865168539326)</f>
        <v>7.8286516853932606E-2</v>
      </c>
    </row>
    <row r="102" spans="3:4" ht="15.75" customHeight="1">
      <c r="C102" s="1" t="s">
        <v>7</v>
      </c>
      <c r="D102" s="14">
        <f ca="1">IFERROR(__xludf.DUMMYFUNCTION("SQRT(AVERAGE(FILTER(E3:E91^2, E3:E91&lt;&gt;0)))"),0.103974891632007)</f>
        <v>0.103974891632007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FE3A-F00E-4B10-BBDC-81CB872917B1}">
  <sheetPr>
    <outlinePr summaryBelow="0" summaryRight="0"/>
  </sheetPr>
  <dimension ref="A5:D14"/>
  <sheetViews>
    <sheetView workbookViewId="0"/>
  </sheetViews>
  <sheetFormatPr defaultColWidth="12.6640625" defaultRowHeight="15.75" customHeight="1"/>
  <cols>
    <col min="1" max="16384" width="12.6640625" style="2"/>
  </cols>
  <sheetData>
    <row r="5" spans="1:4" ht="15.75" customHeight="1">
      <c r="B5" s="1" t="s">
        <v>532</v>
      </c>
      <c r="C5" s="1" t="s">
        <v>6</v>
      </c>
      <c r="D5" s="1" t="s">
        <v>7</v>
      </c>
    </row>
    <row r="6" spans="1:4" ht="15.75" customHeight="1">
      <c r="A6" s="1" t="s">
        <v>533</v>
      </c>
      <c r="B6" s="14">
        <v>3.0741573033707871E-2</v>
      </c>
      <c r="C6" s="14">
        <v>7.6325842696629231E-2</v>
      </c>
      <c r="D6" s="14">
        <v>0.10521061274276407</v>
      </c>
    </row>
    <row r="7" spans="1:4" ht="15.75" customHeight="1">
      <c r="A7" s="1" t="s">
        <v>534</v>
      </c>
      <c r="B7" s="14">
        <v>2.9079775280898893E-2</v>
      </c>
      <c r="C7" s="14">
        <v>7.7846067415730302E-2</v>
      </c>
      <c r="D7" s="14">
        <v>0.10717896772965997</v>
      </c>
    </row>
    <row r="8" spans="1:4" ht="15.75" customHeight="1">
      <c r="A8" s="14" t="s">
        <v>535</v>
      </c>
      <c r="B8" s="14">
        <v>3.0258426966292145E-2</v>
      </c>
      <c r="C8" s="14">
        <v>7.4815730337078765E-2</v>
      </c>
      <c r="D8" s="14">
        <v>0.10353191984584416</v>
      </c>
    </row>
    <row r="9" spans="1:4" ht="15.75" customHeight="1">
      <c r="A9" s="14" t="s">
        <v>36</v>
      </c>
      <c r="B9" s="14">
        <v>2.744831460674154E-2</v>
      </c>
      <c r="C9" s="14">
        <v>7.8286516853932619E-2</v>
      </c>
      <c r="D9" s="14">
        <v>0.10397489163200721</v>
      </c>
    </row>
    <row r="10" spans="1:4" ht="15.75" customHeight="1">
      <c r="A10" s="14"/>
    </row>
    <row r="11" spans="1:4" ht="15.75" customHeight="1">
      <c r="A11" s="14"/>
    </row>
    <row r="12" spans="1:4" ht="15.75" customHeight="1">
      <c r="A12" s="14"/>
    </row>
    <row r="13" spans="1:4" ht="15.75" customHeight="1">
      <c r="A13" s="14"/>
    </row>
    <row r="14" spans="1:4" ht="15.75" customHeight="1">
      <c r="A14" s="1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07B8-6241-43A9-BBE2-7A810ADB555B}">
  <sheetPr>
    <outlinePr summaryBelow="0" summaryRight="0"/>
  </sheetPr>
  <dimension ref="A1:T29"/>
  <sheetViews>
    <sheetView workbookViewId="0"/>
  </sheetViews>
  <sheetFormatPr defaultColWidth="12.6640625" defaultRowHeight="15.75" customHeight="1"/>
  <cols>
    <col min="1" max="10" width="12.6640625" style="2"/>
    <col min="11" max="11" width="2.109375" style="2" customWidth="1"/>
    <col min="12" max="16384" width="12.6640625" style="2"/>
  </cols>
  <sheetData>
    <row r="1" spans="1:20" ht="15.75" customHeight="1">
      <c r="B1" s="71" t="s">
        <v>536</v>
      </c>
      <c r="C1" s="5"/>
      <c r="D1" s="5"/>
      <c r="E1" s="71" t="s">
        <v>537</v>
      </c>
      <c r="F1" s="5"/>
      <c r="G1" s="5"/>
      <c r="H1" s="1" t="s">
        <v>538</v>
      </c>
      <c r="K1" s="9"/>
      <c r="L1" s="71" t="s">
        <v>539</v>
      </c>
      <c r="M1" s="5"/>
      <c r="N1" s="5"/>
      <c r="O1" s="71" t="s">
        <v>540</v>
      </c>
      <c r="P1" s="5"/>
      <c r="Q1" s="5"/>
      <c r="R1" s="71" t="s">
        <v>515</v>
      </c>
      <c r="S1" s="5"/>
      <c r="T1" s="5"/>
    </row>
    <row r="2" spans="1:20" ht="15.75" customHeight="1">
      <c r="A2" s="1" t="s">
        <v>541</v>
      </c>
      <c r="B2" s="1" t="s">
        <v>61</v>
      </c>
      <c r="C2" s="1" t="s">
        <v>542</v>
      </c>
      <c r="D2" s="1" t="s">
        <v>60</v>
      </c>
      <c r="E2" s="1" t="s">
        <v>61</v>
      </c>
      <c r="F2" s="1" t="s">
        <v>542</v>
      </c>
      <c r="G2" s="1" t="s">
        <v>60</v>
      </c>
      <c r="H2" s="1" t="s">
        <v>61</v>
      </c>
      <c r="I2" s="1" t="s">
        <v>542</v>
      </c>
      <c r="J2" s="1" t="s">
        <v>60</v>
      </c>
      <c r="K2" s="9"/>
      <c r="L2" s="1" t="s">
        <v>61</v>
      </c>
      <c r="M2" s="1" t="s">
        <v>542</v>
      </c>
      <c r="N2" s="1" t="s">
        <v>60</v>
      </c>
      <c r="O2" s="1" t="s">
        <v>61</v>
      </c>
      <c r="P2" s="1" t="s">
        <v>542</v>
      </c>
      <c r="Q2" s="1" t="s">
        <v>60</v>
      </c>
      <c r="R2" s="1" t="s">
        <v>61</v>
      </c>
      <c r="S2" s="1" t="s">
        <v>542</v>
      </c>
      <c r="T2" s="1" t="s">
        <v>60</v>
      </c>
    </row>
    <row r="3" spans="1:20" ht="15.75" customHeight="1">
      <c r="A3" s="1">
        <v>10</v>
      </c>
      <c r="B3" s="1">
        <v>-0.4073</v>
      </c>
      <c r="C3" s="1">
        <v>-0.61280000000000001</v>
      </c>
      <c r="D3" s="1">
        <v>-0.63290000000000002</v>
      </c>
      <c r="E3" s="1">
        <v>-0.44779999999999998</v>
      </c>
      <c r="F3" s="1">
        <v>-0.60050000000000003</v>
      </c>
      <c r="G3" s="1">
        <v>-0.6119</v>
      </c>
      <c r="H3" s="1">
        <v>-0.52639999999999998</v>
      </c>
      <c r="I3" s="1">
        <v>-0.76270000000000004</v>
      </c>
      <c r="J3" s="1">
        <v>-0.77900000000000003</v>
      </c>
      <c r="K3" s="9"/>
      <c r="L3" s="1">
        <v>3.9800000000000002E-2</v>
      </c>
      <c r="M3" s="1">
        <v>9.2700000000000005E-2</v>
      </c>
      <c r="N3" s="27">
        <v>9.1999999999999998E-2</v>
      </c>
      <c r="O3" s="1">
        <v>2.8199999999999999E-2</v>
      </c>
      <c r="P3" s="1">
        <v>8.1100000000000005E-2</v>
      </c>
      <c r="Q3" s="1">
        <v>8.09E-2</v>
      </c>
      <c r="R3" s="1">
        <v>-5.7200000000000001E-2</v>
      </c>
      <c r="S3" s="1">
        <v>0.1162</v>
      </c>
      <c r="T3" s="1">
        <v>0.1167</v>
      </c>
    </row>
    <row r="4" spans="1:20" ht="15.75" customHeight="1">
      <c r="A4" s="1">
        <v>11</v>
      </c>
      <c r="B4" s="1">
        <v>-0.41020000000000001</v>
      </c>
      <c r="C4" s="1">
        <v>-0.61299999999999999</v>
      </c>
      <c r="D4" s="1">
        <v>-0.63290000000000002</v>
      </c>
      <c r="E4" s="1">
        <v>-0.4501</v>
      </c>
      <c r="F4" s="1">
        <v>-0.60060000000000002</v>
      </c>
      <c r="G4" s="1">
        <v>-0.6119</v>
      </c>
      <c r="H4" s="1">
        <v>-0.52959999999999996</v>
      </c>
      <c r="I4" s="1">
        <v>-0.76280000000000003</v>
      </c>
      <c r="J4" s="1">
        <v>-0.77900000000000003</v>
      </c>
      <c r="K4" s="9"/>
      <c r="L4" s="1">
        <v>4.0300000000000002E-2</v>
      </c>
      <c r="M4" s="1">
        <v>9.2700000000000005E-2</v>
      </c>
      <c r="N4" s="27">
        <v>9.1999999999999998E-2</v>
      </c>
      <c r="O4" s="1">
        <v>2.8899999999999999E-2</v>
      </c>
      <c r="P4" s="1">
        <v>8.1100000000000005E-2</v>
      </c>
      <c r="Q4" s="1">
        <v>8.09E-2</v>
      </c>
      <c r="R4" s="1">
        <v>-5.5300000000000002E-2</v>
      </c>
      <c r="S4" s="1">
        <v>0.1162</v>
      </c>
      <c r="T4" s="1">
        <v>0.1167</v>
      </c>
    </row>
    <row r="5" spans="1:20" ht="15.75" customHeight="1">
      <c r="A5" s="1">
        <v>12</v>
      </c>
      <c r="B5" s="1">
        <v>-0.41310000000000002</v>
      </c>
      <c r="C5" s="1">
        <v>-0.61319999999999997</v>
      </c>
      <c r="D5" s="1">
        <v>-0.63290000000000002</v>
      </c>
      <c r="E5" s="1">
        <v>-0.45240000000000002</v>
      </c>
      <c r="F5" s="1">
        <v>-0.60070000000000001</v>
      </c>
      <c r="G5" s="1">
        <v>-0.6119</v>
      </c>
      <c r="H5" s="1">
        <v>-0.53280000000000005</v>
      </c>
      <c r="I5" s="1">
        <v>-0.76300000000000001</v>
      </c>
      <c r="J5" s="1">
        <v>-0.77900000000000003</v>
      </c>
      <c r="K5" s="9"/>
      <c r="L5" s="1">
        <v>4.0800000000000003E-2</v>
      </c>
      <c r="M5" s="1">
        <v>9.2700000000000005E-2</v>
      </c>
      <c r="N5" s="27">
        <v>9.1999999999999998E-2</v>
      </c>
      <c r="O5" s="1">
        <v>2.9499999999999998E-2</v>
      </c>
      <c r="P5" s="1">
        <v>8.1100000000000005E-2</v>
      </c>
      <c r="Q5" s="1">
        <v>8.09E-2</v>
      </c>
      <c r="R5" s="1">
        <v>-5.3400000000000003E-2</v>
      </c>
      <c r="S5" s="1">
        <v>0.1163</v>
      </c>
      <c r="T5" s="1">
        <v>0.1167</v>
      </c>
    </row>
    <row r="6" spans="1:20" ht="15.75" customHeight="1">
      <c r="A6" s="1">
        <v>13</v>
      </c>
      <c r="B6" s="1">
        <v>-0.41599999999999998</v>
      </c>
      <c r="C6" s="1">
        <v>-0.61329999999999996</v>
      </c>
      <c r="D6" s="1">
        <v>-0.63290000000000002</v>
      </c>
      <c r="E6" s="1">
        <v>-0.45469999999999999</v>
      </c>
      <c r="F6" s="1">
        <v>-0.6008</v>
      </c>
      <c r="G6" s="1">
        <v>-0.6119</v>
      </c>
      <c r="H6" s="1">
        <v>-0.53600000000000003</v>
      </c>
      <c r="I6" s="1">
        <v>-0.7631</v>
      </c>
      <c r="J6" s="1">
        <v>-0.77900000000000003</v>
      </c>
      <c r="K6" s="9"/>
      <c r="L6" s="1">
        <v>4.1200000000000001E-2</v>
      </c>
      <c r="M6" s="1">
        <v>9.2700000000000005E-2</v>
      </c>
      <c r="N6" s="27">
        <v>9.1999999999999998E-2</v>
      </c>
      <c r="O6" s="1">
        <v>3.0200000000000001E-2</v>
      </c>
      <c r="P6" s="1">
        <v>8.1100000000000005E-2</v>
      </c>
      <c r="Q6" s="1">
        <v>8.09E-2</v>
      </c>
      <c r="R6" s="1">
        <v>-5.1400000000000001E-2</v>
      </c>
      <c r="S6" s="1">
        <v>0.1163</v>
      </c>
      <c r="T6" s="1">
        <v>0.1167</v>
      </c>
    </row>
    <row r="7" spans="1:20" ht="15.75" customHeight="1">
      <c r="A7" s="1">
        <v>14</v>
      </c>
      <c r="B7" s="1">
        <v>-0.41889999999999999</v>
      </c>
      <c r="C7" s="1">
        <v>-0.61350000000000005</v>
      </c>
      <c r="D7" s="1">
        <v>-0.63290000000000002</v>
      </c>
      <c r="E7" s="1">
        <v>-0.45700000000000002</v>
      </c>
      <c r="F7" s="1">
        <v>-0.60089999999999999</v>
      </c>
      <c r="G7" s="1">
        <v>-0.6119</v>
      </c>
      <c r="H7" s="1">
        <v>-0.53920000000000001</v>
      </c>
      <c r="I7" s="1">
        <v>-0.76329999999999998</v>
      </c>
      <c r="J7" s="1">
        <v>-0.77900000000000003</v>
      </c>
      <c r="K7" s="9"/>
      <c r="L7" s="1">
        <v>4.1700000000000001E-2</v>
      </c>
      <c r="M7" s="1">
        <v>9.2700000000000005E-2</v>
      </c>
      <c r="N7" s="27">
        <v>9.1999999999999998E-2</v>
      </c>
      <c r="O7" s="1">
        <v>3.0800000000000001E-2</v>
      </c>
      <c r="P7" s="1">
        <v>8.1100000000000005E-2</v>
      </c>
      <c r="Q7" s="1">
        <v>8.09E-2</v>
      </c>
      <c r="R7" s="1">
        <v>-4.9500000000000002E-2</v>
      </c>
      <c r="S7" s="1">
        <v>0.1163</v>
      </c>
      <c r="T7" s="1">
        <v>0.1167</v>
      </c>
    </row>
    <row r="8" spans="1:20" ht="15.75" customHeight="1">
      <c r="A8" s="1">
        <v>15</v>
      </c>
      <c r="B8" s="1">
        <v>-0.42180000000000001</v>
      </c>
      <c r="C8" s="1">
        <v>-0.61370000000000002</v>
      </c>
      <c r="D8" s="1">
        <v>-0.63290000000000002</v>
      </c>
      <c r="E8" s="1">
        <v>-0.45929999999999999</v>
      </c>
      <c r="F8" s="1">
        <v>-0.60099999999999998</v>
      </c>
      <c r="G8" s="1">
        <v>-0.6119</v>
      </c>
      <c r="H8" s="1">
        <v>-0.54249999999999998</v>
      </c>
      <c r="I8" s="1">
        <v>-0.76339999999999997</v>
      </c>
      <c r="J8" s="1">
        <v>-0.77900000000000003</v>
      </c>
      <c r="K8" s="9"/>
      <c r="L8" s="1">
        <v>4.2099999999999999E-2</v>
      </c>
      <c r="M8" s="1">
        <v>9.2700000000000005E-2</v>
      </c>
      <c r="N8" s="27">
        <v>9.1999999999999998E-2</v>
      </c>
      <c r="O8" s="1">
        <v>3.15E-2</v>
      </c>
      <c r="P8" s="1">
        <v>8.1100000000000005E-2</v>
      </c>
      <c r="Q8" s="1">
        <v>8.09E-2</v>
      </c>
      <c r="R8" s="1">
        <v>-4.7600000000000003E-2</v>
      </c>
      <c r="S8" s="1">
        <v>0.1163</v>
      </c>
      <c r="T8" s="1">
        <v>0.1167</v>
      </c>
    </row>
    <row r="9" spans="1:20" ht="15.75" customHeight="1">
      <c r="A9" s="1">
        <v>16</v>
      </c>
      <c r="B9" s="1">
        <v>-0.42470000000000002</v>
      </c>
      <c r="C9" s="1">
        <v>-0.6139</v>
      </c>
      <c r="D9" s="1">
        <v>-0.63290000000000002</v>
      </c>
      <c r="E9" s="1">
        <v>-0.46150000000000002</v>
      </c>
      <c r="F9" s="1">
        <v>-0.60099999999999998</v>
      </c>
      <c r="G9" s="1">
        <v>-0.6119</v>
      </c>
      <c r="H9" s="1">
        <v>-0.54569999999999996</v>
      </c>
      <c r="I9" s="1">
        <v>-0.76349999999999996</v>
      </c>
      <c r="J9" s="1">
        <v>-0.77900000000000003</v>
      </c>
      <c r="K9" s="9"/>
      <c r="L9" s="1">
        <v>4.2599999999999999E-2</v>
      </c>
      <c r="M9" s="1">
        <v>9.2700000000000005E-2</v>
      </c>
      <c r="N9" s="27">
        <v>9.1999999999999998E-2</v>
      </c>
      <c r="O9" s="1">
        <v>3.2099999999999997E-2</v>
      </c>
      <c r="P9" s="1">
        <v>8.1100000000000005E-2</v>
      </c>
      <c r="Q9" s="1">
        <v>8.09E-2</v>
      </c>
      <c r="R9" s="1">
        <v>-4.5699999999999998E-2</v>
      </c>
      <c r="S9" s="1">
        <v>0.1163</v>
      </c>
      <c r="T9" s="1">
        <v>0.1167</v>
      </c>
    </row>
    <row r="10" spans="1:20" ht="15.75" customHeight="1">
      <c r="A10" s="1">
        <v>17</v>
      </c>
      <c r="B10" s="1">
        <v>-0.42759999999999998</v>
      </c>
      <c r="C10" s="1">
        <v>-0.61399999999999999</v>
      </c>
      <c r="D10" s="1">
        <v>-0.63290000000000002</v>
      </c>
      <c r="E10" s="1">
        <v>-0.46379999999999999</v>
      </c>
      <c r="F10" s="1">
        <v>-0.60109999999999997</v>
      </c>
      <c r="G10" s="1">
        <v>-0.6119</v>
      </c>
      <c r="H10" s="1">
        <v>-0.54890000000000005</v>
      </c>
      <c r="I10" s="1">
        <v>-0.76370000000000005</v>
      </c>
      <c r="J10" s="1">
        <v>-0.77900000000000003</v>
      </c>
      <c r="K10" s="9"/>
      <c r="L10" s="1">
        <v>4.2999999999999997E-2</v>
      </c>
      <c r="M10" s="1">
        <v>9.2700000000000005E-2</v>
      </c>
      <c r="N10" s="27">
        <v>9.1999999999999998E-2</v>
      </c>
      <c r="O10" s="1">
        <v>3.27E-2</v>
      </c>
      <c r="P10" s="1">
        <v>8.1100000000000005E-2</v>
      </c>
      <c r="Q10" s="1">
        <v>8.09E-2</v>
      </c>
      <c r="R10" s="1">
        <v>-4.3700000000000003E-2</v>
      </c>
      <c r="S10" s="1">
        <v>0.1163</v>
      </c>
      <c r="T10" s="1">
        <v>0.1167</v>
      </c>
    </row>
    <row r="11" spans="1:20" ht="15.75" customHeight="1">
      <c r="A11" s="1">
        <v>18</v>
      </c>
      <c r="B11" s="1">
        <v>-0.43059999999999998</v>
      </c>
      <c r="C11" s="1">
        <v>-0.61419999999999997</v>
      </c>
      <c r="D11" s="1">
        <v>-0.63290000000000002</v>
      </c>
      <c r="E11" s="1">
        <v>-0.46610000000000001</v>
      </c>
      <c r="F11" s="1">
        <v>-0.60119999999999996</v>
      </c>
      <c r="G11" s="1">
        <v>-0.6119</v>
      </c>
      <c r="H11" s="1">
        <v>-0.55210000000000004</v>
      </c>
      <c r="I11" s="1">
        <v>-0.76380000000000003</v>
      </c>
      <c r="J11" s="1">
        <v>-0.77900000000000003</v>
      </c>
      <c r="K11" s="9"/>
      <c r="L11" s="1">
        <v>4.3499999999999997E-2</v>
      </c>
      <c r="M11" s="1">
        <v>9.2700000000000005E-2</v>
      </c>
      <c r="N11" s="27">
        <v>9.1999999999999998E-2</v>
      </c>
      <c r="O11" s="1">
        <v>3.3399999999999999E-2</v>
      </c>
      <c r="P11" s="1">
        <v>8.1100000000000005E-2</v>
      </c>
      <c r="Q11" s="1">
        <v>8.09E-2</v>
      </c>
      <c r="R11" s="1">
        <v>-4.1799999999999997E-2</v>
      </c>
      <c r="S11" s="1">
        <v>0.1163</v>
      </c>
      <c r="T11" s="1">
        <v>0.1167</v>
      </c>
    </row>
    <row r="12" spans="1:20" ht="15.75" customHeight="1">
      <c r="A12" s="1">
        <v>19</v>
      </c>
      <c r="B12" s="1">
        <v>-0.4335</v>
      </c>
      <c r="C12" s="1">
        <v>-0.61439999999999995</v>
      </c>
      <c r="D12" s="1">
        <v>-0.63290000000000002</v>
      </c>
      <c r="E12" s="1">
        <v>-0.46839999999999998</v>
      </c>
      <c r="F12" s="1">
        <v>-0.60129999999999995</v>
      </c>
      <c r="G12" s="1">
        <v>-0.6119</v>
      </c>
      <c r="H12" s="1">
        <v>-0.55530000000000002</v>
      </c>
      <c r="I12" s="1">
        <v>-0.76390000000000002</v>
      </c>
      <c r="J12" s="1">
        <v>-0.77900000000000003</v>
      </c>
      <c r="K12" s="9"/>
      <c r="L12" s="1">
        <v>4.3900000000000002E-2</v>
      </c>
      <c r="M12" s="1">
        <v>9.2700000000000005E-2</v>
      </c>
      <c r="N12" s="27">
        <v>9.1999999999999998E-2</v>
      </c>
      <c r="O12" s="1">
        <v>3.4000000000000002E-2</v>
      </c>
      <c r="P12" s="1">
        <v>8.1100000000000005E-2</v>
      </c>
      <c r="Q12" s="1">
        <v>8.09E-2</v>
      </c>
      <c r="R12" s="1">
        <v>-3.9899999999999998E-2</v>
      </c>
      <c r="S12" s="1">
        <v>0.1163</v>
      </c>
      <c r="T12" s="1">
        <v>0.1167</v>
      </c>
    </row>
    <row r="13" spans="1:20" ht="15.75" customHeight="1">
      <c r="A13" s="123">
        <v>20</v>
      </c>
      <c r="B13" s="123">
        <v>-0.43640000000000001</v>
      </c>
      <c r="C13" s="123">
        <v>-0.61460000000000004</v>
      </c>
      <c r="D13" s="123">
        <v>-0.63290000000000002</v>
      </c>
      <c r="E13" s="123">
        <v>-0.47070000000000001</v>
      </c>
      <c r="F13" s="123">
        <v>-0.60140000000000005</v>
      </c>
      <c r="G13" s="123">
        <v>-0.6119</v>
      </c>
      <c r="H13" s="123">
        <v>-0.55859999999999999</v>
      </c>
      <c r="I13" s="123">
        <v>-0.7641</v>
      </c>
      <c r="J13" s="123">
        <v>-0.77900000000000003</v>
      </c>
      <c r="K13" s="123"/>
      <c r="L13" s="123">
        <v>4.4400000000000002E-2</v>
      </c>
      <c r="M13" s="123">
        <v>9.2600000000000002E-2</v>
      </c>
      <c r="N13" s="124">
        <v>9.1999999999999998E-2</v>
      </c>
      <c r="O13" s="123">
        <v>3.4599999999999999E-2</v>
      </c>
      <c r="P13" s="123">
        <v>8.1100000000000005E-2</v>
      </c>
      <c r="Q13" s="123">
        <v>8.09E-2</v>
      </c>
      <c r="R13" s="123">
        <v>-3.7999999999999999E-2</v>
      </c>
      <c r="S13" s="123">
        <v>0.1163</v>
      </c>
      <c r="T13" s="123">
        <v>0.1167</v>
      </c>
    </row>
    <row r="14" spans="1:20" ht="15.75" customHeight="1">
      <c r="A14" s="1">
        <v>21</v>
      </c>
      <c r="B14" s="1">
        <v>-0.43930000000000002</v>
      </c>
      <c r="C14" s="1">
        <v>-0.61470000000000002</v>
      </c>
      <c r="D14" s="1">
        <v>-0.63290000000000002</v>
      </c>
      <c r="E14" s="1">
        <v>-0.47299999999999998</v>
      </c>
      <c r="F14" s="1">
        <v>-0.60150000000000003</v>
      </c>
      <c r="G14" s="1">
        <v>-0.6119</v>
      </c>
      <c r="H14" s="1">
        <v>-0.56179999999999997</v>
      </c>
      <c r="I14" s="1">
        <v>-0.76419999999999999</v>
      </c>
      <c r="J14" s="1">
        <v>-0.77900000000000003</v>
      </c>
      <c r="K14" s="9"/>
      <c r="L14" s="1">
        <v>4.48E-2</v>
      </c>
      <c r="M14" s="1">
        <v>9.2600000000000002E-2</v>
      </c>
      <c r="N14" s="27">
        <v>9.1999999999999998E-2</v>
      </c>
      <c r="O14" s="1">
        <v>3.5200000000000002E-2</v>
      </c>
      <c r="P14" s="1">
        <v>8.1100000000000005E-2</v>
      </c>
      <c r="Q14" s="1">
        <v>8.09E-2</v>
      </c>
      <c r="R14" s="1">
        <v>-3.61E-2</v>
      </c>
      <c r="S14" s="1">
        <v>0.1163</v>
      </c>
      <c r="T14" s="1">
        <v>0.1167</v>
      </c>
    </row>
    <row r="15" spans="1:20" ht="15.75" customHeight="1">
      <c r="A15" s="1">
        <v>22</v>
      </c>
      <c r="B15" s="1">
        <v>-0.44219999999999998</v>
      </c>
      <c r="C15" s="1">
        <v>-0.6149</v>
      </c>
      <c r="D15" s="1">
        <v>-0.63290000000000002</v>
      </c>
      <c r="E15" s="1">
        <v>-0.4753</v>
      </c>
      <c r="F15" s="1">
        <v>-0.60150000000000003</v>
      </c>
      <c r="G15" s="1">
        <v>-0.6119</v>
      </c>
      <c r="H15" s="1">
        <v>-0.56499999999999995</v>
      </c>
      <c r="I15" s="1">
        <v>-0.76429999999999998</v>
      </c>
      <c r="J15" s="1">
        <v>-0.77900000000000003</v>
      </c>
      <c r="K15" s="9"/>
      <c r="L15" s="1">
        <v>4.53E-2</v>
      </c>
      <c r="M15" s="1">
        <v>9.2600000000000002E-2</v>
      </c>
      <c r="N15" s="27">
        <v>9.1999999999999998E-2</v>
      </c>
      <c r="O15" s="1">
        <v>3.5900000000000001E-2</v>
      </c>
      <c r="P15" s="1">
        <v>8.1100000000000005E-2</v>
      </c>
      <c r="Q15" s="1">
        <v>8.09E-2</v>
      </c>
      <c r="R15" s="1">
        <v>-3.4200000000000001E-2</v>
      </c>
      <c r="S15" s="1">
        <v>0.1164</v>
      </c>
      <c r="T15" s="1">
        <v>0.1167</v>
      </c>
    </row>
    <row r="16" spans="1:20" ht="15.75" customHeight="1">
      <c r="A16" s="1">
        <v>23</v>
      </c>
      <c r="B16" s="1">
        <v>-0.4451</v>
      </c>
      <c r="C16" s="1">
        <v>-0.61509999999999998</v>
      </c>
      <c r="D16" s="1">
        <v>-0.63290000000000002</v>
      </c>
      <c r="E16" s="1">
        <v>-0.47749999999999998</v>
      </c>
      <c r="F16" s="1">
        <v>-0.60160000000000002</v>
      </c>
      <c r="G16" s="1">
        <v>-0.6119</v>
      </c>
      <c r="H16" s="1">
        <v>-0.56820000000000004</v>
      </c>
      <c r="I16" s="1">
        <v>-0.76449999999999996</v>
      </c>
      <c r="J16" s="1">
        <v>-0.77900000000000003</v>
      </c>
      <c r="K16" s="9"/>
      <c r="L16" s="1">
        <v>4.5699999999999998E-2</v>
      </c>
      <c r="M16" s="1">
        <v>9.2600000000000002E-2</v>
      </c>
      <c r="N16" s="27">
        <v>9.1999999999999998E-2</v>
      </c>
      <c r="O16" s="1">
        <v>3.6499999999999998E-2</v>
      </c>
      <c r="P16" s="1">
        <v>8.1100000000000005E-2</v>
      </c>
      <c r="Q16" s="1">
        <v>8.09E-2</v>
      </c>
      <c r="R16" s="1">
        <v>-3.2300000000000002E-2</v>
      </c>
      <c r="S16" s="1">
        <v>0.1164</v>
      </c>
      <c r="T16" s="1">
        <v>0.1167</v>
      </c>
    </row>
    <row r="17" spans="1:20" ht="15.75" customHeight="1">
      <c r="A17" s="1">
        <v>24</v>
      </c>
      <c r="B17" s="1">
        <v>-0.44800000000000001</v>
      </c>
      <c r="C17" s="1">
        <v>-0.61529999999999996</v>
      </c>
      <c r="D17" s="1">
        <v>-0.63290000000000002</v>
      </c>
      <c r="E17" s="1">
        <v>-0.4798</v>
      </c>
      <c r="F17" s="1">
        <v>-0.60170000000000001</v>
      </c>
      <c r="G17" s="1">
        <v>-0.6119</v>
      </c>
      <c r="H17" s="1">
        <v>-0.57150000000000001</v>
      </c>
      <c r="I17" s="1">
        <v>-0.76459999999999995</v>
      </c>
      <c r="J17" s="1">
        <v>-0.77900000000000003</v>
      </c>
      <c r="K17" s="9"/>
      <c r="L17" s="1">
        <v>4.6199999999999998E-2</v>
      </c>
      <c r="M17" s="1">
        <v>9.2600000000000002E-2</v>
      </c>
      <c r="N17" s="27">
        <v>9.1999999999999998E-2</v>
      </c>
      <c r="O17" s="1">
        <v>3.7100000000000001E-2</v>
      </c>
      <c r="P17" s="1">
        <v>8.1100000000000005E-2</v>
      </c>
      <c r="Q17" s="1">
        <v>8.09E-2</v>
      </c>
      <c r="R17" s="1">
        <v>-3.04E-2</v>
      </c>
      <c r="S17" s="1">
        <v>0.1164</v>
      </c>
      <c r="T17" s="1">
        <v>0.1167</v>
      </c>
    </row>
    <row r="18" spans="1:20" ht="15.75" customHeight="1">
      <c r="A18" s="1">
        <v>25</v>
      </c>
      <c r="B18" s="1">
        <v>-0.45100000000000001</v>
      </c>
      <c r="C18" s="1">
        <v>-0.61539999999999995</v>
      </c>
      <c r="D18" s="1">
        <v>-0.63290000000000002</v>
      </c>
      <c r="E18" s="1">
        <v>-0.48209999999999997</v>
      </c>
      <c r="F18" s="1">
        <v>-0.6018</v>
      </c>
      <c r="G18" s="1">
        <v>-0.6119</v>
      </c>
      <c r="H18" s="1">
        <v>-0.57469999999999999</v>
      </c>
      <c r="I18" s="1">
        <v>-0.76480000000000004</v>
      </c>
      <c r="J18" s="1">
        <v>-0.77900000000000003</v>
      </c>
      <c r="K18" s="9"/>
      <c r="L18" s="1">
        <v>4.6600000000000003E-2</v>
      </c>
      <c r="M18" s="1">
        <v>9.2600000000000002E-2</v>
      </c>
      <c r="N18" s="27">
        <v>9.1999999999999998E-2</v>
      </c>
      <c r="O18" s="1">
        <v>3.7699999999999997E-2</v>
      </c>
      <c r="P18" s="1">
        <v>8.1100000000000005E-2</v>
      </c>
      <c r="Q18" s="1">
        <v>8.09E-2</v>
      </c>
      <c r="R18" s="1">
        <v>-2.86E-2</v>
      </c>
      <c r="S18" s="1">
        <v>0.1164</v>
      </c>
      <c r="T18" s="1">
        <v>0.1167</v>
      </c>
    </row>
    <row r="19" spans="1:20" ht="15.75" customHeight="1">
      <c r="A19" s="1">
        <v>26</v>
      </c>
      <c r="B19" s="1">
        <v>-0.45390000000000003</v>
      </c>
      <c r="C19" s="1">
        <v>-0.61560000000000004</v>
      </c>
      <c r="D19" s="1">
        <v>-0.63290000000000002</v>
      </c>
      <c r="E19" s="1">
        <v>-0.4844</v>
      </c>
      <c r="F19" s="1">
        <v>-0.60189999999999999</v>
      </c>
      <c r="G19" s="1">
        <v>-0.6119</v>
      </c>
      <c r="H19" s="1">
        <v>-0.57789999999999997</v>
      </c>
      <c r="I19" s="1">
        <v>-0.76490000000000002</v>
      </c>
      <c r="J19" s="1">
        <v>-0.77900000000000003</v>
      </c>
      <c r="K19" s="9"/>
      <c r="L19" s="1">
        <v>4.7E-2</v>
      </c>
      <c r="M19" s="1">
        <v>9.2600000000000002E-2</v>
      </c>
      <c r="N19" s="27">
        <v>9.1999999999999998E-2</v>
      </c>
      <c r="O19" s="1">
        <v>3.8300000000000001E-2</v>
      </c>
      <c r="P19" s="1">
        <v>8.1100000000000005E-2</v>
      </c>
      <c r="Q19" s="1">
        <v>8.09E-2</v>
      </c>
      <c r="R19" s="1">
        <v>-2.6700000000000002E-2</v>
      </c>
      <c r="S19" s="1">
        <v>0.1164</v>
      </c>
      <c r="T19" s="1">
        <v>0.1167</v>
      </c>
    </row>
    <row r="20" spans="1:20" ht="15.75" customHeight="1">
      <c r="A20" s="1">
        <v>27</v>
      </c>
      <c r="B20" s="1">
        <v>-0.45679999999999998</v>
      </c>
      <c r="C20" s="1">
        <v>-0.61580000000000001</v>
      </c>
      <c r="D20" s="1">
        <v>-0.63290000000000002</v>
      </c>
      <c r="E20" s="1">
        <v>-0.48670000000000002</v>
      </c>
      <c r="F20" s="1">
        <v>-0.60189999999999999</v>
      </c>
      <c r="G20" s="1">
        <v>-0.6119</v>
      </c>
      <c r="H20" s="1">
        <v>-0.58109999999999995</v>
      </c>
      <c r="I20" s="1">
        <v>-0.76500000000000001</v>
      </c>
      <c r="J20" s="1">
        <v>-0.77900000000000003</v>
      </c>
      <c r="K20" s="9"/>
      <c r="L20" s="1">
        <v>4.7500000000000001E-2</v>
      </c>
      <c r="M20" s="1">
        <v>9.2600000000000002E-2</v>
      </c>
      <c r="N20" s="27">
        <v>9.1999999999999998E-2</v>
      </c>
      <c r="O20" s="1">
        <v>3.9E-2</v>
      </c>
      <c r="P20" s="1">
        <v>8.1100000000000005E-2</v>
      </c>
      <c r="Q20" s="1">
        <v>8.09E-2</v>
      </c>
      <c r="R20" s="1">
        <v>-2.4799999999999999E-2</v>
      </c>
      <c r="S20" s="1">
        <v>0.1164</v>
      </c>
      <c r="T20" s="1">
        <v>0.1167</v>
      </c>
    </row>
    <row r="21" spans="1:20" ht="15.75" customHeight="1">
      <c r="A21" s="1">
        <v>28</v>
      </c>
      <c r="B21" s="1">
        <v>-0.4597</v>
      </c>
      <c r="C21" s="1">
        <v>-0.61599999999999999</v>
      </c>
      <c r="D21" s="1">
        <v>-0.63290000000000002</v>
      </c>
      <c r="E21" s="1">
        <v>-0.48899999999999999</v>
      </c>
      <c r="F21" s="1">
        <v>-0.60199999999999998</v>
      </c>
      <c r="G21" s="1">
        <v>-0.6119</v>
      </c>
      <c r="H21" s="1">
        <v>-0.58440000000000003</v>
      </c>
      <c r="I21" s="1">
        <v>-0.76519999999999999</v>
      </c>
      <c r="J21" s="1">
        <v>-0.77900000000000003</v>
      </c>
      <c r="K21" s="9"/>
      <c r="L21" s="1">
        <v>4.7899999999999998E-2</v>
      </c>
      <c r="M21" s="1">
        <v>9.2600000000000002E-2</v>
      </c>
      <c r="N21" s="27">
        <v>9.1999999999999998E-2</v>
      </c>
      <c r="O21" s="1">
        <v>3.9600000000000003E-2</v>
      </c>
      <c r="P21" s="1">
        <v>8.1100000000000005E-2</v>
      </c>
      <c r="Q21" s="1">
        <v>8.09E-2</v>
      </c>
      <c r="R21" s="1">
        <v>-2.3E-2</v>
      </c>
      <c r="S21" s="1">
        <v>0.1164</v>
      </c>
      <c r="T21" s="1">
        <v>0.1167</v>
      </c>
    </row>
    <row r="22" spans="1:20" ht="15.75" customHeight="1">
      <c r="A22" s="1">
        <v>29</v>
      </c>
      <c r="B22" s="1">
        <v>-0.46260000000000001</v>
      </c>
      <c r="C22" s="1">
        <v>-0.61609999999999998</v>
      </c>
      <c r="D22" s="1">
        <v>-0.63290000000000002</v>
      </c>
      <c r="E22" s="1">
        <v>-0.49130000000000001</v>
      </c>
      <c r="F22" s="1">
        <v>-0.60209999999999997</v>
      </c>
      <c r="G22" s="1">
        <v>-0.6119</v>
      </c>
      <c r="H22" s="1">
        <v>-0.58760000000000001</v>
      </c>
      <c r="I22" s="1">
        <v>-0.76529999999999998</v>
      </c>
      <c r="J22" s="1">
        <v>-0.77900000000000003</v>
      </c>
      <c r="K22" s="9"/>
      <c r="L22" s="1">
        <v>4.8300000000000003E-2</v>
      </c>
      <c r="M22" s="1">
        <v>9.2600000000000002E-2</v>
      </c>
      <c r="N22" s="27">
        <v>9.1999999999999998E-2</v>
      </c>
      <c r="O22" s="1">
        <v>4.02E-2</v>
      </c>
      <c r="P22" s="1">
        <v>8.1100000000000005E-2</v>
      </c>
      <c r="Q22" s="1">
        <v>8.09E-2</v>
      </c>
      <c r="R22" s="1">
        <v>-2.1100000000000001E-2</v>
      </c>
      <c r="S22" s="1">
        <v>0.1164</v>
      </c>
      <c r="T22" s="1">
        <v>0.1167</v>
      </c>
    </row>
    <row r="23" spans="1:20" ht="15.75" customHeight="1">
      <c r="A23" s="1">
        <v>30</v>
      </c>
      <c r="B23" s="1">
        <v>-0.46560000000000001</v>
      </c>
      <c r="C23" s="1">
        <v>-0.61629999999999996</v>
      </c>
      <c r="D23" s="1">
        <v>-0.63290000000000002</v>
      </c>
      <c r="E23" s="1">
        <v>-0.49349999999999999</v>
      </c>
      <c r="F23" s="1">
        <v>-0.60219999999999996</v>
      </c>
      <c r="G23" s="1">
        <v>-0.6119</v>
      </c>
      <c r="H23" s="1">
        <v>-0.59079999999999999</v>
      </c>
      <c r="I23" s="1">
        <v>-0.76539999999999997</v>
      </c>
      <c r="J23" s="1">
        <v>-0.77900000000000003</v>
      </c>
      <c r="K23" s="9"/>
      <c r="L23" s="1">
        <v>4.87E-2</v>
      </c>
      <c r="M23" s="1">
        <v>9.2600000000000002E-2</v>
      </c>
      <c r="N23" s="27">
        <v>9.1999999999999998E-2</v>
      </c>
      <c r="O23" s="1">
        <v>4.0800000000000003E-2</v>
      </c>
      <c r="P23" s="1">
        <v>8.1100000000000005E-2</v>
      </c>
      <c r="Q23" s="1">
        <v>8.09E-2</v>
      </c>
      <c r="R23" s="1">
        <v>-1.9199999999999998E-2</v>
      </c>
      <c r="S23" s="1">
        <v>0.1164</v>
      </c>
      <c r="T23" s="1">
        <v>0.1167</v>
      </c>
    </row>
    <row r="24" spans="1:20" ht="15.75" customHeight="1">
      <c r="A24" s="1">
        <v>31</v>
      </c>
      <c r="B24" s="1">
        <v>-0.46850000000000003</v>
      </c>
      <c r="C24" s="1">
        <v>-0.61650000000000005</v>
      </c>
      <c r="D24" s="1">
        <v>-0.63290000000000002</v>
      </c>
      <c r="E24" s="1">
        <v>-0.49580000000000002</v>
      </c>
      <c r="F24" s="1">
        <v>-0.60229999999999995</v>
      </c>
      <c r="G24" s="1">
        <v>-0.6119</v>
      </c>
      <c r="H24" s="1">
        <v>-0.59409999999999996</v>
      </c>
      <c r="I24" s="1">
        <v>-0.76549999999999996</v>
      </c>
      <c r="J24" s="1">
        <v>-0.77900000000000003</v>
      </c>
      <c r="K24" s="9"/>
      <c r="L24" s="1">
        <v>4.9200000000000001E-2</v>
      </c>
      <c r="M24" s="1">
        <v>9.2600000000000002E-2</v>
      </c>
      <c r="N24" s="27">
        <v>9.1999999999999998E-2</v>
      </c>
      <c r="O24" s="1">
        <v>4.1399999999999999E-2</v>
      </c>
      <c r="P24" s="1">
        <v>8.1100000000000005E-2</v>
      </c>
      <c r="Q24" s="1">
        <v>8.09E-2</v>
      </c>
      <c r="R24" s="1">
        <v>-1.7399999999999999E-2</v>
      </c>
      <c r="S24" s="1">
        <v>0.1164</v>
      </c>
      <c r="T24" s="1">
        <v>0.1167</v>
      </c>
    </row>
    <row r="25" spans="1:20" ht="15.75" customHeight="1">
      <c r="A25" s="1">
        <v>32</v>
      </c>
      <c r="B25" s="1">
        <v>-0.47139999999999999</v>
      </c>
      <c r="C25" s="1">
        <v>-0.61660000000000004</v>
      </c>
      <c r="D25" s="1">
        <v>-0.63290000000000002</v>
      </c>
      <c r="E25" s="1">
        <v>-0.49809999999999999</v>
      </c>
      <c r="F25" s="1">
        <v>-0.60229999999999995</v>
      </c>
      <c r="G25" s="1">
        <v>-0.6119</v>
      </c>
      <c r="H25" s="1">
        <v>-0.59730000000000005</v>
      </c>
      <c r="I25" s="1">
        <v>-0.76570000000000005</v>
      </c>
      <c r="J25" s="1">
        <v>-0.77900000000000003</v>
      </c>
      <c r="K25" s="9"/>
      <c r="L25" s="1">
        <v>4.9599999999999998E-2</v>
      </c>
      <c r="M25" s="1">
        <v>9.2600000000000002E-2</v>
      </c>
      <c r="N25" s="27">
        <v>9.1999999999999998E-2</v>
      </c>
      <c r="O25" s="1">
        <v>4.2000000000000003E-2</v>
      </c>
      <c r="P25" s="1">
        <v>8.1100000000000005E-2</v>
      </c>
      <c r="Q25" s="1">
        <v>8.09E-2</v>
      </c>
      <c r="R25" s="1">
        <v>-1.55E-2</v>
      </c>
      <c r="S25" s="1">
        <v>0.1164</v>
      </c>
      <c r="T25" s="1">
        <v>0.1167</v>
      </c>
    </row>
    <row r="26" spans="1:20" ht="15.75" customHeight="1">
      <c r="A26" s="1">
        <v>33</v>
      </c>
      <c r="B26" s="1">
        <v>-0.4743</v>
      </c>
      <c r="C26" s="1">
        <v>-0.61680000000000001</v>
      </c>
      <c r="D26" s="1">
        <v>-0.63290000000000002</v>
      </c>
      <c r="E26" s="1">
        <v>-0.50039999999999996</v>
      </c>
      <c r="F26" s="1">
        <v>-0.60240000000000005</v>
      </c>
      <c r="G26" s="1">
        <v>-0.6119</v>
      </c>
      <c r="H26" s="1">
        <v>-0.60050000000000003</v>
      </c>
      <c r="I26" s="1">
        <v>-0.76580000000000004</v>
      </c>
      <c r="J26" s="1">
        <v>-0.77900000000000003</v>
      </c>
      <c r="K26" s="9"/>
      <c r="L26" s="1">
        <v>0.05</v>
      </c>
      <c r="M26" s="1">
        <v>9.2600000000000002E-2</v>
      </c>
      <c r="N26" s="27">
        <v>9.1999999999999998E-2</v>
      </c>
      <c r="O26" s="1">
        <v>4.2599999999999999E-2</v>
      </c>
      <c r="P26" s="1">
        <v>8.1100000000000005E-2</v>
      </c>
      <c r="Q26" s="1">
        <v>8.09E-2</v>
      </c>
      <c r="R26" s="1">
        <v>-1.37E-2</v>
      </c>
      <c r="S26" s="1">
        <v>0.11650000000000001</v>
      </c>
      <c r="T26" s="1">
        <v>0.1167</v>
      </c>
    </row>
    <row r="27" spans="1:20" ht="15.75" customHeight="1">
      <c r="A27" s="1">
        <v>34</v>
      </c>
      <c r="B27" s="1">
        <v>-0.4773</v>
      </c>
      <c r="C27" s="1">
        <v>-0.61699999999999999</v>
      </c>
      <c r="D27" s="1">
        <v>-0.63290000000000002</v>
      </c>
      <c r="E27" s="1">
        <v>-0.50270000000000004</v>
      </c>
      <c r="F27" s="1">
        <v>-0.60250000000000004</v>
      </c>
      <c r="G27" s="1">
        <v>-0.6119</v>
      </c>
      <c r="H27" s="1">
        <v>-0.60370000000000001</v>
      </c>
      <c r="I27" s="1">
        <v>-0.76590000000000003</v>
      </c>
      <c r="J27" s="1">
        <v>-0.77900000000000003</v>
      </c>
      <c r="K27" s="9"/>
      <c r="L27" s="1">
        <v>5.04E-2</v>
      </c>
      <c r="M27" s="1">
        <v>9.2600000000000002E-2</v>
      </c>
      <c r="N27" s="27">
        <v>9.1999999999999998E-2</v>
      </c>
      <c r="O27" s="1">
        <v>4.3200000000000002E-2</v>
      </c>
      <c r="P27" s="1">
        <v>8.1100000000000005E-2</v>
      </c>
      <c r="Q27" s="1">
        <v>8.09E-2</v>
      </c>
      <c r="R27" s="1">
        <v>-1.1900000000000001E-2</v>
      </c>
      <c r="S27" s="1">
        <v>0.11650000000000001</v>
      </c>
      <c r="T27" s="1">
        <v>0.1167</v>
      </c>
    </row>
    <row r="28" spans="1:20" ht="15.75" customHeight="1">
      <c r="A28" s="1">
        <v>35</v>
      </c>
      <c r="B28" s="1">
        <v>-0.48020000000000002</v>
      </c>
      <c r="C28" s="1">
        <v>-0.61709999999999998</v>
      </c>
      <c r="D28" s="1">
        <v>-0.63290000000000002</v>
      </c>
      <c r="E28" s="1">
        <v>-0.505</v>
      </c>
      <c r="F28" s="1">
        <v>-0.60250000000000004</v>
      </c>
      <c r="G28" s="1">
        <v>-0.6119</v>
      </c>
      <c r="H28" s="1">
        <v>-0.60699999999999998</v>
      </c>
      <c r="I28" s="1">
        <v>-0.7661</v>
      </c>
      <c r="J28" s="1">
        <v>-0.77900000000000003</v>
      </c>
      <c r="K28" s="9"/>
      <c r="L28" s="1">
        <v>5.0900000000000001E-2</v>
      </c>
      <c r="M28" s="1">
        <v>9.2600000000000002E-2</v>
      </c>
      <c r="N28" s="27">
        <v>9.1999999999999998E-2</v>
      </c>
      <c r="O28" s="1">
        <v>4.3799999999999999E-2</v>
      </c>
      <c r="P28" s="1">
        <v>8.1100000000000005E-2</v>
      </c>
      <c r="Q28" s="1">
        <v>8.09E-2</v>
      </c>
      <c r="R28" s="1">
        <v>-0.01</v>
      </c>
      <c r="S28" s="1">
        <v>0.11650000000000001</v>
      </c>
      <c r="T28" s="1">
        <v>0.1167</v>
      </c>
    </row>
    <row r="29" spans="1:20" ht="15.75" customHeight="1">
      <c r="L29" s="1">
        <v>4</v>
      </c>
      <c r="M29" s="1" t="s">
        <v>543</v>
      </c>
      <c r="O29" s="1">
        <v>3</v>
      </c>
      <c r="P29" s="1" t="s">
        <v>544</v>
      </c>
      <c r="R29" s="1">
        <v>1</v>
      </c>
      <c r="S29" s="1" t="s">
        <v>545</v>
      </c>
    </row>
  </sheetData>
  <mergeCells count="5">
    <mergeCell ref="B1:D1"/>
    <mergeCell ref="E1:G1"/>
    <mergeCell ref="L1:N1"/>
    <mergeCell ref="O1:Q1"/>
    <mergeCell ref="R1:T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FE6D-C780-4120-8354-A596268FA39A}">
  <sheetPr>
    <outlinePr summaryBelow="0" summaryRight="0"/>
  </sheetPr>
  <dimension ref="A1:T29"/>
  <sheetViews>
    <sheetView workbookViewId="0"/>
  </sheetViews>
  <sheetFormatPr defaultColWidth="12.6640625" defaultRowHeight="15.75" customHeight="1"/>
  <cols>
    <col min="1" max="10" width="12.6640625" style="2"/>
    <col min="11" max="11" width="2.109375" style="2" customWidth="1"/>
    <col min="12" max="16384" width="12.6640625" style="2"/>
  </cols>
  <sheetData>
    <row r="1" spans="1:20" ht="15.75" customHeight="1">
      <c r="B1" s="71" t="s">
        <v>536</v>
      </c>
      <c r="C1" s="5"/>
      <c r="D1" s="5"/>
      <c r="E1" s="71" t="s">
        <v>537</v>
      </c>
      <c r="F1" s="5"/>
      <c r="G1" s="5"/>
      <c r="H1" s="1" t="s">
        <v>538</v>
      </c>
      <c r="K1" s="125" t="s">
        <v>546</v>
      </c>
      <c r="L1" s="71" t="s">
        <v>539</v>
      </c>
      <c r="M1" s="5"/>
      <c r="N1" s="5"/>
      <c r="O1" s="71" t="s">
        <v>540</v>
      </c>
      <c r="P1" s="5"/>
      <c r="Q1" s="5"/>
      <c r="R1" s="71" t="s">
        <v>515</v>
      </c>
      <c r="S1" s="5"/>
      <c r="T1" s="5"/>
    </row>
    <row r="2" spans="1:20" ht="15.75" customHeight="1">
      <c r="A2" s="1" t="s">
        <v>541</v>
      </c>
      <c r="B2" s="1" t="s">
        <v>547</v>
      </c>
      <c r="C2" s="1" t="s">
        <v>548</v>
      </c>
      <c r="D2" s="1" t="s">
        <v>60</v>
      </c>
      <c r="E2" s="1" t="s">
        <v>547</v>
      </c>
      <c r="F2" s="1" t="s">
        <v>548</v>
      </c>
      <c r="G2" s="1" t="s">
        <v>60</v>
      </c>
      <c r="H2" s="1" t="s">
        <v>547</v>
      </c>
      <c r="I2" s="1" t="s">
        <v>548</v>
      </c>
      <c r="J2" s="1" t="s">
        <v>60</v>
      </c>
      <c r="K2" s="125"/>
      <c r="L2" s="1" t="s">
        <v>547</v>
      </c>
      <c r="M2" s="1" t="s">
        <v>548</v>
      </c>
      <c r="N2" s="1" t="s">
        <v>60</v>
      </c>
      <c r="O2" s="1" t="s">
        <v>547</v>
      </c>
      <c r="P2" s="1" t="s">
        <v>548</v>
      </c>
      <c r="Q2" s="1" t="s">
        <v>60</v>
      </c>
      <c r="R2" s="1" t="s">
        <v>547</v>
      </c>
      <c r="S2" s="1" t="s">
        <v>548</v>
      </c>
      <c r="T2" s="1" t="s">
        <v>60</v>
      </c>
    </row>
    <row r="3" spans="1:20" ht="15.75" customHeight="1">
      <c r="A3" s="1">
        <v>10</v>
      </c>
      <c r="B3" s="1">
        <v>-0.39979999999999999</v>
      </c>
      <c r="C3" s="1">
        <v>-0.61240000000000006</v>
      </c>
      <c r="D3" s="1">
        <v>-0.63290000000000002</v>
      </c>
      <c r="E3" s="1">
        <v>-0.44409999999999999</v>
      </c>
      <c r="F3" s="1">
        <v>-0.60040000000000004</v>
      </c>
      <c r="G3" s="1">
        <v>-0.6119</v>
      </c>
      <c r="H3" s="1">
        <v>-0.5252</v>
      </c>
      <c r="I3" s="1">
        <v>-0.76300000000000001</v>
      </c>
      <c r="J3" s="1">
        <v>-0.77900000000000003</v>
      </c>
      <c r="K3" s="125"/>
      <c r="L3" s="1">
        <v>4.3200000000000002E-2</v>
      </c>
      <c r="M3" s="1">
        <v>9.2700000000000005E-2</v>
      </c>
      <c r="N3" s="1">
        <v>9.1999999999999998E-2</v>
      </c>
      <c r="O3" s="1">
        <v>3.1399999999999997E-2</v>
      </c>
      <c r="P3" s="1">
        <v>8.1100000000000005E-2</v>
      </c>
      <c r="Q3" s="1">
        <v>8.09E-2</v>
      </c>
      <c r="R3" s="1">
        <v>-5.0099999999999999E-2</v>
      </c>
      <c r="S3" s="1">
        <v>0.1163</v>
      </c>
      <c r="T3" s="1">
        <v>0.1167</v>
      </c>
    </row>
    <row r="4" spans="1:20" ht="15.75" customHeight="1">
      <c r="A4" s="1">
        <v>11</v>
      </c>
      <c r="B4" s="1">
        <v>-0.4027</v>
      </c>
      <c r="C4" s="1">
        <v>-0.61260000000000003</v>
      </c>
      <c r="E4" s="1">
        <v>-0.44640000000000002</v>
      </c>
      <c r="F4" s="1">
        <v>-0.60050000000000003</v>
      </c>
      <c r="H4" s="1">
        <v>-0.52849999999999997</v>
      </c>
      <c r="I4" s="1">
        <v>-0.7631</v>
      </c>
      <c r="K4" s="125"/>
      <c r="L4" s="1">
        <v>4.3700000000000003E-2</v>
      </c>
      <c r="M4" s="1">
        <v>9.2700000000000005E-2</v>
      </c>
      <c r="O4" s="1">
        <v>3.2099999999999997E-2</v>
      </c>
      <c r="P4" s="1">
        <v>8.1100000000000005E-2</v>
      </c>
      <c r="R4" s="1">
        <v>-4.82E-2</v>
      </c>
      <c r="S4" s="1">
        <v>0.1163</v>
      </c>
    </row>
    <row r="5" spans="1:20" ht="15.75" customHeight="1">
      <c r="A5" s="1">
        <v>12</v>
      </c>
      <c r="B5" s="1">
        <v>-0.40560000000000002</v>
      </c>
      <c r="C5" s="1">
        <v>-0.61280000000000001</v>
      </c>
      <c r="E5" s="1">
        <v>-0.44879999999999998</v>
      </c>
      <c r="F5" s="1">
        <v>-0.60060000000000002</v>
      </c>
      <c r="H5" s="1">
        <v>-0.53169999999999995</v>
      </c>
      <c r="I5" s="1">
        <v>-0.76329999999999998</v>
      </c>
      <c r="K5" s="125"/>
      <c r="L5" s="1">
        <v>4.4299999999999999E-2</v>
      </c>
      <c r="M5" s="1">
        <v>9.2700000000000005E-2</v>
      </c>
      <c r="O5" s="1">
        <v>3.2899999999999999E-2</v>
      </c>
      <c r="P5" s="1">
        <v>8.1100000000000005E-2</v>
      </c>
      <c r="R5" s="1">
        <v>-4.6300000000000001E-2</v>
      </c>
      <c r="S5" s="1">
        <v>0.1163</v>
      </c>
    </row>
    <row r="6" spans="1:20" ht="15.75" customHeight="1">
      <c r="A6" s="1">
        <v>13</v>
      </c>
      <c r="B6" s="1">
        <v>-0.40860000000000002</v>
      </c>
      <c r="C6" s="1">
        <v>-0.6129</v>
      </c>
      <c r="E6" s="1">
        <v>-0.4511</v>
      </c>
      <c r="F6" s="1">
        <v>-0.60060000000000002</v>
      </c>
      <c r="H6" s="1">
        <v>-0.53490000000000004</v>
      </c>
      <c r="I6" s="1">
        <v>-0.76339999999999997</v>
      </c>
      <c r="K6" s="125"/>
      <c r="L6" s="1">
        <v>4.48E-2</v>
      </c>
      <c r="M6" s="1">
        <v>9.2700000000000005E-2</v>
      </c>
      <c r="O6" s="1">
        <v>3.3599999999999998E-2</v>
      </c>
      <c r="P6" s="1">
        <v>8.1100000000000005E-2</v>
      </c>
      <c r="R6" s="1">
        <v>-4.4400000000000002E-2</v>
      </c>
      <c r="S6" s="1">
        <v>0.1163</v>
      </c>
    </row>
    <row r="7" spans="1:20" ht="15.75" customHeight="1">
      <c r="A7" s="1">
        <v>14</v>
      </c>
      <c r="B7" s="1">
        <v>-0.41149999999999998</v>
      </c>
      <c r="C7" s="1">
        <v>-0.61309999999999998</v>
      </c>
      <c r="E7" s="1">
        <v>-0.45340000000000003</v>
      </c>
      <c r="F7" s="1">
        <v>-0.60070000000000001</v>
      </c>
      <c r="H7" s="1">
        <v>-0.53820000000000001</v>
      </c>
      <c r="I7" s="1">
        <v>-0.76349999999999996</v>
      </c>
      <c r="K7" s="125"/>
      <c r="L7" s="1">
        <v>4.53E-2</v>
      </c>
      <c r="M7" s="1">
        <v>9.2700000000000005E-2</v>
      </c>
      <c r="O7" s="1">
        <v>3.44E-2</v>
      </c>
      <c r="P7" s="1">
        <v>8.1100000000000005E-2</v>
      </c>
      <c r="R7" s="1">
        <v>-4.2500000000000003E-2</v>
      </c>
      <c r="S7" s="1">
        <v>0.1163</v>
      </c>
    </row>
    <row r="8" spans="1:20" ht="15.75" customHeight="1">
      <c r="A8" s="1">
        <v>15</v>
      </c>
      <c r="B8" s="1">
        <v>-0.41439999999999999</v>
      </c>
      <c r="C8" s="1">
        <v>-0.61319999999999997</v>
      </c>
      <c r="E8" s="1">
        <v>-0.45579999999999998</v>
      </c>
      <c r="F8" s="1">
        <v>-0.6008</v>
      </c>
      <c r="H8" s="1">
        <v>-0.54139999999999999</v>
      </c>
      <c r="I8" s="1">
        <v>-0.76359999999999995</v>
      </c>
      <c r="K8" s="125"/>
      <c r="L8" s="1">
        <v>4.58E-2</v>
      </c>
      <c r="M8" s="1">
        <v>9.2700000000000005E-2</v>
      </c>
      <c r="O8" s="1">
        <v>3.5099999999999999E-2</v>
      </c>
      <c r="P8" s="1">
        <v>8.1100000000000005E-2</v>
      </c>
      <c r="R8" s="1">
        <v>-4.0599999999999997E-2</v>
      </c>
      <c r="S8" s="1">
        <v>0.1164</v>
      </c>
    </row>
    <row r="9" spans="1:20" ht="15.75" customHeight="1">
      <c r="A9" s="1">
        <v>16</v>
      </c>
      <c r="B9" s="1">
        <v>-0.4173</v>
      </c>
      <c r="C9" s="1">
        <v>-0.61339999999999995</v>
      </c>
      <c r="E9" s="1">
        <v>-0.45810000000000001</v>
      </c>
      <c r="F9" s="1">
        <v>-0.6008</v>
      </c>
      <c r="H9" s="1">
        <v>-0.54469999999999996</v>
      </c>
      <c r="I9" s="1">
        <v>-0.76370000000000005</v>
      </c>
      <c r="K9" s="125"/>
      <c r="L9" s="1">
        <v>4.6399999999999997E-2</v>
      </c>
      <c r="M9" s="1">
        <v>9.2700000000000005E-2</v>
      </c>
      <c r="O9" s="1">
        <v>3.5900000000000001E-2</v>
      </c>
      <c r="P9" s="1">
        <v>8.1100000000000005E-2</v>
      </c>
      <c r="R9" s="1">
        <v>-3.8699999999999998E-2</v>
      </c>
      <c r="S9" s="1">
        <v>0.1164</v>
      </c>
    </row>
    <row r="10" spans="1:20" ht="15.75" customHeight="1">
      <c r="A10" s="1">
        <v>17</v>
      </c>
      <c r="B10" s="1">
        <v>-0.42030000000000001</v>
      </c>
      <c r="C10" s="1">
        <v>-0.61360000000000003</v>
      </c>
      <c r="E10" s="1">
        <v>-0.46039999999999998</v>
      </c>
      <c r="F10" s="1">
        <v>-0.60089999999999999</v>
      </c>
      <c r="H10" s="1">
        <v>-0.54790000000000005</v>
      </c>
      <c r="I10" s="1">
        <v>-0.76390000000000002</v>
      </c>
      <c r="K10" s="125"/>
      <c r="L10" s="1">
        <v>4.6899999999999997E-2</v>
      </c>
      <c r="M10" s="1">
        <v>9.2700000000000005E-2</v>
      </c>
      <c r="O10" s="1">
        <v>3.6600000000000001E-2</v>
      </c>
      <c r="P10" s="1">
        <v>8.1100000000000005E-2</v>
      </c>
      <c r="R10" s="1">
        <v>-3.6799999999999999E-2</v>
      </c>
      <c r="S10" s="1">
        <v>0.1164</v>
      </c>
    </row>
    <row r="11" spans="1:20" ht="15.75" customHeight="1">
      <c r="A11" s="1">
        <v>18</v>
      </c>
      <c r="B11" s="1">
        <v>-0.42320000000000002</v>
      </c>
      <c r="C11" s="1">
        <v>-0.61370000000000002</v>
      </c>
      <c r="E11" s="1">
        <v>-0.46279999999999999</v>
      </c>
      <c r="F11" s="1">
        <v>-0.60099999999999998</v>
      </c>
      <c r="H11" s="1">
        <v>-0.55110000000000003</v>
      </c>
      <c r="I11" s="1">
        <v>-0.76400000000000001</v>
      </c>
      <c r="K11" s="125"/>
      <c r="L11" s="1">
        <v>4.7399999999999998E-2</v>
      </c>
      <c r="M11" s="1">
        <v>9.2700000000000005E-2</v>
      </c>
      <c r="O11" s="1">
        <v>3.7400000000000003E-2</v>
      </c>
      <c r="P11" s="1">
        <v>8.1100000000000005E-2</v>
      </c>
      <c r="R11" s="1">
        <v>-3.49E-2</v>
      </c>
      <c r="S11" s="1">
        <v>0.1164</v>
      </c>
    </row>
    <row r="12" spans="1:20" ht="15.75" customHeight="1">
      <c r="A12" s="1">
        <v>19</v>
      </c>
      <c r="B12" s="1">
        <v>-0.42609999999999998</v>
      </c>
      <c r="C12" s="1">
        <v>-0.6139</v>
      </c>
      <c r="E12" s="1">
        <v>-0.46510000000000001</v>
      </c>
      <c r="F12" s="1">
        <v>-0.60099999999999998</v>
      </c>
      <c r="H12" s="1">
        <v>-0.5544</v>
      </c>
      <c r="I12" s="1">
        <v>-0.7641</v>
      </c>
      <c r="K12" s="125"/>
      <c r="L12" s="1">
        <v>4.7899999999999998E-2</v>
      </c>
      <c r="M12" s="1">
        <v>9.2700000000000005E-2</v>
      </c>
      <c r="O12" s="1">
        <v>3.8100000000000002E-2</v>
      </c>
      <c r="P12" s="1">
        <v>8.1100000000000005E-2</v>
      </c>
      <c r="R12" s="1">
        <v>-3.3000000000000002E-2</v>
      </c>
      <c r="S12" s="1">
        <v>0.1164</v>
      </c>
    </row>
    <row r="13" spans="1:20" ht="15.75" customHeight="1">
      <c r="A13" s="1">
        <v>20</v>
      </c>
      <c r="B13" s="1">
        <v>-0.42909999999999998</v>
      </c>
      <c r="C13" s="1">
        <v>-0.61399999999999999</v>
      </c>
      <c r="E13" s="1">
        <v>-0.46739999999999998</v>
      </c>
      <c r="F13" s="1">
        <v>-0.60109999999999997</v>
      </c>
      <c r="H13" s="1">
        <v>-0.55759999999999998</v>
      </c>
      <c r="I13" s="1">
        <v>-0.76419999999999999</v>
      </c>
      <c r="K13" s="125"/>
      <c r="L13" s="1">
        <v>4.8399999999999999E-2</v>
      </c>
      <c r="M13" s="1">
        <v>9.2700000000000005E-2</v>
      </c>
      <c r="O13" s="1">
        <v>3.8800000000000001E-2</v>
      </c>
      <c r="P13" s="1">
        <v>8.1100000000000005E-2</v>
      </c>
      <c r="R13" s="1">
        <v>-3.1099999999999999E-2</v>
      </c>
      <c r="S13" s="1">
        <v>0.1164</v>
      </c>
    </row>
    <row r="14" spans="1:20" ht="15.75" customHeight="1">
      <c r="A14" s="1">
        <v>21</v>
      </c>
      <c r="B14" s="1">
        <v>-0.432</v>
      </c>
      <c r="C14" s="1">
        <v>-0.61419999999999997</v>
      </c>
      <c r="E14" s="1">
        <v>-0.4698</v>
      </c>
      <c r="F14" s="1">
        <v>-0.60109999999999997</v>
      </c>
      <c r="H14" s="1">
        <v>-0.56089999999999995</v>
      </c>
      <c r="I14" s="1">
        <v>-0.76439999999999997</v>
      </c>
      <c r="K14" s="125"/>
      <c r="L14" s="1">
        <v>4.8899999999999999E-2</v>
      </c>
      <c r="M14" s="1">
        <v>9.2700000000000005E-2</v>
      </c>
      <c r="O14" s="1">
        <v>3.9600000000000003E-2</v>
      </c>
      <c r="P14" s="1">
        <v>8.1100000000000005E-2</v>
      </c>
      <c r="R14" s="1">
        <v>-2.92E-2</v>
      </c>
      <c r="S14" s="1">
        <v>0.1164</v>
      </c>
    </row>
    <row r="15" spans="1:20" ht="15.75" customHeight="1">
      <c r="A15" s="1">
        <v>22</v>
      </c>
      <c r="B15" s="1">
        <v>-0.435</v>
      </c>
      <c r="C15" s="1">
        <v>-0.61439999999999995</v>
      </c>
      <c r="E15" s="1">
        <v>-0.47210000000000002</v>
      </c>
      <c r="F15" s="1">
        <v>-0.60119999999999996</v>
      </c>
      <c r="H15" s="1">
        <v>-0.56410000000000005</v>
      </c>
      <c r="I15" s="1">
        <v>-0.76449999999999996</v>
      </c>
      <c r="K15" s="125"/>
      <c r="L15" s="1">
        <v>4.9399999999999999E-2</v>
      </c>
      <c r="M15" s="1">
        <v>9.2700000000000005E-2</v>
      </c>
      <c r="O15" s="1">
        <v>4.0300000000000002E-2</v>
      </c>
      <c r="P15" s="1">
        <v>8.1100000000000005E-2</v>
      </c>
      <c r="R15" s="1">
        <v>-2.7300000000000001E-2</v>
      </c>
      <c r="S15" s="1">
        <v>0.1164</v>
      </c>
    </row>
    <row r="16" spans="1:20" ht="15.75" customHeight="1">
      <c r="A16" s="1">
        <v>23</v>
      </c>
      <c r="B16" s="1">
        <v>-0.43790000000000001</v>
      </c>
      <c r="C16" s="1">
        <v>-0.61450000000000005</v>
      </c>
      <c r="E16" s="1">
        <v>-0.47439999999999999</v>
      </c>
      <c r="F16" s="1">
        <v>-0.60129999999999995</v>
      </c>
      <c r="H16" s="1">
        <v>-0.56730000000000003</v>
      </c>
      <c r="I16" s="1">
        <v>-0.76459999999999995</v>
      </c>
      <c r="K16" s="125"/>
      <c r="L16" s="1">
        <v>4.99E-2</v>
      </c>
      <c r="M16" s="1">
        <v>9.2700000000000005E-2</v>
      </c>
      <c r="O16" s="1">
        <v>4.1000000000000002E-2</v>
      </c>
      <c r="P16" s="1">
        <v>8.1100000000000005E-2</v>
      </c>
      <c r="R16" s="1">
        <v>-2.5499999999999998E-2</v>
      </c>
      <c r="S16" s="1">
        <v>0.1164</v>
      </c>
    </row>
    <row r="17" spans="1:20" ht="15.75" customHeight="1">
      <c r="A17" s="1">
        <v>24</v>
      </c>
      <c r="B17" s="1">
        <v>-0.44080000000000003</v>
      </c>
      <c r="C17" s="1">
        <v>-0.61470000000000002</v>
      </c>
      <c r="E17" s="1">
        <v>-0.4768</v>
      </c>
      <c r="F17" s="1">
        <v>-0.60129999999999995</v>
      </c>
      <c r="H17" s="1">
        <v>-0.5706</v>
      </c>
      <c r="I17" s="1">
        <v>-0.76470000000000005</v>
      </c>
      <c r="K17" s="125"/>
      <c r="L17" s="1">
        <v>5.04E-2</v>
      </c>
      <c r="M17" s="1">
        <v>9.2700000000000005E-2</v>
      </c>
      <c r="O17" s="1">
        <v>4.1700000000000001E-2</v>
      </c>
      <c r="P17" s="1">
        <v>8.1100000000000005E-2</v>
      </c>
      <c r="R17" s="1">
        <v>-2.3599999999999999E-2</v>
      </c>
      <c r="S17" s="1">
        <v>0.11650000000000001</v>
      </c>
    </row>
    <row r="18" spans="1:20" ht="15.75" customHeight="1">
      <c r="A18" s="123">
        <v>25</v>
      </c>
      <c r="B18" s="123">
        <v>-0.44379999999999997</v>
      </c>
      <c r="C18" s="123">
        <v>-0.61480000000000001</v>
      </c>
      <c r="D18" s="123"/>
      <c r="E18" s="123">
        <v>-0.47910000000000003</v>
      </c>
      <c r="F18" s="123">
        <v>-0.60140000000000005</v>
      </c>
      <c r="G18" s="123"/>
      <c r="H18" s="123">
        <v>-0.57379999999999998</v>
      </c>
      <c r="I18" s="123">
        <v>-0.76480000000000004</v>
      </c>
      <c r="J18" s="123"/>
      <c r="K18" s="126"/>
      <c r="L18" s="123">
        <v>5.0900000000000001E-2</v>
      </c>
      <c r="M18" s="123">
        <v>9.2700000000000005E-2</v>
      </c>
      <c r="N18" s="123"/>
      <c r="O18" s="123">
        <v>4.2500000000000003E-2</v>
      </c>
      <c r="P18" s="123">
        <v>8.1100000000000005E-2</v>
      </c>
      <c r="Q18" s="123"/>
      <c r="R18" s="123">
        <v>-2.1700000000000001E-2</v>
      </c>
      <c r="S18" s="123">
        <v>0.11650000000000001</v>
      </c>
      <c r="T18" s="123"/>
    </row>
    <row r="19" spans="1:20" ht="15.75" customHeight="1">
      <c r="A19" s="1">
        <v>26</v>
      </c>
      <c r="B19" s="1">
        <v>-0.44669999999999999</v>
      </c>
      <c r="C19" s="1">
        <v>-0.61499999999999999</v>
      </c>
      <c r="E19" s="1">
        <v>-0.48139999999999999</v>
      </c>
      <c r="F19" s="1">
        <v>-0.60140000000000005</v>
      </c>
      <c r="H19" s="1">
        <v>-0.57709999999999995</v>
      </c>
      <c r="I19" s="1">
        <v>-0.76500000000000001</v>
      </c>
      <c r="K19" s="125"/>
      <c r="L19" s="1">
        <v>5.1400000000000001E-2</v>
      </c>
      <c r="M19" s="1">
        <v>9.2700000000000005E-2</v>
      </c>
      <c r="O19" s="1">
        <v>4.3200000000000002E-2</v>
      </c>
      <c r="P19" s="1">
        <v>8.1100000000000005E-2</v>
      </c>
      <c r="R19" s="1">
        <v>-1.9900000000000001E-2</v>
      </c>
      <c r="S19" s="1">
        <v>0.11650000000000001</v>
      </c>
    </row>
    <row r="20" spans="1:20" ht="15.75" customHeight="1">
      <c r="A20" s="1">
        <v>27</v>
      </c>
      <c r="B20" s="1">
        <v>-0.44969999999999999</v>
      </c>
      <c r="C20" s="1">
        <v>-0.61509999999999998</v>
      </c>
      <c r="E20" s="1">
        <v>-0.48370000000000002</v>
      </c>
      <c r="F20" s="1">
        <v>-0.60150000000000003</v>
      </c>
      <c r="H20" s="1">
        <v>-0.58030000000000004</v>
      </c>
      <c r="I20" s="1">
        <v>-0.7651</v>
      </c>
      <c r="K20" s="125"/>
      <c r="L20" s="1">
        <v>5.1900000000000002E-2</v>
      </c>
      <c r="M20" s="1">
        <v>9.2700000000000005E-2</v>
      </c>
      <c r="O20" s="1">
        <v>4.3900000000000002E-2</v>
      </c>
      <c r="P20" s="1">
        <v>8.1100000000000005E-2</v>
      </c>
      <c r="R20" s="1">
        <v>-1.7999999999999999E-2</v>
      </c>
      <c r="S20" s="1">
        <v>0.11650000000000001</v>
      </c>
    </row>
    <row r="21" spans="1:20" ht="15.75" customHeight="1">
      <c r="A21" s="1">
        <v>28</v>
      </c>
      <c r="B21" s="1">
        <v>-0.4526</v>
      </c>
      <c r="C21" s="1">
        <v>-0.61529999999999996</v>
      </c>
      <c r="E21" s="1">
        <v>-0.48609999999999998</v>
      </c>
      <c r="F21" s="1">
        <v>-0.60160000000000002</v>
      </c>
      <c r="H21" s="1">
        <v>-0.58360000000000001</v>
      </c>
      <c r="I21" s="1">
        <v>-0.76519999999999999</v>
      </c>
      <c r="K21" s="125"/>
      <c r="L21" s="1">
        <v>5.2400000000000002E-2</v>
      </c>
      <c r="M21" s="1">
        <v>9.2700000000000005E-2</v>
      </c>
      <c r="O21" s="1">
        <v>4.4600000000000001E-2</v>
      </c>
      <c r="P21" s="1">
        <v>8.1100000000000005E-2</v>
      </c>
      <c r="R21" s="1">
        <v>-1.6199999999999999E-2</v>
      </c>
      <c r="S21" s="1">
        <v>0.11650000000000001</v>
      </c>
    </row>
    <row r="22" spans="1:20" ht="15.75" customHeight="1">
      <c r="A22" s="1">
        <v>29</v>
      </c>
      <c r="B22" s="1">
        <v>-0.4556</v>
      </c>
      <c r="C22" s="1">
        <v>-0.61539999999999995</v>
      </c>
      <c r="E22" s="1">
        <v>-0.4884</v>
      </c>
      <c r="F22" s="1">
        <v>-0.60160000000000002</v>
      </c>
      <c r="H22" s="1">
        <v>-0.58679999999999999</v>
      </c>
      <c r="I22" s="1">
        <v>-0.76529999999999998</v>
      </c>
      <c r="K22" s="125"/>
      <c r="L22" s="1">
        <v>5.28E-2</v>
      </c>
      <c r="M22" s="1">
        <v>9.2700000000000005E-2</v>
      </c>
      <c r="O22" s="1">
        <v>4.53E-2</v>
      </c>
      <c r="P22" s="1">
        <v>8.1100000000000005E-2</v>
      </c>
      <c r="R22" s="1">
        <v>-1.43E-2</v>
      </c>
      <c r="S22" s="1">
        <v>0.11650000000000001</v>
      </c>
    </row>
    <row r="23" spans="1:20" ht="15.75" customHeight="1">
      <c r="A23" s="1">
        <v>30</v>
      </c>
      <c r="B23" s="1">
        <v>-0.45850000000000002</v>
      </c>
      <c r="C23" s="1">
        <v>-0.61560000000000004</v>
      </c>
      <c r="E23" s="1">
        <v>-0.49070000000000003</v>
      </c>
      <c r="F23" s="1">
        <v>-0.60170000000000001</v>
      </c>
      <c r="H23" s="1">
        <v>-0.59</v>
      </c>
      <c r="I23" s="1">
        <v>-0.76539999999999997</v>
      </c>
      <c r="K23" s="125"/>
      <c r="L23" s="1">
        <v>5.33E-2</v>
      </c>
      <c r="M23" s="1">
        <v>9.2700000000000005E-2</v>
      </c>
      <c r="O23" s="1">
        <v>4.6100000000000002E-2</v>
      </c>
      <c r="P23" s="1">
        <v>8.1100000000000005E-2</v>
      </c>
      <c r="R23" s="1">
        <v>-1.2500000000000001E-2</v>
      </c>
      <c r="S23" s="1">
        <v>0.11650000000000001</v>
      </c>
    </row>
    <row r="24" spans="1:20" ht="15.75" customHeight="1">
      <c r="A24" s="1">
        <v>31</v>
      </c>
      <c r="B24" s="1">
        <v>-0.46150000000000002</v>
      </c>
      <c r="C24" s="1">
        <v>-0.61570000000000003</v>
      </c>
      <c r="E24" s="1">
        <v>-0.49309999999999998</v>
      </c>
      <c r="F24" s="1">
        <v>-0.60170000000000001</v>
      </c>
      <c r="H24" s="1">
        <v>-0.59330000000000005</v>
      </c>
      <c r="I24" s="1">
        <v>-0.76549999999999996</v>
      </c>
      <c r="K24" s="125"/>
      <c r="L24" s="1">
        <v>5.3800000000000001E-2</v>
      </c>
      <c r="M24" s="1">
        <v>9.2700000000000005E-2</v>
      </c>
      <c r="O24" s="1">
        <v>4.6800000000000001E-2</v>
      </c>
      <c r="P24" s="1">
        <v>8.1100000000000005E-2</v>
      </c>
      <c r="R24" s="1">
        <v>-1.06E-2</v>
      </c>
      <c r="S24" s="1">
        <v>0.11650000000000001</v>
      </c>
    </row>
    <row r="25" spans="1:20" ht="15.75" customHeight="1">
      <c r="A25" s="1">
        <v>32</v>
      </c>
      <c r="B25" s="1">
        <v>-0.46439999999999998</v>
      </c>
      <c r="C25" s="1">
        <v>-0.6159</v>
      </c>
      <c r="E25" s="1">
        <v>-0.49540000000000001</v>
      </c>
      <c r="F25" s="1">
        <v>-0.6018</v>
      </c>
      <c r="H25" s="1">
        <v>-0.59650000000000003</v>
      </c>
      <c r="I25" s="1">
        <v>-0.76570000000000005</v>
      </c>
      <c r="K25" s="125"/>
      <c r="L25" s="1">
        <v>5.4300000000000001E-2</v>
      </c>
      <c r="M25" s="1">
        <v>9.2700000000000005E-2</v>
      </c>
      <c r="O25" s="1">
        <v>4.7500000000000001E-2</v>
      </c>
      <c r="P25" s="1">
        <v>8.1100000000000005E-2</v>
      </c>
      <c r="R25" s="1">
        <v>-8.8000000000000005E-3</v>
      </c>
      <c r="S25" s="1">
        <v>0.11650000000000001</v>
      </c>
    </row>
    <row r="26" spans="1:20" ht="15.75" customHeight="1">
      <c r="A26" s="1">
        <v>33</v>
      </c>
      <c r="B26" s="1">
        <v>-0.46739999999999998</v>
      </c>
      <c r="C26" s="1">
        <v>-0.61599999999999999</v>
      </c>
      <c r="E26" s="1">
        <v>-0.49769999999999998</v>
      </c>
      <c r="F26" s="1">
        <v>-0.6018</v>
      </c>
      <c r="H26" s="1">
        <v>-0.5998</v>
      </c>
      <c r="I26" s="1">
        <v>-0.76580000000000004</v>
      </c>
      <c r="K26" s="125"/>
      <c r="L26" s="1">
        <v>5.4699999999999999E-2</v>
      </c>
      <c r="M26" s="1">
        <v>9.2700000000000005E-2</v>
      </c>
      <c r="O26" s="1">
        <v>4.82E-2</v>
      </c>
      <c r="P26" s="1">
        <v>8.1100000000000005E-2</v>
      </c>
      <c r="R26" s="1">
        <v>-7.0000000000000001E-3</v>
      </c>
      <c r="S26" s="1">
        <v>0.1166</v>
      </c>
    </row>
    <row r="27" spans="1:20" ht="15.75" customHeight="1">
      <c r="A27" s="1">
        <v>34</v>
      </c>
      <c r="B27" s="1">
        <v>-0.4703</v>
      </c>
      <c r="C27" s="1">
        <v>-0.61619999999999997</v>
      </c>
      <c r="E27" s="1">
        <v>-0.5</v>
      </c>
      <c r="F27" s="1">
        <v>-0.60189999999999999</v>
      </c>
      <c r="H27" s="1">
        <v>-0.60299999999999998</v>
      </c>
      <c r="I27" s="1">
        <v>-0.76590000000000003</v>
      </c>
      <c r="K27" s="125"/>
      <c r="L27" s="1">
        <v>5.5199999999999999E-2</v>
      </c>
      <c r="M27" s="1">
        <v>9.2700000000000005E-2</v>
      </c>
      <c r="O27" s="1">
        <v>4.8899999999999999E-2</v>
      </c>
      <c r="P27" s="1">
        <v>8.1100000000000005E-2</v>
      </c>
      <c r="R27" s="1">
        <v>-5.1000000000000004E-3</v>
      </c>
      <c r="S27" s="1">
        <v>0.1166</v>
      </c>
    </row>
    <row r="28" spans="1:20" ht="15.75" customHeight="1">
      <c r="A28" s="1">
        <v>35</v>
      </c>
      <c r="B28" s="1">
        <v>-0.4733</v>
      </c>
      <c r="C28" s="1">
        <v>-0.61629999999999996</v>
      </c>
      <c r="E28" s="1">
        <v>-0.50239999999999996</v>
      </c>
      <c r="F28" s="1">
        <v>-0.60189999999999999</v>
      </c>
      <c r="H28" s="1">
        <v>-0.60629999999999995</v>
      </c>
      <c r="I28" s="1">
        <v>-0.76600000000000001</v>
      </c>
      <c r="K28" s="125"/>
      <c r="L28" s="1">
        <v>5.57E-2</v>
      </c>
      <c r="M28" s="1">
        <v>9.2700000000000005E-2</v>
      </c>
      <c r="O28" s="1">
        <v>4.9599999999999998E-2</v>
      </c>
      <c r="P28" s="1">
        <v>8.1100000000000005E-2</v>
      </c>
      <c r="R28" s="1">
        <v>-3.3E-3</v>
      </c>
      <c r="S28" s="1">
        <v>0.1166</v>
      </c>
    </row>
    <row r="29" spans="1:20" ht="15.75" customHeight="1">
      <c r="L29" s="1">
        <v>4</v>
      </c>
      <c r="M29" s="1" t="s">
        <v>543</v>
      </c>
      <c r="O29" s="1">
        <v>3</v>
      </c>
      <c r="P29" s="1" t="s">
        <v>544</v>
      </c>
      <c r="R29" s="1">
        <v>1</v>
      </c>
      <c r="S29" s="1" t="s">
        <v>545</v>
      </c>
    </row>
  </sheetData>
  <mergeCells count="5">
    <mergeCell ref="B1:D1"/>
    <mergeCell ref="E1:G1"/>
    <mergeCell ref="L1:N1"/>
    <mergeCell ref="O1:Q1"/>
    <mergeCell ref="R1:T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46B4-23DE-47C2-910F-0D63B047B86B}">
  <sheetPr>
    <outlinePr summaryBelow="0" summaryRight="0"/>
  </sheetPr>
  <dimension ref="A1:T1000"/>
  <sheetViews>
    <sheetView workbookViewId="0"/>
  </sheetViews>
  <sheetFormatPr defaultColWidth="12.6640625" defaultRowHeight="15.75" customHeight="1"/>
  <cols>
    <col min="1" max="10" width="12.6640625" style="2"/>
    <col min="11" max="11" width="2.109375" style="2" customWidth="1"/>
    <col min="12" max="16384" width="12.6640625" style="2"/>
  </cols>
  <sheetData>
    <row r="1" spans="1:20" ht="15.75" customHeight="1">
      <c r="B1" s="71" t="s">
        <v>536</v>
      </c>
      <c r="C1" s="5"/>
      <c r="D1" s="5"/>
      <c r="E1" s="71" t="s">
        <v>537</v>
      </c>
      <c r="F1" s="5"/>
      <c r="G1" s="5"/>
      <c r="H1" s="1" t="s">
        <v>538</v>
      </c>
      <c r="K1" s="9"/>
      <c r="L1" s="71" t="s">
        <v>539</v>
      </c>
      <c r="M1" s="5"/>
      <c r="N1" s="5"/>
      <c r="O1" s="71" t="s">
        <v>540</v>
      </c>
      <c r="P1" s="5"/>
      <c r="Q1" s="5"/>
      <c r="R1" s="71" t="s">
        <v>515</v>
      </c>
      <c r="S1" s="5"/>
      <c r="T1" s="5"/>
    </row>
    <row r="2" spans="1:20" ht="15.75" customHeight="1">
      <c r="A2" s="1" t="s">
        <v>541</v>
      </c>
      <c r="B2" s="1" t="s">
        <v>265</v>
      </c>
      <c r="C2" s="1" t="s">
        <v>549</v>
      </c>
      <c r="D2" s="1" t="s">
        <v>60</v>
      </c>
      <c r="E2" s="1" t="s">
        <v>265</v>
      </c>
      <c r="F2" s="1" t="s">
        <v>549</v>
      </c>
      <c r="G2" s="1" t="s">
        <v>60</v>
      </c>
      <c r="H2" s="1" t="s">
        <v>265</v>
      </c>
      <c r="I2" s="1" t="s">
        <v>549</v>
      </c>
      <c r="J2" s="1" t="s">
        <v>60</v>
      </c>
      <c r="K2" s="9"/>
      <c r="L2" s="1" t="s">
        <v>265</v>
      </c>
      <c r="M2" s="1" t="s">
        <v>549</v>
      </c>
      <c r="N2" s="1" t="s">
        <v>60</v>
      </c>
      <c r="O2" s="1" t="s">
        <v>265</v>
      </c>
      <c r="P2" s="1" t="s">
        <v>549</v>
      </c>
      <c r="Q2" s="1" t="s">
        <v>60</v>
      </c>
      <c r="R2" s="1" t="s">
        <v>265</v>
      </c>
      <c r="S2" s="1" t="s">
        <v>549</v>
      </c>
      <c r="T2" s="1" t="s">
        <v>60</v>
      </c>
    </row>
    <row r="3" spans="1:20" ht="15.75" customHeight="1">
      <c r="A3" s="1">
        <v>10</v>
      </c>
      <c r="B3" s="1">
        <v>-0.41870000000000002</v>
      </c>
      <c r="C3" s="1">
        <v>-0.61419999999999997</v>
      </c>
      <c r="D3" s="1">
        <v>-0.63290000000000002</v>
      </c>
      <c r="E3" s="1">
        <v>-0.4592</v>
      </c>
      <c r="F3" s="1">
        <v>-0.60129999999999995</v>
      </c>
      <c r="G3" s="1">
        <v>-0.6119</v>
      </c>
      <c r="H3" s="1">
        <v>-0.55169999999999997</v>
      </c>
      <c r="I3" s="1">
        <v>-0.76439999999999997</v>
      </c>
      <c r="J3" s="1">
        <v>-0.77900000000000003</v>
      </c>
      <c r="K3" s="9"/>
      <c r="L3" s="1">
        <v>7.5800000000000006E-2</v>
      </c>
      <c r="M3" s="1">
        <v>9.2899999999999996E-2</v>
      </c>
      <c r="N3" s="1">
        <v>9.1999999999999998E-2</v>
      </c>
      <c r="O3" s="27">
        <v>6.7900000000000002E-2</v>
      </c>
      <c r="P3" s="1">
        <v>8.1199999999999994E-2</v>
      </c>
      <c r="Q3" s="1">
        <v>8.09E-2</v>
      </c>
      <c r="R3" s="1">
        <v>-4.3400000000000001E-2</v>
      </c>
      <c r="S3" s="1">
        <v>0.11650000000000001</v>
      </c>
      <c r="T3" s="1">
        <v>0.1167</v>
      </c>
    </row>
    <row r="4" spans="1:20" ht="15.75" customHeight="1">
      <c r="A4" s="1">
        <v>11</v>
      </c>
      <c r="B4" s="1">
        <v>-0.42130000000000001</v>
      </c>
      <c r="C4" s="1">
        <v>-0.61429999999999996</v>
      </c>
      <c r="E4" s="1">
        <v>-0.46129999999999999</v>
      </c>
      <c r="F4" s="1">
        <v>-0.60140000000000005</v>
      </c>
      <c r="H4" s="1">
        <v>-0.55459999999999998</v>
      </c>
      <c r="I4" s="1">
        <v>-0.76449999999999996</v>
      </c>
      <c r="K4" s="9"/>
      <c r="L4" s="1">
        <v>7.5800000000000006E-2</v>
      </c>
      <c r="M4" s="1">
        <v>9.2899999999999996E-2</v>
      </c>
      <c r="O4" s="27">
        <v>6.8000000000000005E-2</v>
      </c>
      <c r="P4" s="1">
        <v>8.1199999999999994E-2</v>
      </c>
      <c r="R4" s="1">
        <v>-4.1599999999999998E-2</v>
      </c>
      <c r="S4" s="1">
        <v>0.11650000000000001</v>
      </c>
    </row>
    <row r="5" spans="1:20" ht="15.75" customHeight="1">
      <c r="A5" s="1">
        <v>12</v>
      </c>
      <c r="B5" s="1">
        <v>-0.42399999999999999</v>
      </c>
      <c r="C5" s="1">
        <v>-0.61450000000000005</v>
      </c>
      <c r="E5" s="1">
        <v>-0.46339999999999998</v>
      </c>
      <c r="F5" s="1">
        <v>-0.60150000000000003</v>
      </c>
      <c r="H5" s="1">
        <v>-0.55740000000000001</v>
      </c>
      <c r="I5" s="1">
        <v>-0.76459999999999995</v>
      </c>
      <c r="K5" s="9"/>
      <c r="L5" s="1">
        <v>7.5700000000000003E-2</v>
      </c>
      <c r="M5" s="1">
        <v>9.2899999999999996E-2</v>
      </c>
      <c r="O5" s="27">
        <v>6.8199999999999997E-2</v>
      </c>
      <c r="P5" s="1">
        <v>8.1199999999999994E-2</v>
      </c>
      <c r="R5" s="1">
        <v>-3.9800000000000002E-2</v>
      </c>
      <c r="S5" s="1">
        <v>0.11650000000000001</v>
      </c>
    </row>
    <row r="6" spans="1:20" ht="15.75" customHeight="1">
      <c r="A6" s="1">
        <v>13</v>
      </c>
      <c r="B6" s="1">
        <v>-0.42670000000000002</v>
      </c>
      <c r="C6" s="1">
        <v>-0.61470000000000002</v>
      </c>
      <c r="E6" s="1">
        <v>-0.46550000000000002</v>
      </c>
      <c r="F6" s="1">
        <v>-0.60160000000000002</v>
      </c>
      <c r="H6" s="1">
        <v>-0.56020000000000003</v>
      </c>
      <c r="I6" s="1">
        <v>-0.76470000000000005</v>
      </c>
      <c r="K6" s="9"/>
      <c r="L6" s="1">
        <v>7.5700000000000003E-2</v>
      </c>
      <c r="M6" s="1">
        <v>9.2899999999999996E-2</v>
      </c>
      <c r="O6" s="27">
        <v>6.8400000000000002E-2</v>
      </c>
      <c r="P6" s="1">
        <v>8.1199999999999994E-2</v>
      </c>
      <c r="R6" s="1">
        <v>-3.7999999999999999E-2</v>
      </c>
      <c r="S6" s="1">
        <v>0.11650000000000001</v>
      </c>
    </row>
    <row r="7" spans="1:20" ht="15.75" customHeight="1">
      <c r="A7" s="1">
        <v>14</v>
      </c>
      <c r="B7" s="1">
        <v>-0.42930000000000001</v>
      </c>
      <c r="C7" s="1">
        <v>-0.61480000000000001</v>
      </c>
      <c r="E7" s="1">
        <v>-0.46760000000000002</v>
      </c>
      <c r="F7" s="1">
        <v>-0.60160000000000002</v>
      </c>
      <c r="H7" s="1">
        <v>-0.56299999999999994</v>
      </c>
      <c r="I7" s="1">
        <v>-0.76490000000000002</v>
      </c>
      <c r="K7" s="9"/>
      <c r="L7" s="1">
        <v>7.5700000000000003E-2</v>
      </c>
      <c r="M7" s="1">
        <v>9.2899999999999996E-2</v>
      </c>
      <c r="O7" s="27">
        <v>6.8599999999999994E-2</v>
      </c>
      <c r="P7" s="1">
        <v>8.1199999999999994E-2</v>
      </c>
      <c r="R7" s="1">
        <v>-3.6200000000000003E-2</v>
      </c>
      <c r="S7" s="1">
        <v>0.11650000000000001</v>
      </c>
    </row>
    <row r="8" spans="1:20" ht="15.75" customHeight="1">
      <c r="A8" s="1">
        <v>15</v>
      </c>
      <c r="B8" s="1">
        <v>-0.432</v>
      </c>
      <c r="C8" s="1">
        <v>-0.61499999999999999</v>
      </c>
      <c r="E8" s="1">
        <v>-0.46970000000000001</v>
      </c>
      <c r="F8" s="1">
        <v>-0.60170000000000001</v>
      </c>
      <c r="H8" s="1">
        <v>-0.56579999999999997</v>
      </c>
      <c r="I8" s="1">
        <v>-0.76500000000000001</v>
      </c>
      <c r="K8" s="9"/>
      <c r="L8" s="1">
        <v>7.5700000000000003E-2</v>
      </c>
      <c r="M8" s="1">
        <v>9.2899999999999996E-2</v>
      </c>
      <c r="O8" s="27">
        <v>6.88E-2</v>
      </c>
      <c r="P8" s="1">
        <v>8.1199999999999994E-2</v>
      </c>
      <c r="R8" s="1">
        <v>-3.44E-2</v>
      </c>
      <c r="S8" s="1">
        <v>0.1166</v>
      </c>
    </row>
    <row r="9" spans="1:20" ht="15.75" customHeight="1">
      <c r="A9" s="1">
        <v>16</v>
      </c>
      <c r="B9" s="1">
        <v>-0.43469999999999998</v>
      </c>
      <c r="C9" s="1">
        <v>-0.61509999999999998</v>
      </c>
      <c r="E9" s="1">
        <v>-0.4718</v>
      </c>
      <c r="F9" s="1">
        <v>-0.6018</v>
      </c>
      <c r="H9" s="1">
        <v>-0.56859999999999999</v>
      </c>
      <c r="I9" s="1">
        <v>-0.7651</v>
      </c>
      <c r="K9" s="9"/>
      <c r="L9" s="1">
        <v>7.5700000000000003E-2</v>
      </c>
      <c r="M9" s="1">
        <v>9.2799999999999994E-2</v>
      </c>
      <c r="O9" s="27">
        <v>6.9000000000000006E-2</v>
      </c>
      <c r="P9" s="1">
        <v>8.1199999999999994E-2</v>
      </c>
      <c r="R9" s="1">
        <v>-3.2599999999999997E-2</v>
      </c>
      <c r="S9" s="1">
        <v>0.1166</v>
      </c>
    </row>
    <row r="10" spans="1:20" ht="15.75" customHeight="1">
      <c r="A10" s="1">
        <v>17</v>
      </c>
      <c r="B10" s="1">
        <v>-0.43740000000000001</v>
      </c>
      <c r="C10" s="1">
        <v>-0.61529999999999996</v>
      </c>
      <c r="E10" s="1">
        <v>-0.47389999999999999</v>
      </c>
      <c r="F10" s="1">
        <v>-0.6018</v>
      </c>
      <c r="H10" s="1">
        <v>-0.57140000000000002</v>
      </c>
      <c r="I10" s="1">
        <v>-0.76519999999999999</v>
      </c>
      <c r="K10" s="9"/>
      <c r="L10" s="1">
        <v>7.5600000000000001E-2</v>
      </c>
      <c r="M10" s="1">
        <v>9.2799999999999994E-2</v>
      </c>
      <c r="O10" s="27">
        <v>6.9099999999999995E-2</v>
      </c>
      <c r="P10" s="1">
        <v>8.1100000000000005E-2</v>
      </c>
      <c r="R10" s="1">
        <v>-3.0800000000000001E-2</v>
      </c>
      <c r="S10" s="1">
        <v>0.1166</v>
      </c>
    </row>
    <row r="11" spans="1:20" ht="15.75" customHeight="1">
      <c r="A11" s="1">
        <v>18</v>
      </c>
      <c r="B11" s="1">
        <v>-0.44</v>
      </c>
      <c r="C11" s="1">
        <v>-0.61550000000000005</v>
      </c>
      <c r="E11" s="1">
        <v>-0.47599999999999998</v>
      </c>
      <c r="F11" s="1">
        <v>-0.60189999999999999</v>
      </c>
      <c r="H11" s="1">
        <v>-0.57420000000000004</v>
      </c>
      <c r="I11" s="1">
        <v>-0.76539999999999997</v>
      </c>
      <c r="K11" s="9"/>
      <c r="L11" s="1">
        <v>7.5600000000000001E-2</v>
      </c>
      <c r="M11" s="1">
        <v>9.2799999999999994E-2</v>
      </c>
      <c r="O11" s="27">
        <v>6.93E-2</v>
      </c>
      <c r="P11" s="1">
        <v>8.1100000000000005E-2</v>
      </c>
      <c r="R11" s="1">
        <v>-2.9000000000000001E-2</v>
      </c>
      <c r="S11" s="1">
        <v>0.1166</v>
      </c>
    </row>
    <row r="12" spans="1:20" ht="15.75" customHeight="1">
      <c r="A12" s="1">
        <v>19</v>
      </c>
      <c r="B12" s="1">
        <v>-0.44269999999999998</v>
      </c>
      <c r="C12" s="1">
        <v>-0.61560000000000004</v>
      </c>
      <c r="E12" s="1">
        <v>-0.47810000000000002</v>
      </c>
      <c r="F12" s="1">
        <v>-0.60199999999999998</v>
      </c>
      <c r="H12" s="1">
        <v>-0.57699999999999996</v>
      </c>
      <c r="I12" s="1">
        <v>-0.76549999999999996</v>
      </c>
      <c r="K12" s="9"/>
      <c r="L12" s="1">
        <v>7.5600000000000001E-2</v>
      </c>
      <c r="M12" s="1">
        <v>9.2799999999999994E-2</v>
      </c>
      <c r="O12" s="27">
        <v>6.9500000000000006E-2</v>
      </c>
      <c r="P12" s="1">
        <v>8.1100000000000005E-2</v>
      </c>
      <c r="R12" s="1">
        <v>-2.7199999999999998E-2</v>
      </c>
      <c r="S12" s="1">
        <v>0.1166</v>
      </c>
    </row>
    <row r="13" spans="1:20" ht="15.75" customHeight="1">
      <c r="A13" s="1">
        <v>20</v>
      </c>
      <c r="B13" s="1">
        <v>-0.44540000000000002</v>
      </c>
      <c r="C13" s="1">
        <v>-0.61580000000000001</v>
      </c>
      <c r="E13" s="1">
        <v>-0.48020000000000002</v>
      </c>
      <c r="F13" s="1">
        <v>-0.60199999999999998</v>
      </c>
      <c r="H13" s="1">
        <v>-0.57979999999999998</v>
      </c>
      <c r="I13" s="1">
        <v>-0.76559999999999995</v>
      </c>
      <c r="K13" s="9"/>
      <c r="L13" s="1">
        <v>7.5600000000000001E-2</v>
      </c>
      <c r="M13" s="1">
        <v>9.2799999999999994E-2</v>
      </c>
      <c r="O13" s="27">
        <v>6.9699999999999998E-2</v>
      </c>
      <c r="P13" s="1">
        <v>8.1100000000000005E-2</v>
      </c>
      <c r="R13" s="1">
        <v>-2.5499999999999998E-2</v>
      </c>
      <c r="S13" s="1">
        <v>0.1166</v>
      </c>
    </row>
    <row r="14" spans="1:20" ht="15.75" customHeight="1">
      <c r="A14" s="1">
        <v>21</v>
      </c>
      <c r="B14" s="1">
        <v>-0.44800000000000001</v>
      </c>
      <c r="C14" s="1">
        <v>-0.6159</v>
      </c>
      <c r="E14" s="1">
        <v>-0.48230000000000001</v>
      </c>
      <c r="F14" s="1">
        <v>-0.60209999999999997</v>
      </c>
      <c r="H14" s="1">
        <v>-0.58260000000000001</v>
      </c>
      <c r="I14" s="1">
        <v>-0.76570000000000005</v>
      </c>
      <c r="K14" s="9"/>
      <c r="L14" s="1">
        <v>7.5600000000000001E-2</v>
      </c>
      <c r="M14" s="1">
        <v>9.2799999999999994E-2</v>
      </c>
      <c r="O14" s="27">
        <v>6.9800000000000001E-2</v>
      </c>
      <c r="P14" s="1">
        <v>8.1100000000000005E-2</v>
      </c>
      <c r="R14" s="1">
        <v>-2.3699999999999999E-2</v>
      </c>
      <c r="S14" s="1">
        <v>0.1166</v>
      </c>
    </row>
    <row r="15" spans="1:20" ht="15.75" customHeight="1">
      <c r="A15" s="1">
        <v>22</v>
      </c>
      <c r="B15" s="1">
        <v>-0.45069999999999999</v>
      </c>
      <c r="C15" s="1">
        <v>-0.61609999999999998</v>
      </c>
      <c r="E15" s="1">
        <v>-0.4844</v>
      </c>
      <c r="F15" s="1">
        <v>-0.60219999999999996</v>
      </c>
      <c r="H15" s="1">
        <v>-0.58540000000000003</v>
      </c>
      <c r="I15" s="1">
        <v>-0.76580000000000004</v>
      </c>
      <c r="K15" s="9"/>
      <c r="L15" s="1">
        <v>7.5499999999999998E-2</v>
      </c>
      <c r="M15" s="1">
        <v>9.2799999999999994E-2</v>
      </c>
      <c r="O15" s="27">
        <v>7.0000000000000007E-2</v>
      </c>
      <c r="P15" s="1">
        <v>8.1100000000000005E-2</v>
      </c>
      <c r="R15" s="1">
        <v>-2.1899999999999999E-2</v>
      </c>
      <c r="S15" s="1">
        <v>0.1166</v>
      </c>
    </row>
    <row r="16" spans="1:20" ht="15.75" customHeight="1">
      <c r="A16" s="1">
        <v>23</v>
      </c>
      <c r="B16" s="1">
        <v>-0.45340000000000003</v>
      </c>
      <c r="C16" s="1">
        <v>-0.61619999999999997</v>
      </c>
      <c r="E16" s="1">
        <v>-0.48649999999999999</v>
      </c>
      <c r="F16" s="1">
        <v>-0.60219999999999996</v>
      </c>
      <c r="H16" s="1">
        <v>-0.58830000000000005</v>
      </c>
      <c r="I16" s="1">
        <v>-0.76600000000000001</v>
      </c>
      <c r="K16" s="9"/>
      <c r="L16" s="1">
        <v>7.5499999999999998E-2</v>
      </c>
      <c r="M16" s="1">
        <v>9.2799999999999994E-2</v>
      </c>
      <c r="O16" s="27">
        <v>7.0199999999999999E-2</v>
      </c>
      <c r="P16" s="1">
        <v>8.1100000000000005E-2</v>
      </c>
      <c r="R16" s="1">
        <v>-2.0199999999999999E-2</v>
      </c>
      <c r="S16" s="1">
        <v>0.1166</v>
      </c>
    </row>
    <row r="17" spans="1:20" ht="15.75" customHeight="1">
      <c r="A17" s="1">
        <v>24</v>
      </c>
      <c r="B17" s="1">
        <v>-0.45610000000000001</v>
      </c>
      <c r="C17" s="1">
        <v>-0.61639999999999995</v>
      </c>
      <c r="E17" s="1">
        <v>-0.48859999999999998</v>
      </c>
      <c r="F17" s="1">
        <v>-0.60229999999999995</v>
      </c>
      <c r="H17" s="1">
        <v>-0.59109999999999996</v>
      </c>
      <c r="I17" s="1">
        <v>-0.7661</v>
      </c>
      <c r="K17" s="9"/>
      <c r="L17" s="1">
        <v>7.5499999999999998E-2</v>
      </c>
      <c r="M17" s="1">
        <v>9.2799999999999994E-2</v>
      </c>
      <c r="O17" s="27">
        <v>7.0300000000000001E-2</v>
      </c>
      <c r="P17" s="1">
        <v>8.1100000000000005E-2</v>
      </c>
      <c r="R17" s="1">
        <v>-1.84E-2</v>
      </c>
      <c r="S17" s="1">
        <v>0.1166</v>
      </c>
    </row>
    <row r="18" spans="1:20" ht="15.75" customHeight="1">
      <c r="A18" s="123">
        <v>25</v>
      </c>
      <c r="B18" s="123">
        <v>-0.4587</v>
      </c>
      <c r="C18" s="123">
        <v>-0.61660000000000004</v>
      </c>
      <c r="D18" s="123"/>
      <c r="E18" s="123">
        <v>-0.49070000000000003</v>
      </c>
      <c r="F18" s="123">
        <v>-0.60240000000000005</v>
      </c>
      <c r="G18" s="123"/>
      <c r="H18" s="123">
        <v>-0.59389999999999998</v>
      </c>
      <c r="I18" s="123">
        <v>-0.76619999999999999</v>
      </c>
      <c r="J18" s="123"/>
      <c r="K18" s="123"/>
      <c r="L18" s="123">
        <v>7.5499999999999998E-2</v>
      </c>
      <c r="M18" s="123">
        <v>9.2799999999999994E-2</v>
      </c>
      <c r="N18" s="123"/>
      <c r="O18" s="124">
        <v>7.0499999999999993E-2</v>
      </c>
      <c r="P18" s="123">
        <v>8.1100000000000005E-2</v>
      </c>
      <c r="Q18" s="123"/>
      <c r="R18" s="123">
        <v>-1.67E-2</v>
      </c>
      <c r="S18" s="123">
        <v>0.1166</v>
      </c>
      <c r="T18" s="123"/>
    </row>
    <row r="19" spans="1:20" ht="15.75" customHeight="1">
      <c r="A19" s="1">
        <v>26</v>
      </c>
      <c r="B19" s="1">
        <v>-0.46139999999999998</v>
      </c>
      <c r="C19" s="1">
        <v>-0.61670000000000003</v>
      </c>
      <c r="E19" s="1">
        <v>-0.49280000000000002</v>
      </c>
      <c r="F19" s="1">
        <v>-0.60240000000000005</v>
      </c>
      <c r="H19" s="1">
        <v>-0.59670000000000001</v>
      </c>
      <c r="I19" s="1">
        <v>-0.76629999999999998</v>
      </c>
      <c r="K19" s="9"/>
      <c r="L19" s="1">
        <v>7.5499999999999998E-2</v>
      </c>
      <c r="M19" s="1">
        <v>9.2799999999999994E-2</v>
      </c>
      <c r="O19" s="27">
        <v>7.0699999999999999E-2</v>
      </c>
      <c r="P19" s="1">
        <v>8.1100000000000005E-2</v>
      </c>
      <c r="R19" s="1">
        <v>-1.49E-2</v>
      </c>
      <c r="S19" s="1">
        <v>0.1166</v>
      </c>
    </row>
    <row r="20" spans="1:20" ht="15.75" customHeight="1">
      <c r="A20" s="1">
        <v>27</v>
      </c>
      <c r="B20" s="1">
        <v>-0.46410000000000001</v>
      </c>
      <c r="C20" s="1">
        <v>-0.6169</v>
      </c>
      <c r="E20" s="1">
        <v>-0.49490000000000001</v>
      </c>
      <c r="F20" s="1">
        <v>-0.60250000000000004</v>
      </c>
      <c r="H20" s="1">
        <v>-0.59950000000000003</v>
      </c>
      <c r="I20" s="1">
        <v>-0.76639999999999997</v>
      </c>
      <c r="K20" s="9"/>
      <c r="L20" s="1">
        <v>7.5399999999999995E-2</v>
      </c>
      <c r="M20" s="1">
        <v>9.2799999999999994E-2</v>
      </c>
      <c r="O20" s="27">
        <v>7.0800000000000002E-2</v>
      </c>
      <c r="P20" s="1">
        <v>8.1100000000000005E-2</v>
      </c>
      <c r="R20" s="1">
        <v>-1.32E-2</v>
      </c>
      <c r="S20" s="1">
        <v>0.1166</v>
      </c>
    </row>
    <row r="21" spans="1:20" ht="15.75" customHeight="1">
      <c r="A21" s="1">
        <v>28</v>
      </c>
      <c r="B21" s="1">
        <v>-0.46679999999999999</v>
      </c>
      <c r="C21" s="1">
        <v>-0.61699999999999999</v>
      </c>
      <c r="E21" s="1">
        <v>-0.497</v>
      </c>
      <c r="F21" s="1">
        <v>-0.60260000000000002</v>
      </c>
      <c r="H21" s="1">
        <v>-0.60229999999999995</v>
      </c>
      <c r="I21" s="1">
        <v>-0.76659999999999995</v>
      </c>
      <c r="K21" s="9"/>
      <c r="L21" s="1">
        <v>7.5399999999999995E-2</v>
      </c>
      <c r="M21" s="1">
        <v>9.2799999999999994E-2</v>
      </c>
      <c r="O21" s="27">
        <v>7.0999999999999994E-2</v>
      </c>
      <c r="P21" s="1">
        <v>8.1100000000000005E-2</v>
      </c>
      <c r="R21" s="1">
        <v>-1.15E-2</v>
      </c>
      <c r="S21" s="1">
        <v>0.1166</v>
      </c>
    </row>
    <row r="22" spans="1:20" ht="15.75" customHeight="1">
      <c r="A22" s="1">
        <v>29</v>
      </c>
      <c r="B22" s="1">
        <v>-0.46949999999999997</v>
      </c>
      <c r="C22" s="1">
        <v>-0.61719999999999997</v>
      </c>
      <c r="E22" s="1">
        <v>-0.49909999999999999</v>
      </c>
      <c r="F22" s="1">
        <v>-0.60260000000000002</v>
      </c>
      <c r="H22" s="1">
        <v>-0.60509999999999997</v>
      </c>
      <c r="I22" s="1">
        <v>-0.76670000000000005</v>
      </c>
      <c r="K22" s="9"/>
      <c r="L22" s="1">
        <v>7.5399999999999995E-2</v>
      </c>
      <c r="M22" s="1">
        <v>9.2799999999999994E-2</v>
      </c>
      <c r="O22" s="27">
        <v>7.1199999999999999E-2</v>
      </c>
      <c r="P22" s="1">
        <v>8.1100000000000005E-2</v>
      </c>
      <c r="R22" s="1">
        <v>-9.7000000000000003E-3</v>
      </c>
      <c r="S22" s="1">
        <v>0.1166</v>
      </c>
    </row>
    <row r="23" spans="1:20" ht="15.75" customHeight="1">
      <c r="A23" s="1">
        <v>30</v>
      </c>
      <c r="B23" s="1">
        <v>-0.47210000000000002</v>
      </c>
      <c r="C23" s="1">
        <v>-0.61729999999999996</v>
      </c>
      <c r="E23" s="1">
        <v>-0.50119999999999998</v>
      </c>
      <c r="F23" s="1">
        <v>-0.60270000000000001</v>
      </c>
      <c r="H23" s="1">
        <v>-0.6079</v>
      </c>
      <c r="I23" s="1">
        <v>-0.76680000000000004</v>
      </c>
      <c r="K23" s="9"/>
      <c r="L23" s="1">
        <v>7.5399999999999995E-2</v>
      </c>
      <c r="M23" s="1">
        <v>9.2799999999999994E-2</v>
      </c>
      <c r="O23" s="27">
        <v>7.1300000000000002E-2</v>
      </c>
      <c r="P23" s="1">
        <v>8.1100000000000005E-2</v>
      </c>
      <c r="R23" s="1">
        <v>-8.0000000000000002E-3</v>
      </c>
      <c r="S23" s="1">
        <v>0.1166</v>
      </c>
    </row>
    <row r="24" spans="1:20" ht="15.75" customHeight="1">
      <c r="A24" s="1">
        <v>31</v>
      </c>
      <c r="B24" s="1">
        <v>-0.4748</v>
      </c>
      <c r="C24" s="1">
        <v>-0.61750000000000005</v>
      </c>
      <c r="E24" s="1">
        <v>-0.50329999999999997</v>
      </c>
      <c r="F24" s="1">
        <v>-0.6028</v>
      </c>
      <c r="H24" s="1">
        <v>-0.61080000000000001</v>
      </c>
      <c r="I24" s="1">
        <v>-0.76690000000000003</v>
      </c>
      <c r="K24" s="9"/>
      <c r="L24" s="1">
        <v>7.5399999999999995E-2</v>
      </c>
      <c r="M24" s="1">
        <v>9.2799999999999994E-2</v>
      </c>
      <c r="O24" s="27">
        <v>7.1499999999999994E-2</v>
      </c>
      <c r="P24" s="1">
        <v>8.1100000000000005E-2</v>
      </c>
      <c r="R24" s="1">
        <v>-6.3E-3</v>
      </c>
      <c r="S24" s="1">
        <v>0.1167</v>
      </c>
    </row>
    <row r="25" spans="1:20" ht="15.75" customHeight="1">
      <c r="A25" s="1">
        <v>32</v>
      </c>
      <c r="B25" s="1">
        <v>-0.47749999999999998</v>
      </c>
      <c r="C25" s="1">
        <v>-0.61770000000000003</v>
      </c>
      <c r="E25" s="1">
        <v>-0.50539999999999996</v>
      </c>
      <c r="F25" s="1">
        <v>-0.6028</v>
      </c>
      <c r="H25" s="1">
        <v>-0.61360000000000003</v>
      </c>
      <c r="I25" s="1">
        <v>-0.76700000000000002</v>
      </c>
      <c r="K25" s="9"/>
      <c r="L25" s="1">
        <v>7.5300000000000006E-2</v>
      </c>
      <c r="M25" s="1">
        <v>9.2799999999999994E-2</v>
      </c>
      <c r="O25" s="27">
        <v>7.1599999999999997E-2</v>
      </c>
      <c r="P25" s="1">
        <v>8.1100000000000005E-2</v>
      </c>
      <c r="R25" s="1">
        <v>-4.5999999999999999E-3</v>
      </c>
      <c r="S25" s="1">
        <v>0.1167</v>
      </c>
    </row>
    <row r="26" spans="1:20" ht="15.75" customHeight="1">
      <c r="A26" s="1">
        <v>33</v>
      </c>
      <c r="B26" s="1">
        <v>-0.48020000000000002</v>
      </c>
      <c r="C26" s="1">
        <v>-0.61780000000000002</v>
      </c>
      <c r="E26" s="1">
        <v>-0.50749999999999995</v>
      </c>
      <c r="F26" s="1">
        <v>-0.60289999999999999</v>
      </c>
      <c r="H26" s="1">
        <v>-0.61639999999999995</v>
      </c>
      <c r="I26" s="1">
        <v>-0.76719999999999999</v>
      </c>
      <c r="K26" s="9"/>
      <c r="L26" s="1">
        <v>7.5300000000000006E-2</v>
      </c>
      <c r="M26" s="1">
        <v>9.2700000000000005E-2</v>
      </c>
      <c r="O26" s="27">
        <v>7.1800000000000003E-2</v>
      </c>
      <c r="P26" s="1">
        <v>8.1100000000000005E-2</v>
      </c>
      <c r="R26" s="1">
        <v>-2.8999999999999998E-3</v>
      </c>
      <c r="S26" s="1">
        <v>0.1167</v>
      </c>
    </row>
    <row r="27" spans="1:20" ht="15.75" customHeight="1">
      <c r="A27" s="1">
        <v>34</v>
      </c>
      <c r="B27" s="1">
        <v>-0.4829</v>
      </c>
      <c r="C27" s="1">
        <v>-0.61799999999999999</v>
      </c>
      <c r="E27" s="1">
        <v>-0.50960000000000005</v>
      </c>
      <c r="F27" s="1">
        <v>-0.60299999999999998</v>
      </c>
      <c r="H27" s="1">
        <v>-0.61919999999999997</v>
      </c>
      <c r="I27" s="1">
        <v>-0.76729999999999998</v>
      </c>
      <c r="K27" s="9"/>
      <c r="L27" s="1">
        <v>7.5300000000000006E-2</v>
      </c>
      <c r="M27" s="1">
        <v>9.2700000000000005E-2</v>
      </c>
      <c r="O27" s="27">
        <v>7.1999999999999995E-2</v>
      </c>
      <c r="P27" s="1">
        <v>8.1100000000000005E-2</v>
      </c>
      <c r="R27" s="1">
        <v>-1.1999999999999999E-3</v>
      </c>
      <c r="S27" s="1">
        <v>0.1167</v>
      </c>
    </row>
    <row r="28" spans="1:20" ht="15.75" customHeight="1">
      <c r="A28" s="1">
        <v>35</v>
      </c>
      <c r="B28" s="1">
        <v>-0.48559999999999998</v>
      </c>
      <c r="C28" s="1">
        <v>-0.61809999999999998</v>
      </c>
      <c r="E28" s="1">
        <v>-0.51170000000000004</v>
      </c>
      <c r="F28" s="1">
        <v>-0.60299999999999998</v>
      </c>
      <c r="H28" s="1">
        <v>-0.622</v>
      </c>
      <c r="I28" s="1">
        <v>-0.76739999999999997</v>
      </c>
      <c r="K28" s="9"/>
      <c r="L28" s="1">
        <v>7.5300000000000006E-2</v>
      </c>
      <c r="M28" s="1">
        <v>9.2700000000000005E-2</v>
      </c>
      <c r="O28" s="27">
        <v>7.2099999999999997E-2</v>
      </c>
      <c r="P28" s="1">
        <v>8.1100000000000005E-2</v>
      </c>
      <c r="R28" s="1">
        <v>5.0000000000000001E-4</v>
      </c>
      <c r="S28" s="1">
        <v>0.1167</v>
      </c>
    </row>
    <row r="29" spans="1:20" ht="15.75" customHeight="1">
      <c r="K29" s="127"/>
      <c r="L29" s="1">
        <v>4</v>
      </c>
      <c r="M29" s="1" t="s">
        <v>543</v>
      </c>
      <c r="O29" s="1">
        <v>3</v>
      </c>
      <c r="P29" s="1" t="s">
        <v>544</v>
      </c>
      <c r="R29" s="1">
        <v>1</v>
      </c>
      <c r="S29" s="1" t="s">
        <v>545</v>
      </c>
    </row>
    <row r="30" spans="1:20" ht="15.75" customHeight="1">
      <c r="K30" s="127"/>
    </row>
    <row r="31" spans="1:20" ht="15.75" customHeight="1">
      <c r="K31" s="127"/>
    </row>
    <row r="32" spans="1:20" ht="15.75" customHeight="1">
      <c r="K32" s="127"/>
    </row>
    <row r="33" spans="11:11" ht="15.75" customHeight="1">
      <c r="K33" s="127"/>
    </row>
    <row r="34" spans="11:11" ht="15.75" customHeight="1">
      <c r="K34" s="127"/>
    </row>
    <row r="35" spans="11:11" ht="15.75" customHeight="1">
      <c r="K35" s="127"/>
    </row>
    <row r="36" spans="11:11" ht="15.75" customHeight="1">
      <c r="K36" s="127"/>
    </row>
    <row r="37" spans="11:11" ht="15.75" customHeight="1">
      <c r="K37" s="127"/>
    </row>
    <row r="38" spans="11:11" ht="15.75" customHeight="1">
      <c r="K38" s="127"/>
    </row>
    <row r="39" spans="11:11" ht="15.75" customHeight="1">
      <c r="K39" s="127"/>
    </row>
    <row r="40" spans="11:11" ht="15.75" customHeight="1">
      <c r="K40" s="127"/>
    </row>
    <row r="41" spans="11:11" ht="15.75" customHeight="1">
      <c r="K41" s="127"/>
    </row>
    <row r="42" spans="11:11" ht="15.75" customHeight="1">
      <c r="K42" s="127"/>
    </row>
    <row r="43" spans="11:11" ht="15.75" customHeight="1">
      <c r="K43" s="127"/>
    </row>
    <row r="44" spans="11:11" ht="15.75" customHeight="1">
      <c r="K44" s="127"/>
    </row>
    <row r="45" spans="11:11" ht="15.75" customHeight="1">
      <c r="K45" s="127"/>
    </row>
    <row r="46" spans="11:11" ht="15.75" customHeight="1">
      <c r="K46" s="127"/>
    </row>
    <row r="47" spans="11:11" ht="15.75" customHeight="1">
      <c r="K47" s="127"/>
    </row>
    <row r="48" spans="11:11" ht="15.75" customHeight="1">
      <c r="K48" s="127"/>
    </row>
    <row r="49" spans="11:11" ht="15.75" customHeight="1">
      <c r="K49" s="127"/>
    </row>
    <row r="50" spans="11:11" ht="15.75" customHeight="1">
      <c r="K50" s="127"/>
    </row>
    <row r="51" spans="11:11" ht="15.75" customHeight="1">
      <c r="K51" s="127"/>
    </row>
    <row r="52" spans="11:11" ht="15.75" customHeight="1">
      <c r="K52" s="127"/>
    </row>
    <row r="53" spans="11:11" ht="15.75" customHeight="1">
      <c r="K53" s="127"/>
    </row>
    <row r="54" spans="11:11" ht="15.75" customHeight="1">
      <c r="K54" s="127"/>
    </row>
    <row r="55" spans="11:11" ht="15.75" customHeight="1">
      <c r="K55" s="127"/>
    </row>
    <row r="56" spans="11:11" ht="15.75" customHeight="1">
      <c r="K56" s="127"/>
    </row>
    <row r="57" spans="11:11" ht="15.75" customHeight="1">
      <c r="K57" s="127"/>
    </row>
    <row r="58" spans="11:11" ht="15.75" customHeight="1">
      <c r="K58" s="127"/>
    </row>
    <row r="59" spans="11:11" ht="15.75" customHeight="1">
      <c r="K59" s="127"/>
    </row>
    <row r="60" spans="11:11" ht="15.75" customHeight="1">
      <c r="K60" s="127"/>
    </row>
    <row r="61" spans="11:11" ht="15.75" customHeight="1">
      <c r="K61" s="127"/>
    </row>
    <row r="62" spans="11:11" ht="15.75" customHeight="1">
      <c r="K62" s="127"/>
    </row>
    <row r="63" spans="11:11" ht="15.75" customHeight="1">
      <c r="K63" s="127"/>
    </row>
    <row r="64" spans="11:11" ht="15.75" customHeight="1">
      <c r="K64" s="127"/>
    </row>
    <row r="65" spans="11:11" ht="15.75" customHeight="1">
      <c r="K65" s="127"/>
    </row>
    <row r="66" spans="11:11" ht="15.75" customHeight="1">
      <c r="K66" s="127"/>
    </row>
    <row r="67" spans="11:11" ht="15.75" customHeight="1">
      <c r="K67" s="127"/>
    </row>
    <row r="68" spans="11:11" ht="15.75" customHeight="1">
      <c r="K68" s="127"/>
    </row>
    <row r="69" spans="11:11" ht="15.75" customHeight="1">
      <c r="K69" s="127"/>
    </row>
    <row r="70" spans="11:11" ht="15.75" customHeight="1">
      <c r="K70" s="127"/>
    </row>
    <row r="71" spans="11:11" ht="15.75" customHeight="1">
      <c r="K71" s="127"/>
    </row>
    <row r="72" spans="11:11" ht="15.75" customHeight="1">
      <c r="K72" s="127"/>
    </row>
    <row r="73" spans="11:11" ht="15.75" customHeight="1">
      <c r="K73" s="127"/>
    </row>
    <row r="74" spans="11:11" ht="15.75" customHeight="1">
      <c r="K74" s="127"/>
    </row>
    <row r="75" spans="11:11" ht="15.75" customHeight="1">
      <c r="K75" s="127"/>
    </row>
    <row r="76" spans="11:11" ht="15.75" customHeight="1">
      <c r="K76" s="127"/>
    </row>
    <row r="77" spans="11:11" ht="15.75" customHeight="1">
      <c r="K77" s="127"/>
    </row>
    <row r="78" spans="11:11" ht="15.75" customHeight="1">
      <c r="K78" s="127"/>
    </row>
    <row r="79" spans="11:11" ht="15.75" customHeight="1">
      <c r="K79" s="127"/>
    </row>
    <row r="80" spans="11:11" ht="15.75" customHeight="1">
      <c r="K80" s="127"/>
    </row>
    <row r="81" spans="11:11" ht="15.75" customHeight="1">
      <c r="K81" s="127"/>
    </row>
    <row r="82" spans="11:11" ht="15.75" customHeight="1">
      <c r="K82" s="127"/>
    </row>
    <row r="83" spans="11:11" ht="15.75" customHeight="1">
      <c r="K83" s="127"/>
    </row>
    <row r="84" spans="11:11" ht="15.75" customHeight="1">
      <c r="K84" s="127"/>
    </row>
    <row r="85" spans="11:11" ht="15.75" customHeight="1">
      <c r="K85" s="127"/>
    </row>
    <row r="86" spans="11:11" ht="15.75" customHeight="1">
      <c r="K86" s="127"/>
    </row>
    <row r="87" spans="11:11" ht="15.75" customHeight="1">
      <c r="K87" s="127"/>
    </row>
    <row r="88" spans="11:11" ht="15.75" customHeight="1">
      <c r="K88" s="127"/>
    </row>
    <row r="89" spans="11:11" ht="15.75" customHeight="1">
      <c r="K89" s="127"/>
    </row>
    <row r="90" spans="11:11" ht="15.75" customHeight="1">
      <c r="K90" s="127"/>
    </row>
    <row r="91" spans="11:11" ht="15.75" customHeight="1">
      <c r="K91" s="127"/>
    </row>
    <row r="92" spans="11:11" ht="15.75" customHeight="1">
      <c r="K92" s="127"/>
    </row>
    <row r="93" spans="11:11" ht="15.75" customHeight="1">
      <c r="K93" s="127"/>
    </row>
    <row r="94" spans="11:11" ht="15.75" customHeight="1">
      <c r="K94" s="127"/>
    </row>
    <row r="95" spans="11:11" ht="15.75" customHeight="1">
      <c r="K95" s="127"/>
    </row>
    <row r="96" spans="11:11" ht="15.75" customHeight="1">
      <c r="K96" s="127"/>
    </row>
    <row r="97" spans="11:11" ht="15.75" customHeight="1">
      <c r="K97" s="127"/>
    </row>
    <row r="98" spans="11:11" ht="15.75" customHeight="1">
      <c r="K98" s="127"/>
    </row>
    <row r="99" spans="11:11" ht="15.75" customHeight="1">
      <c r="K99" s="127"/>
    </row>
    <row r="100" spans="11:11" ht="15.75" customHeight="1">
      <c r="K100" s="127"/>
    </row>
    <row r="101" spans="11:11" ht="15.75" customHeight="1">
      <c r="K101" s="127"/>
    </row>
    <row r="102" spans="11:11" ht="15.75" customHeight="1">
      <c r="K102" s="127"/>
    </row>
    <row r="103" spans="11:11" ht="15.75" customHeight="1">
      <c r="K103" s="127"/>
    </row>
    <row r="104" spans="11:11" ht="15.75" customHeight="1">
      <c r="K104" s="127"/>
    </row>
    <row r="105" spans="11:11" ht="15.75" customHeight="1">
      <c r="K105" s="127"/>
    </row>
    <row r="106" spans="11:11" ht="15.75" customHeight="1">
      <c r="K106" s="127"/>
    </row>
    <row r="107" spans="11:11" ht="15.75" customHeight="1">
      <c r="K107" s="127"/>
    </row>
    <row r="108" spans="11:11" ht="15.75" customHeight="1">
      <c r="K108" s="127"/>
    </row>
    <row r="109" spans="11:11" ht="15.75" customHeight="1">
      <c r="K109" s="127"/>
    </row>
    <row r="110" spans="11:11" ht="15.75" customHeight="1">
      <c r="K110" s="127"/>
    </row>
    <row r="111" spans="11:11" ht="15.75" customHeight="1">
      <c r="K111" s="127"/>
    </row>
    <row r="112" spans="11:11" ht="15.75" customHeight="1">
      <c r="K112" s="127"/>
    </row>
    <row r="113" spans="11:11" ht="15.75" customHeight="1">
      <c r="K113" s="127"/>
    </row>
    <row r="114" spans="11:11" ht="15.75" customHeight="1">
      <c r="K114" s="127"/>
    </row>
    <row r="115" spans="11:11" ht="15.75" customHeight="1">
      <c r="K115" s="127"/>
    </row>
    <row r="116" spans="11:11" ht="15.75" customHeight="1">
      <c r="K116" s="127"/>
    </row>
    <row r="117" spans="11:11" ht="15.75" customHeight="1">
      <c r="K117" s="127"/>
    </row>
    <row r="118" spans="11:11" ht="15.75" customHeight="1">
      <c r="K118" s="127"/>
    </row>
    <row r="119" spans="11:11" ht="15.75" customHeight="1">
      <c r="K119" s="127"/>
    </row>
    <row r="120" spans="11:11" ht="15.75" customHeight="1">
      <c r="K120" s="127"/>
    </row>
    <row r="121" spans="11:11" ht="15.75" customHeight="1">
      <c r="K121" s="127"/>
    </row>
    <row r="122" spans="11:11" ht="15.75" customHeight="1">
      <c r="K122" s="127"/>
    </row>
    <row r="123" spans="11:11" ht="15.75" customHeight="1">
      <c r="K123" s="127"/>
    </row>
    <row r="124" spans="11:11" ht="15.75" customHeight="1">
      <c r="K124" s="127"/>
    </row>
    <row r="125" spans="11:11" ht="15.75" customHeight="1">
      <c r="K125" s="127"/>
    </row>
    <row r="126" spans="11:11" ht="15.75" customHeight="1">
      <c r="K126" s="127"/>
    </row>
    <row r="127" spans="11:11" ht="15.75" customHeight="1">
      <c r="K127" s="127"/>
    </row>
    <row r="128" spans="11:11" ht="15.75" customHeight="1">
      <c r="K128" s="127"/>
    </row>
    <row r="129" spans="11:11" ht="15.75" customHeight="1">
      <c r="K129" s="127"/>
    </row>
    <row r="130" spans="11:11" ht="15.75" customHeight="1">
      <c r="K130" s="127"/>
    </row>
    <row r="131" spans="11:11" ht="15.75" customHeight="1">
      <c r="K131" s="127"/>
    </row>
    <row r="132" spans="11:11" ht="15.75" customHeight="1">
      <c r="K132" s="127"/>
    </row>
    <row r="133" spans="11:11" ht="15.75" customHeight="1">
      <c r="K133" s="127"/>
    </row>
    <row r="134" spans="11:11" ht="15.75" customHeight="1">
      <c r="K134" s="127"/>
    </row>
    <row r="135" spans="11:11" ht="15.75" customHeight="1">
      <c r="K135" s="127"/>
    </row>
    <row r="136" spans="11:11" ht="15.75" customHeight="1">
      <c r="K136" s="127"/>
    </row>
    <row r="137" spans="11:11" ht="15.75" customHeight="1">
      <c r="K137" s="127"/>
    </row>
    <row r="138" spans="11:11" ht="15.75" customHeight="1">
      <c r="K138" s="127"/>
    </row>
    <row r="139" spans="11:11" ht="15.75" customHeight="1">
      <c r="K139" s="127"/>
    </row>
    <row r="140" spans="11:11" ht="15.75" customHeight="1">
      <c r="K140" s="127"/>
    </row>
    <row r="141" spans="11:11" ht="15.75" customHeight="1">
      <c r="K141" s="127"/>
    </row>
    <row r="142" spans="11:11" ht="15.75" customHeight="1">
      <c r="K142" s="127"/>
    </row>
    <row r="143" spans="11:11" ht="15.75" customHeight="1">
      <c r="K143" s="127"/>
    </row>
    <row r="144" spans="11:11" ht="15.75" customHeight="1">
      <c r="K144" s="127"/>
    </row>
    <row r="145" spans="11:11" ht="15.75" customHeight="1">
      <c r="K145" s="127"/>
    </row>
    <row r="146" spans="11:11" ht="15.75" customHeight="1">
      <c r="K146" s="127"/>
    </row>
    <row r="147" spans="11:11" ht="15.75" customHeight="1">
      <c r="K147" s="127"/>
    </row>
    <row r="148" spans="11:11" ht="15.75" customHeight="1">
      <c r="K148" s="127"/>
    </row>
    <row r="149" spans="11:11" ht="15.75" customHeight="1">
      <c r="K149" s="127"/>
    </row>
    <row r="150" spans="11:11" ht="15.75" customHeight="1">
      <c r="K150" s="127"/>
    </row>
    <row r="151" spans="11:11" ht="15.75" customHeight="1">
      <c r="K151" s="127"/>
    </row>
    <row r="152" spans="11:11" ht="15.75" customHeight="1">
      <c r="K152" s="127"/>
    </row>
    <row r="153" spans="11:11" ht="15.75" customHeight="1">
      <c r="K153" s="127"/>
    </row>
    <row r="154" spans="11:11" ht="15.75" customHeight="1">
      <c r="K154" s="127"/>
    </row>
    <row r="155" spans="11:11" ht="15.75" customHeight="1">
      <c r="K155" s="127"/>
    </row>
    <row r="156" spans="11:11" ht="15.75" customHeight="1">
      <c r="K156" s="127"/>
    </row>
    <row r="157" spans="11:11" ht="15.75" customHeight="1">
      <c r="K157" s="127"/>
    </row>
    <row r="158" spans="11:11" ht="15.75" customHeight="1">
      <c r="K158" s="127"/>
    </row>
    <row r="159" spans="11:11" ht="15.75" customHeight="1">
      <c r="K159" s="127"/>
    </row>
    <row r="160" spans="11:11" ht="15.75" customHeight="1">
      <c r="K160" s="127"/>
    </row>
    <row r="161" spans="11:11" ht="15.75" customHeight="1">
      <c r="K161" s="127"/>
    </row>
    <row r="162" spans="11:11" ht="15.75" customHeight="1">
      <c r="K162" s="127"/>
    </row>
    <row r="163" spans="11:11" ht="15.75" customHeight="1">
      <c r="K163" s="127"/>
    </row>
    <row r="164" spans="11:11" ht="15.75" customHeight="1">
      <c r="K164" s="127"/>
    </row>
    <row r="165" spans="11:11" ht="15.75" customHeight="1">
      <c r="K165" s="127"/>
    </row>
    <row r="166" spans="11:11" ht="15.75" customHeight="1">
      <c r="K166" s="127"/>
    </row>
    <row r="167" spans="11:11" ht="15.75" customHeight="1">
      <c r="K167" s="127"/>
    </row>
    <row r="168" spans="11:11" ht="15.75" customHeight="1">
      <c r="K168" s="127"/>
    </row>
    <row r="169" spans="11:11" ht="15.75" customHeight="1">
      <c r="K169" s="127"/>
    </row>
    <row r="170" spans="11:11" ht="15.75" customHeight="1">
      <c r="K170" s="127"/>
    </row>
    <row r="171" spans="11:11" ht="15.75" customHeight="1">
      <c r="K171" s="127"/>
    </row>
    <row r="172" spans="11:11" ht="15.75" customHeight="1">
      <c r="K172" s="127"/>
    </row>
    <row r="173" spans="11:11" ht="15.75" customHeight="1">
      <c r="K173" s="127"/>
    </row>
    <row r="174" spans="11:11" ht="15.75" customHeight="1">
      <c r="K174" s="127"/>
    </row>
    <row r="175" spans="11:11" ht="15.75" customHeight="1">
      <c r="K175" s="127"/>
    </row>
    <row r="176" spans="11:11" ht="15.75" customHeight="1">
      <c r="K176" s="127"/>
    </row>
    <row r="177" spans="11:11" ht="15.75" customHeight="1">
      <c r="K177" s="127"/>
    </row>
    <row r="178" spans="11:11" ht="15.75" customHeight="1">
      <c r="K178" s="127"/>
    </row>
    <row r="179" spans="11:11" ht="15.75" customHeight="1">
      <c r="K179" s="127"/>
    </row>
    <row r="180" spans="11:11" ht="15.75" customHeight="1">
      <c r="K180" s="127"/>
    </row>
    <row r="181" spans="11:11" ht="15.75" customHeight="1">
      <c r="K181" s="127"/>
    </row>
    <row r="182" spans="11:11" ht="15.75" customHeight="1">
      <c r="K182" s="127"/>
    </row>
    <row r="183" spans="11:11" ht="15.75" customHeight="1">
      <c r="K183" s="127"/>
    </row>
    <row r="184" spans="11:11" ht="15.75" customHeight="1">
      <c r="K184" s="127"/>
    </row>
    <row r="185" spans="11:11" ht="15.75" customHeight="1">
      <c r="K185" s="127"/>
    </row>
    <row r="186" spans="11:11" ht="15.75" customHeight="1">
      <c r="K186" s="127"/>
    </row>
    <row r="187" spans="11:11" ht="15.75" customHeight="1">
      <c r="K187" s="127"/>
    </row>
    <row r="188" spans="11:11" ht="15.75" customHeight="1">
      <c r="K188" s="127"/>
    </row>
    <row r="189" spans="11:11" ht="15.75" customHeight="1">
      <c r="K189" s="127"/>
    </row>
    <row r="190" spans="11:11" ht="15.75" customHeight="1">
      <c r="K190" s="127"/>
    </row>
    <row r="191" spans="11:11" ht="15.75" customHeight="1">
      <c r="K191" s="127"/>
    </row>
    <row r="192" spans="11:11" ht="15.75" customHeight="1">
      <c r="K192" s="127"/>
    </row>
    <row r="193" spans="11:11" ht="15.75" customHeight="1">
      <c r="K193" s="127"/>
    </row>
    <row r="194" spans="11:11" ht="15.75" customHeight="1">
      <c r="K194" s="127"/>
    </row>
    <row r="195" spans="11:11" ht="15.75" customHeight="1">
      <c r="K195" s="127"/>
    </row>
    <row r="196" spans="11:11" ht="15.75" customHeight="1">
      <c r="K196" s="127"/>
    </row>
    <row r="197" spans="11:11" ht="15.75" customHeight="1">
      <c r="K197" s="127"/>
    </row>
    <row r="198" spans="11:11" ht="15.75" customHeight="1">
      <c r="K198" s="127"/>
    </row>
    <row r="199" spans="11:11" ht="15.75" customHeight="1">
      <c r="K199" s="127"/>
    </row>
    <row r="200" spans="11:11" ht="15.75" customHeight="1">
      <c r="K200" s="127"/>
    </row>
    <row r="201" spans="11:11" ht="15.75" customHeight="1">
      <c r="K201" s="127"/>
    </row>
    <row r="202" spans="11:11" ht="15.75" customHeight="1">
      <c r="K202" s="127"/>
    </row>
    <row r="203" spans="11:11" ht="15.75" customHeight="1">
      <c r="K203" s="127"/>
    </row>
    <row r="204" spans="11:11" ht="15.75" customHeight="1">
      <c r="K204" s="127"/>
    </row>
    <row r="205" spans="11:11" ht="15.75" customHeight="1">
      <c r="K205" s="127"/>
    </row>
    <row r="206" spans="11:11" ht="15.75" customHeight="1">
      <c r="K206" s="127"/>
    </row>
    <row r="207" spans="11:11" ht="15.75" customHeight="1">
      <c r="K207" s="127"/>
    </row>
    <row r="208" spans="11:11" ht="15.75" customHeight="1">
      <c r="K208" s="127"/>
    </row>
    <row r="209" spans="11:11" ht="15.75" customHeight="1">
      <c r="K209" s="127"/>
    </row>
    <row r="210" spans="11:11" ht="15.75" customHeight="1">
      <c r="K210" s="127"/>
    </row>
    <row r="211" spans="11:11" ht="15.75" customHeight="1">
      <c r="K211" s="127"/>
    </row>
    <row r="212" spans="11:11" ht="15.75" customHeight="1">
      <c r="K212" s="127"/>
    </row>
    <row r="213" spans="11:11" ht="15.75" customHeight="1">
      <c r="K213" s="127"/>
    </row>
    <row r="214" spans="11:11" ht="15.75" customHeight="1">
      <c r="K214" s="127"/>
    </row>
    <row r="215" spans="11:11" ht="15.75" customHeight="1">
      <c r="K215" s="127"/>
    </row>
    <row r="216" spans="11:11" ht="15.75" customHeight="1">
      <c r="K216" s="127"/>
    </row>
    <row r="217" spans="11:11" ht="15.75" customHeight="1">
      <c r="K217" s="127"/>
    </row>
    <row r="218" spans="11:11" ht="15.75" customHeight="1">
      <c r="K218" s="127"/>
    </row>
    <row r="219" spans="11:11" ht="15.75" customHeight="1">
      <c r="K219" s="127"/>
    </row>
    <row r="220" spans="11:11" ht="15.75" customHeight="1">
      <c r="K220" s="127"/>
    </row>
    <row r="221" spans="11:11" ht="15.75" customHeight="1">
      <c r="K221" s="127"/>
    </row>
    <row r="222" spans="11:11" ht="15.75" customHeight="1">
      <c r="K222" s="127"/>
    </row>
    <row r="223" spans="11:11" ht="15.75" customHeight="1">
      <c r="K223" s="127"/>
    </row>
    <row r="224" spans="11:11" ht="15.75" customHeight="1">
      <c r="K224" s="127"/>
    </row>
    <row r="225" spans="11:11" ht="15.75" customHeight="1">
      <c r="K225" s="127"/>
    </row>
    <row r="226" spans="11:11" ht="15.75" customHeight="1">
      <c r="K226" s="127"/>
    </row>
    <row r="227" spans="11:11" ht="15.75" customHeight="1">
      <c r="K227" s="127"/>
    </row>
    <row r="228" spans="11:11" ht="15.75" customHeight="1">
      <c r="K228" s="127"/>
    </row>
    <row r="229" spans="11:11" ht="15.75" customHeight="1">
      <c r="K229" s="127"/>
    </row>
    <row r="230" spans="11:11" ht="15.75" customHeight="1">
      <c r="K230" s="127"/>
    </row>
    <row r="231" spans="11:11" ht="15.75" customHeight="1">
      <c r="K231" s="127"/>
    </row>
    <row r="232" spans="11:11" ht="15.75" customHeight="1">
      <c r="K232" s="127"/>
    </row>
    <row r="233" spans="11:11" ht="15.75" customHeight="1">
      <c r="K233" s="127"/>
    </row>
    <row r="234" spans="11:11" ht="15.75" customHeight="1">
      <c r="K234" s="127"/>
    </row>
    <row r="235" spans="11:11" ht="15.75" customHeight="1">
      <c r="K235" s="127"/>
    </row>
    <row r="236" spans="11:11" ht="15.75" customHeight="1">
      <c r="K236" s="127"/>
    </row>
    <row r="237" spans="11:11" ht="15.75" customHeight="1">
      <c r="K237" s="127"/>
    </row>
    <row r="238" spans="11:11" ht="15.75" customHeight="1">
      <c r="K238" s="127"/>
    </row>
    <row r="239" spans="11:11" ht="15.75" customHeight="1">
      <c r="K239" s="127"/>
    </row>
    <row r="240" spans="11:11" ht="15.75" customHeight="1">
      <c r="K240" s="127"/>
    </row>
    <row r="241" spans="11:11" ht="15.75" customHeight="1">
      <c r="K241" s="127"/>
    </row>
    <row r="242" spans="11:11" ht="15.75" customHeight="1">
      <c r="K242" s="127"/>
    </row>
    <row r="243" spans="11:11" ht="15.75" customHeight="1">
      <c r="K243" s="127"/>
    </row>
    <row r="244" spans="11:11" ht="15.75" customHeight="1">
      <c r="K244" s="127"/>
    </row>
    <row r="245" spans="11:11" ht="15.75" customHeight="1">
      <c r="K245" s="127"/>
    </row>
    <row r="246" spans="11:11" ht="15.75" customHeight="1">
      <c r="K246" s="127"/>
    </row>
    <row r="247" spans="11:11" ht="15.75" customHeight="1">
      <c r="K247" s="127"/>
    </row>
    <row r="248" spans="11:11" ht="15.75" customHeight="1">
      <c r="K248" s="127"/>
    </row>
    <row r="249" spans="11:11" ht="15.75" customHeight="1">
      <c r="K249" s="127"/>
    </row>
    <row r="250" spans="11:11" ht="15.75" customHeight="1">
      <c r="K250" s="127"/>
    </row>
    <row r="251" spans="11:11" ht="15.75" customHeight="1">
      <c r="K251" s="127"/>
    </row>
    <row r="252" spans="11:11" ht="15.75" customHeight="1">
      <c r="K252" s="127"/>
    </row>
    <row r="253" spans="11:11" ht="15.75" customHeight="1">
      <c r="K253" s="127"/>
    </row>
    <row r="254" spans="11:11" ht="15.75" customHeight="1">
      <c r="K254" s="127"/>
    </row>
    <row r="255" spans="11:11" ht="15.75" customHeight="1">
      <c r="K255" s="127"/>
    </row>
    <row r="256" spans="11:11" ht="15.75" customHeight="1">
      <c r="K256" s="127"/>
    </row>
    <row r="257" spans="11:11" ht="15.75" customHeight="1">
      <c r="K257" s="127"/>
    </row>
    <row r="258" spans="11:11" ht="15.75" customHeight="1">
      <c r="K258" s="127"/>
    </row>
    <row r="259" spans="11:11" ht="15.75" customHeight="1">
      <c r="K259" s="127"/>
    </row>
    <row r="260" spans="11:11" ht="15.75" customHeight="1">
      <c r="K260" s="127"/>
    </row>
    <row r="261" spans="11:11" ht="15.75" customHeight="1">
      <c r="K261" s="127"/>
    </row>
    <row r="262" spans="11:11" ht="15.75" customHeight="1">
      <c r="K262" s="127"/>
    </row>
    <row r="263" spans="11:11" ht="15.75" customHeight="1">
      <c r="K263" s="127"/>
    </row>
    <row r="264" spans="11:11" ht="15.75" customHeight="1">
      <c r="K264" s="127"/>
    </row>
    <row r="265" spans="11:11" ht="15.75" customHeight="1">
      <c r="K265" s="127"/>
    </row>
    <row r="266" spans="11:11" ht="15.75" customHeight="1">
      <c r="K266" s="127"/>
    </row>
    <row r="267" spans="11:11" ht="15.75" customHeight="1">
      <c r="K267" s="127"/>
    </row>
    <row r="268" spans="11:11" ht="15.75" customHeight="1">
      <c r="K268" s="127"/>
    </row>
    <row r="269" spans="11:11" ht="15.75" customHeight="1">
      <c r="K269" s="127"/>
    </row>
    <row r="270" spans="11:11" ht="15.75" customHeight="1">
      <c r="K270" s="127"/>
    </row>
    <row r="271" spans="11:11" ht="15.75" customHeight="1">
      <c r="K271" s="127"/>
    </row>
    <row r="272" spans="11:11" ht="15.75" customHeight="1">
      <c r="K272" s="127"/>
    </row>
    <row r="273" spans="11:11" ht="15.75" customHeight="1">
      <c r="K273" s="127"/>
    </row>
    <row r="274" spans="11:11" ht="15.75" customHeight="1">
      <c r="K274" s="127"/>
    </row>
    <row r="275" spans="11:11" ht="15.75" customHeight="1">
      <c r="K275" s="127"/>
    </row>
    <row r="276" spans="11:11" ht="15.75" customHeight="1">
      <c r="K276" s="127"/>
    </row>
    <row r="277" spans="11:11" ht="15.75" customHeight="1">
      <c r="K277" s="127"/>
    </row>
    <row r="278" spans="11:11" ht="15.75" customHeight="1">
      <c r="K278" s="127"/>
    </row>
    <row r="279" spans="11:11" ht="15.75" customHeight="1">
      <c r="K279" s="127"/>
    </row>
    <row r="280" spans="11:11" ht="15.75" customHeight="1">
      <c r="K280" s="127"/>
    </row>
    <row r="281" spans="11:11" ht="15.75" customHeight="1">
      <c r="K281" s="127"/>
    </row>
    <row r="282" spans="11:11" ht="15.75" customHeight="1">
      <c r="K282" s="127"/>
    </row>
    <row r="283" spans="11:11" ht="15.75" customHeight="1">
      <c r="K283" s="127"/>
    </row>
    <row r="284" spans="11:11" ht="15.75" customHeight="1">
      <c r="K284" s="127"/>
    </row>
    <row r="285" spans="11:11" ht="15.75" customHeight="1">
      <c r="K285" s="127"/>
    </row>
    <row r="286" spans="11:11" ht="15.75" customHeight="1">
      <c r="K286" s="127"/>
    </row>
    <row r="287" spans="11:11" ht="15.75" customHeight="1">
      <c r="K287" s="127"/>
    </row>
    <row r="288" spans="11:11" ht="15.75" customHeight="1">
      <c r="K288" s="127"/>
    </row>
    <row r="289" spans="11:11" ht="15.75" customHeight="1">
      <c r="K289" s="127"/>
    </row>
    <row r="290" spans="11:11" ht="15.75" customHeight="1">
      <c r="K290" s="127"/>
    </row>
    <row r="291" spans="11:11" ht="15.75" customHeight="1">
      <c r="K291" s="127"/>
    </row>
    <row r="292" spans="11:11" ht="15.75" customHeight="1">
      <c r="K292" s="127"/>
    </row>
    <row r="293" spans="11:11" ht="15.75" customHeight="1">
      <c r="K293" s="127"/>
    </row>
    <row r="294" spans="11:11" ht="15.75" customHeight="1">
      <c r="K294" s="127"/>
    </row>
    <row r="295" spans="11:11" ht="15.75" customHeight="1">
      <c r="K295" s="127"/>
    </row>
    <row r="296" spans="11:11" ht="15.75" customHeight="1">
      <c r="K296" s="127"/>
    </row>
    <row r="297" spans="11:11" ht="15.75" customHeight="1">
      <c r="K297" s="127"/>
    </row>
    <row r="298" spans="11:11" ht="15.75" customHeight="1">
      <c r="K298" s="127"/>
    </row>
    <row r="299" spans="11:11" ht="15.75" customHeight="1">
      <c r="K299" s="127"/>
    </row>
    <row r="300" spans="11:11" ht="15.75" customHeight="1">
      <c r="K300" s="127"/>
    </row>
    <row r="301" spans="11:11" ht="15.75" customHeight="1">
      <c r="K301" s="127"/>
    </row>
    <row r="302" spans="11:11" ht="15.75" customHeight="1">
      <c r="K302" s="127"/>
    </row>
    <row r="303" spans="11:11" ht="15.75" customHeight="1">
      <c r="K303" s="127"/>
    </row>
    <row r="304" spans="11:11" ht="15.75" customHeight="1">
      <c r="K304" s="127"/>
    </row>
    <row r="305" spans="11:11" ht="15.75" customHeight="1">
      <c r="K305" s="127"/>
    </row>
    <row r="306" spans="11:11" ht="15.75" customHeight="1">
      <c r="K306" s="127"/>
    </row>
    <row r="307" spans="11:11" ht="15.75" customHeight="1">
      <c r="K307" s="127"/>
    </row>
    <row r="308" spans="11:11" ht="15.75" customHeight="1">
      <c r="K308" s="127"/>
    </row>
    <row r="309" spans="11:11" ht="15.75" customHeight="1">
      <c r="K309" s="127"/>
    </row>
    <row r="310" spans="11:11" ht="15.75" customHeight="1">
      <c r="K310" s="127"/>
    </row>
    <row r="311" spans="11:11" ht="15.75" customHeight="1">
      <c r="K311" s="127"/>
    </row>
    <row r="312" spans="11:11" ht="15.75" customHeight="1">
      <c r="K312" s="127"/>
    </row>
    <row r="313" spans="11:11" ht="15.75" customHeight="1">
      <c r="K313" s="127"/>
    </row>
    <row r="314" spans="11:11" ht="15.75" customHeight="1">
      <c r="K314" s="127"/>
    </row>
    <row r="315" spans="11:11" ht="15.75" customHeight="1">
      <c r="K315" s="127"/>
    </row>
    <row r="316" spans="11:11" ht="15.75" customHeight="1">
      <c r="K316" s="127"/>
    </row>
    <row r="317" spans="11:11" ht="15.75" customHeight="1">
      <c r="K317" s="127"/>
    </row>
    <row r="318" spans="11:11" ht="15.75" customHeight="1">
      <c r="K318" s="127"/>
    </row>
    <row r="319" spans="11:11" ht="15.75" customHeight="1">
      <c r="K319" s="127"/>
    </row>
    <row r="320" spans="11:11" ht="15.75" customHeight="1">
      <c r="K320" s="127"/>
    </row>
    <row r="321" spans="11:11" ht="15.75" customHeight="1">
      <c r="K321" s="127"/>
    </row>
    <row r="322" spans="11:11" ht="15.75" customHeight="1">
      <c r="K322" s="127"/>
    </row>
    <row r="323" spans="11:11" ht="15.75" customHeight="1">
      <c r="K323" s="127"/>
    </row>
    <row r="324" spans="11:11" ht="15.75" customHeight="1">
      <c r="K324" s="127"/>
    </row>
    <row r="325" spans="11:11" ht="15.75" customHeight="1">
      <c r="K325" s="127"/>
    </row>
    <row r="326" spans="11:11" ht="15.75" customHeight="1">
      <c r="K326" s="127"/>
    </row>
    <row r="327" spans="11:11" ht="15.75" customHeight="1">
      <c r="K327" s="127"/>
    </row>
    <row r="328" spans="11:11" ht="15.75" customHeight="1">
      <c r="K328" s="127"/>
    </row>
    <row r="329" spans="11:11" ht="15.75" customHeight="1">
      <c r="K329" s="127"/>
    </row>
    <row r="330" spans="11:11" ht="15.75" customHeight="1">
      <c r="K330" s="127"/>
    </row>
    <row r="331" spans="11:11" ht="15.75" customHeight="1">
      <c r="K331" s="127"/>
    </row>
    <row r="332" spans="11:11" ht="15.75" customHeight="1">
      <c r="K332" s="127"/>
    </row>
    <row r="333" spans="11:11" ht="15.75" customHeight="1">
      <c r="K333" s="127"/>
    </row>
    <row r="334" spans="11:11" ht="15.75" customHeight="1">
      <c r="K334" s="127"/>
    </row>
    <row r="335" spans="11:11" ht="15.75" customHeight="1">
      <c r="K335" s="127"/>
    </row>
    <row r="336" spans="11:11" ht="15.75" customHeight="1">
      <c r="K336" s="127"/>
    </row>
    <row r="337" spans="11:11" ht="15.75" customHeight="1">
      <c r="K337" s="127"/>
    </row>
    <row r="338" spans="11:11" ht="15.75" customHeight="1">
      <c r="K338" s="127"/>
    </row>
    <row r="339" spans="11:11" ht="15.75" customHeight="1">
      <c r="K339" s="127"/>
    </row>
    <row r="340" spans="11:11" ht="15.75" customHeight="1">
      <c r="K340" s="127"/>
    </row>
    <row r="341" spans="11:11" ht="15.75" customHeight="1">
      <c r="K341" s="127"/>
    </row>
    <row r="342" spans="11:11" ht="15.75" customHeight="1">
      <c r="K342" s="127"/>
    </row>
    <row r="343" spans="11:11" ht="15.75" customHeight="1">
      <c r="K343" s="127"/>
    </row>
    <row r="344" spans="11:11" ht="15.75" customHeight="1">
      <c r="K344" s="127"/>
    </row>
    <row r="345" spans="11:11" ht="15.75" customHeight="1">
      <c r="K345" s="127"/>
    </row>
    <row r="346" spans="11:11" ht="15.75" customHeight="1">
      <c r="K346" s="127"/>
    </row>
    <row r="347" spans="11:11" ht="15.75" customHeight="1">
      <c r="K347" s="127"/>
    </row>
    <row r="348" spans="11:11" ht="15.75" customHeight="1">
      <c r="K348" s="127"/>
    </row>
    <row r="349" spans="11:11" ht="15.75" customHeight="1">
      <c r="K349" s="127"/>
    </row>
    <row r="350" spans="11:11" ht="15.75" customHeight="1">
      <c r="K350" s="127"/>
    </row>
    <row r="351" spans="11:11" ht="15.75" customHeight="1">
      <c r="K351" s="127"/>
    </row>
    <row r="352" spans="11:11" ht="15.75" customHeight="1">
      <c r="K352" s="127"/>
    </row>
    <row r="353" spans="11:11" ht="15.75" customHeight="1">
      <c r="K353" s="127"/>
    </row>
    <row r="354" spans="11:11" ht="15.75" customHeight="1">
      <c r="K354" s="127"/>
    </row>
    <row r="355" spans="11:11" ht="15.75" customHeight="1">
      <c r="K355" s="127"/>
    </row>
    <row r="356" spans="11:11" ht="15.75" customHeight="1">
      <c r="K356" s="127"/>
    </row>
    <row r="357" spans="11:11" ht="15.75" customHeight="1">
      <c r="K357" s="127"/>
    </row>
    <row r="358" spans="11:11" ht="15.75" customHeight="1">
      <c r="K358" s="127"/>
    </row>
    <row r="359" spans="11:11" ht="15.75" customHeight="1">
      <c r="K359" s="127"/>
    </row>
    <row r="360" spans="11:11" ht="15.75" customHeight="1">
      <c r="K360" s="127"/>
    </row>
    <row r="361" spans="11:11" ht="15.75" customHeight="1">
      <c r="K361" s="127"/>
    </row>
    <row r="362" spans="11:11" ht="15.75" customHeight="1">
      <c r="K362" s="127"/>
    </row>
    <row r="363" spans="11:11" ht="15.75" customHeight="1">
      <c r="K363" s="127"/>
    </row>
    <row r="364" spans="11:11" ht="15.75" customHeight="1">
      <c r="K364" s="127"/>
    </row>
    <row r="365" spans="11:11" ht="15.75" customHeight="1">
      <c r="K365" s="127"/>
    </row>
    <row r="366" spans="11:11" ht="15.75" customHeight="1">
      <c r="K366" s="127"/>
    </row>
    <row r="367" spans="11:11" ht="15.75" customHeight="1">
      <c r="K367" s="127"/>
    </row>
    <row r="368" spans="11:11" ht="15.75" customHeight="1">
      <c r="K368" s="127"/>
    </row>
    <row r="369" spans="11:11" ht="15.75" customHeight="1">
      <c r="K369" s="127"/>
    </row>
    <row r="370" spans="11:11" ht="15.75" customHeight="1">
      <c r="K370" s="127"/>
    </row>
    <row r="371" spans="11:11" ht="15.75" customHeight="1">
      <c r="K371" s="127"/>
    </row>
    <row r="372" spans="11:11" ht="15.75" customHeight="1">
      <c r="K372" s="127"/>
    </row>
    <row r="373" spans="11:11" ht="15.75" customHeight="1">
      <c r="K373" s="127"/>
    </row>
    <row r="374" spans="11:11" ht="15.75" customHeight="1">
      <c r="K374" s="127"/>
    </row>
    <row r="375" spans="11:11" ht="15.75" customHeight="1">
      <c r="K375" s="127"/>
    </row>
    <row r="376" spans="11:11" ht="15.75" customHeight="1">
      <c r="K376" s="127"/>
    </row>
    <row r="377" spans="11:11" ht="15.75" customHeight="1">
      <c r="K377" s="127"/>
    </row>
    <row r="378" spans="11:11" ht="15.75" customHeight="1">
      <c r="K378" s="127"/>
    </row>
    <row r="379" spans="11:11" ht="15.75" customHeight="1">
      <c r="K379" s="127"/>
    </row>
    <row r="380" spans="11:11" ht="15.75" customHeight="1">
      <c r="K380" s="127"/>
    </row>
    <row r="381" spans="11:11" ht="15.75" customHeight="1">
      <c r="K381" s="127"/>
    </row>
    <row r="382" spans="11:11" ht="15.75" customHeight="1">
      <c r="K382" s="127"/>
    </row>
    <row r="383" spans="11:11" ht="15.75" customHeight="1">
      <c r="K383" s="127"/>
    </row>
    <row r="384" spans="11:11" ht="15.75" customHeight="1">
      <c r="K384" s="127"/>
    </row>
    <row r="385" spans="11:11" ht="15.75" customHeight="1">
      <c r="K385" s="127"/>
    </row>
    <row r="386" spans="11:11" ht="15.75" customHeight="1">
      <c r="K386" s="127"/>
    </row>
    <row r="387" spans="11:11" ht="15.75" customHeight="1">
      <c r="K387" s="127"/>
    </row>
    <row r="388" spans="11:11" ht="15.75" customHeight="1">
      <c r="K388" s="127"/>
    </row>
    <row r="389" spans="11:11" ht="15.75" customHeight="1">
      <c r="K389" s="127"/>
    </row>
    <row r="390" spans="11:11" ht="15.75" customHeight="1">
      <c r="K390" s="127"/>
    </row>
    <row r="391" spans="11:11" ht="15.75" customHeight="1">
      <c r="K391" s="127"/>
    </row>
    <row r="392" spans="11:11" ht="15.75" customHeight="1">
      <c r="K392" s="127"/>
    </row>
    <row r="393" spans="11:11" ht="15.75" customHeight="1">
      <c r="K393" s="127"/>
    </row>
    <row r="394" spans="11:11" ht="15.75" customHeight="1">
      <c r="K394" s="127"/>
    </row>
    <row r="395" spans="11:11" ht="15.75" customHeight="1">
      <c r="K395" s="127"/>
    </row>
    <row r="396" spans="11:11" ht="15.75" customHeight="1">
      <c r="K396" s="127"/>
    </row>
    <row r="397" spans="11:11" ht="15.75" customHeight="1">
      <c r="K397" s="127"/>
    </row>
    <row r="398" spans="11:11" ht="15.75" customHeight="1">
      <c r="K398" s="127"/>
    </row>
    <row r="399" spans="11:11" ht="15.75" customHeight="1">
      <c r="K399" s="127"/>
    </row>
    <row r="400" spans="11:11" ht="15.75" customHeight="1">
      <c r="K400" s="127"/>
    </row>
    <row r="401" spans="11:11" ht="15.75" customHeight="1">
      <c r="K401" s="127"/>
    </row>
    <row r="402" spans="11:11" ht="15.75" customHeight="1">
      <c r="K402" s="127"/>
    </row>
    <row r="403" spans="11:11" ht="15.75" customHeight="1">
      <c r="K403" s="127"/>
    </row>
    <row r="404" spans="11:11" ht="15.75" customHeight="1">
      <c r="K404" s="127"/>
    </row>
    <row r="405" spans="11:11" ht="15.75" customHeight="1">
      <c r="K405" s="127"/>
    </row>
    <row r="406" spans="11:11" ht="15.75" customHeight="1">
      <c r="K406" s="127"/>
    </row>
    <row r="407" spans="11:11" ht="15.75" customHeight="1">
      <c r="K407" s="127"/>
    </row>
    <row r="408" spans="11:11" ht="15.75" customHeight="1">
      <c r="K408" s="127"/>
    </row>
    <row r="409" spans="11:11" ht="15.75" customHeight="1">
      <c r="K409" s="127"/>
    </row>
    <row r="410" spans="11:11" ht="15.75" customHeight="1">
      <c r="K410" s="127"/>
    </row>
    <row r="411" spans="11:11" ht="15.75" customHeight="1">
      <c r="K411" s="127"/>
    </row>
    <row r="412" spans="11:11" ht="15.75" customHeight="1">
      <c r="K412" s="127"/>
    </row>
    <row r="413" spans="11:11" ht="15.75" customHeight="1">
      <c r="K413" s="127"/>
    </row>
    <row r="414" spans="11:11" ht="15.75" customHeight="1">
      <c r="K414" s="127"/>
    </row>
    <row r="415" spans="11:11" ht="15.75" customHeight="1">
      <c r="K415" s="127"/>
    </row>
    <row r="416" spans="11:11" ht="15.75" customHeight="1">
      <c r="K416" s="127"/>
    </row>
    <row r="417" spans="11:11" ht="15.75" customHeight="1">
      <c r="K417" s="127"/>
    </row>
    <row r="418" spans="11:11" ht="15.75" customHeight="1">
      <c r="K418" s="127"/>
    </row>
    <row r="419" spans="11:11" ht="15.75" customHeight="1">
      <c r="K419" s="127"/>
    </row>
    <row r="420" spans="11:11" ht="15.75" customHeight="1">
      <c r="K420" s="127"/>
    </row>
    <row r="421" spans="11:11" ht="15.75" customHeight="1">
      <c r="K421" s="127"/>
    </row>
    <row r="422" spans="11:11" ht="15.75" customHeight="1">
      <c r="K422" s="127"/>
    </row>
    <row r="423" spans="11:11" ht="15.75" customHeight="1">
      <c r="K423" s="127"/>
    </row>
    <row r="424" spans="11:11" ht="15.75" customHeight="1">
      <c r="K424" s="127"/>
    </row>
    <row r="425" spans="11:11" ht="15.75" customHeight="1">
      <c r="K425" s="127"/>
    </row>
    <row r="426" spans="11:11" ht="15.75" customHeight="1">
      <c r="K426" s="127"/>
    </row>
    <row r="427" spans="11:11" ht="15.75" customHeight="1">
      <c r="K427" s="127"/>
    </row>
    <row r="428" spans="11:11" ht="15.75" customHeight="1">
      <c r="K428" s="127"/>
    </row>
    <row r="429" spans="11:11" ht="15.75" customHeight="1">
      <c r="K429" s="127"/>
    </row>
    <row r="430" spans="11:11" ht="15.75" customHeight="1">
      <c r="K430" s="127"/>
    </row>
    <row r="431" spans="11:11" ht="15.75" customHeight="1">
      <c r="K431" s="127"/>
    </row>
    <row r="432" spans="11:11" ht="15.75" customHeight="1">
      <c r="K432" s="127"/>
    </row>
    <row r="433" spans="11:11" ht="15.75" customHeight="1">
      <c r="K433" s="127"/>
    </row>
    <row r="434" spans="11:11" ht="15.75" customHeight="1">
      <c r="K434" s="127"/>
    </row>
    <row r="435" spans="11:11" ht="15.75" customHeight="1">
      <c r="K435" s="127"/>
    </row>
    <row r="436" spans="11:11" ht="15.75" customHeight="1">
      <c r="K436" s="127"/>
    </row>
    <row r="437" spans="11:11" ht="15.75" customHeight="1">
      <c r="K437" s="127"/>
    </row>
    <row r="438" spans="11:11" ht="15.75" customHeight="1">
      <c r="K438" s="127"/>
    </row>
    <row r="439" spans="11:11" ht="15.75" customHeight="1">
      <c r="K439" s="127"/>
    </row>
    <row r="440" spans="11:11" ht="15.75" customHeight="1">
      <c r="K440" s="127"/>
    </row>
    <row r="441" spans="11:11" ht="15.75" customHeight="1">
      <c r="K441" s="127"/>
    </row>
    <row r="442" spans="11:11" ht="15.75" customHeight="1">
      <c r="K442" s="127"/>
    </row>
    <row r="443" spans="11:11" ht="15.75" customHeight="1">
      <c r="K443" s="127"/>
    </row>
    <row r="444" spans="11:11" ht="15.75" customHeight="1">
      <c r="K444" s="127"/>
    </row>
    <row r="445" spans="11:11" ht="15.75" customHeight="1">
      <c r="K445" s="127"/>
    </row>
    <row r="446" spans="11:11" ht="15.75" customHeight="1">
      <c r="K446" s="127"/>
    </row>
    <row r="447" spans="11:11" ht="15.75" customHeight="1">
      <c r="K447" s="127"/>
    </row>
    <row r="448" spans="11:11" ht="15.75" customHeight="1">
      <c r="K448" s="127"/>
    </row>
    <row r="449" spans="11:11" ht="15.75" customHeight="1">
      <c r="K449" s="127"/>
    </row>
    <row r="450" spans="11:11" ht="15.75" customHeight="1">
      <c r="K450" s="127"/>
    </row>
    <row r="451" spans="11:11" ht="15.75" customHeight="1">
      <c r="K451" s="127"/>
    </row>
    <row r="452" spans="11:11" ht="15.75" customHeight="1">
      <c r="K452" s="127"/>
    </row>
    <row r="453" spans="11:11" ht="15.75" customHeight="1">
      <c r="K453" s="127"/>
    </row>
    <row r="454" spans="11:11" ht="15.75" customHeight="1">
      <c r="K454" s="127"/>
    </row>
    <row r="455" spans="11:11" ht="15.75" customHeight="1">
      <c r="K455" s="127"/>
    </row>
    <row r="456" spans="11:11" ht="15.75" customHeight="1">
      <c r="K456" s="127"/>
    </row>
    <row r="457" spans="11:11" ht="15.75" customHeight="1">
      <c r="K457" s="127"/>
    </row>
    <row r="458" spans="11:11" ht="15.75" customHeight="1">
      <c r="K458" s="127"/>
    </row>
    <row r="459" spans="11:11" ht="15.75" customHeight="1">
      <c r="K459" s="127"/>
    </row>
    <row r="460" spans="11:11" ht="15.75" customHeight="1">
      <c r="K460" s="127"/>
    </row>
    <row r="461" spans="11:11" ht="15.75" customHeight="1">
      <c r="K461" s="127"/>
    </row>
    <row r="462" spans="11:11" ht="15.75" customHeight="1">
      <c r="K462" s="127"/>
    </row>
    <row r="463" spans="11:11" ht="15.75" customHeight="1">
      <c r="K463" s="127"/>
    </row>
    <row r="464" spans="11:11" ht="15.75" customHeight="1">
      <c r="K464" s="127"/>
    </row>
    <row r="465" spans="11:11" ht="15.75" customHeight="1">
      <c r="K465" s="127"/>
    </row>
    <row r="466" spans="11:11" ht="15.75" customHeight="1">
      <c r="K466" s="127"/>
    </row>
    <row r="467" spans="11:11" ht="15.75" customHeight="1">
      <c r="K467" s="127"/>
    </row>
    <row r="468" spans="11:11" ht="15.75" customHeight="1">
      <c r="K468" s="127"/>
    </row>
    <row r="469" spans="11:11" ht="15.75" customHeight="1">
      <c r="K469" s="127"/>
    </row>
    <row r="470" spans="11:11" ht="15.75" customHeight="1">
      <c r="K470" s="127"/>
    </row>
    <row r="471" spans="11:11" ht="15.75" customHeight="1">
      <c r="K471" s="127"/>
    </row>
    <row r="472" spans="11:11" ht="15.75" customHeight="1">
      <c r="K472" s="127"/>
    </row>
    <row r="473" spans="11:11" ht="15.75" customHeight="1">
      <c r="K473" s="127"/>
    </row>
    <row r="474" spans="11:11" ht="15.75" customHeight="1">
      <c r="K474" s="127"/>
    </row>
    <row r="475" spans="11:11" ht="15.75" customHeight="1">
      <c r="K475" s="127"/>
    </row>
    <row r="476" spans="11:11" ht="15.75" customHeight="1">
      <c r="K476" s="127"/>
    </row>
    <row r="477" spans="11:11" ht="15.75" customHeight="1">
      <c r="K477" s="127"/>
    </row>
    <row r="478" spans="11:11" ht="15.75" customHeight="1">
      <c r="K478" s="127"/>
    </row>
    <row r="479" spans="11:11" ht="15.75" customHeight="1">
      <c r="K479" s="127"/>
    </row>
    <row r="480" spans="11:11" ht="15.75" customHeight="1">
      <c r="K480" s="127"/>
    </row>
    <row r="481" spans="11:11" ht="15.75" customHeight="1">
      <c r="K481" s="127"/>
    </row>
    <row r="482" spans="11:11" ht="15.75" customHeight="1">
      <c r="K482" s="127"/>
    </row>
    <row r="483" spans="11:11" ht="15.75" customHeight="1">
      <c r="K483" s="127"/>
    </row>
    <row r="484" spans="11:11" ht="15.75" customHeight="1">
      <c r="K484" s="127"/>
    </row>
    <row r="485" spans="11:11" ht="15.75" customHeight="1">
      <c r="K485" s="127"/>
    </row>
    <row r="486" spans="11:11" ht="15.75" customHeight="1">
      <c r="K486" s="127"/>
    </row>
    <row r="487" spans="11:11" ht="15.75" customHeight="1">
      <c r="K487" s="127"/>
    </row>
    <row r="488" spans="11:11" ht="15.75" customHeight="1">
      <c r="K488" s="127"/>
    </row>
    <row r="489" spans="11:11" ht="15.75" customHeight="1">
      <c r="K489" s="127"/>
    </row>
    <row r="490" spans="11:11" ht="15.75" customHeight="1">
      <c r="K490" s="127"/>
    </row>
    <row r="491" spans="11:11" ht="15.75" customHeight="1">
      <c r="K491" s="127"/>
    </row>
    <row r="492" spans="11:11" ht="15.75" customHeight="1">
      <c r="K492" s="127"/>
    </row>
    <row r="493" spans="11:11" ht="15.75" customHeight="1">
      <c r="K493" s="127"/>
    </row>
    <row r="494" spans="11:11" ht="15.75" customHeight="1">
      <c r="K494" s="127"/>
    </row>
    <row r="495" spans="11:11" ht="15.75" customHeight="1">
      <c r="K495" s="127"/>
    </row>
    <row r="496" spans="11:11" ht="15.75" customHeight="1">
      <c r="K496" s="127"/>
    </row>
    <row r="497" spans="11:11" ht="15.75" customHeight="1">
      <c r="K497" s="127"/>
    </row>
    <row r="498" spans="11:11" ht="15.75" customHeight="1">
      <c r="K498" s="127"/>
    </row>
    <row r="499" spans="11:11" ht="15.75" customHeight="1">
      <c r="K499" s="127"/>
    </row>
    <row r="500" spans="11:11" ht="15.75" customHeight="1">
      <c r="K500" s="127"/>
    </row>
    <row r="501" spans="11:11" ht="15.75" customHeight="1">
      <c r="K501" s="127"/>
    </row>
    <row r="502" spans="11:11" ht="15.75" customHeight="1">
      <c r="K502" s="127"/>
    </row>
    <row r="503" spans="11:11" ht="15.75" customHeight="1">
      <c r="K503" s="127"/>
    </row>
    <row r="504" spans="11:11" ht="15.75" customHeight="1">
      <c r="K504" s="127"/>
    </row>
    <row r="505" spans="11:11" ht="15.75" customHeight="1">
      <c r="K505" s="127"/>
    </row>
    <row r="506" spans="11:11" ht="15.75" customHeight="1">
      <c r="K506" s="127"/>
    </row>
    <row r="507" spans="11:11" ht="15.75" customHeight="1">
      <c r="K507" s="127"/>
    </row>
    <row r="508" spans="11:11" ht="15.75" customHeight="1">
      <c r="K508" s="127"/>
    </row>
    <row r="509" spans="11:11" ht="15.75" customHeight="1">
      <c r="K509" s="127"/>
    </row>
    <row r="510" spans="11:11" ht="15.75" customHeight="1">
      <c r="K510" s="127"/>
    </row>
    <row r="511" spans="11:11" ht="15.75" customHeight="1">
      <c r="K511" s="127"/>
    </row>
    <row r="512" spans="11:11" ht="15.75" customHeight="1">
      <c r="K512" s="127"/>
    </row>
    <row r="513" spans="11:11" ht="15.75" customHeight="1">
      <c r="K513" s="127"/>
    </row>
    <row r="514" spans="11:11" ht="15.75" customHeight="1">
      <c r="K514" s="127"/>
    </row>
    <row r="515" spans="11:11" ht="15.75" customHeight="1">
      <c r="K515" s="127"/>
    </row>
    <row r="516" spans="11:11" ht="15.75" customHeight="1">
      <c r="K516" s="127"/>
    </row>
    <row r="517" spans="11:11" ht="15.75" customHeight="1">
      <c r="K517" s="127"/>
    </row>
    <row r="518" spans="11:11" ht="15.75" customHeight="1">
      <c r="K518" s="127"/>
    </row>
    <row r="519" spans="11:11" ht="15.75" customHeight="1">
      <c r="K519" s="127"/>
    </row>
    <row r="520" spans="11:11" ht="15.75" customHeight="1">
      <c r="K520" s="127"/>
    </row>
    <row r="521" spans="11:11" ht="15.75" customHeight="1">
      <c r="K521" s="127"/>
    </row>
    <row r="522" spans="11:11" ht="15.75" customHeight="1">
      <c r="K522" s="127"/>
    </row>
    <row r="523" spans="11:11" ht="15.75" customHeight="1">
      <c r="K523" s="127"/>
    </row>
    <row r="524" spans="11:11" ht="15.75" customHeight="1">
      <c r="K524" s="127"/>
    </row>
    <row r="525" spans="11:11" ht="15.75" customHeight="1">
      <c r="K525" s="127"/>
    </row>
    <row r="526" spans="11:11" ht="15.75" customHeight="1">
      <c r="K526" s="127"/>
    </row>
    <row r="527" spans="11:11" ht="15.75" customHeight="1">
      <c r="K527" s="127"/>
    </row>
    <row r="528" spans="11:11" ht="15.75" customHeight="1">
      <c r="K528" s="127"/>
    </row>
    <row r="529" spans="11:11" ht="15.75" customHeight="1">
      <c r="K529" s="127"/>
    </row>
    <row r="530" spans="11:11" ht="15.75" customHeight="1">
      <c r="K530" s="127"/>
    </row>
    <row r="531" spans="11:11" ht="15.75" customHeight="1">
      <c r="K531" s="127"/>
    </row>
    <row r="532" spans="11:11" ht="15.75" customHeight="1">
      <c r="K532" s="127"/>
    </row>
    <row r="533" spans="11:11" ht="15.75" customHeight="1">
      <c r="K533" s="127"/>
    </row>
    <row r="534" spans="11:11" ht="15.75" customHeight="1">
      <c r="K534" s="127"/>
    </row>
    <row r="535" spans="11:11" ht="15.75" customHeight="1">
      <c r="K535" s="127"/>
    </row>
    <row r="536" spans="11:11" ht="15.75" customHeight="1">
      <c r="K536" s="127"/>
    </row>
    <row r="537" spans="11:11" ht="15.75" customHeight="1">
      <c r="K537" s="127"/>
    </row>
    <row r="538" spans="11:11" ht="15.75" customHeight="1">
      <c r="K538" s="127"/>
    </row>
    <row r="539" spans="11:11" ht="15.75" customHeight="1">
      <c r="K539" s="127"/>
    </row>
    <row r="540" spans="11:11" ht="15.75" customHeight="1">
      <c r="K540" s="127"/>
    </row>
    <row r="541" spans="11:11" ht="15.75" customHeight="1">
      <c r="K541" s="127"/>
    </row>
    <row r="542" spans="11:11" ht="15.75" customHeight="1">
      <c r="K542" s="127"/>
    </row>
    <row r="543" spans="11:11" ht="15.75" customHeight="1">
      <c r="K543" s="127"/>
    </row>
    <row r="544" spans="11:11" ht="15.75" customHeight="1">
      <c r="K544" s="127"/>
    </row>
    <row r="545" spans="11:11" ht="15.75" customHeight="1">
      <c r="K545" s="127"/>
    </row>
    <row r="546" spans="11:11" ht="15.75" customHeight="1">
      <c r="K546" s="127"/>
    </row>
    <row r="547" spans="11:11" ht="15.75" customHeight="1">
      <c r="K547" s="127"/>
    </row>
    <row r="548" spans="11:11" ht="15.75" customHeight="1">
      <c r="K548" s="127"/>
    </row>
    <row r="549" spans="11:11" ht="15.75" customHeight="1">
      <c r="K549" s="127"/>
    </row>
    <row r="550" spans="11:11" ht="15.75" customHeight="1">
      <c r="K550" s="127"/>
    </row>
    <row r="551" spans="11:11" ht="15.75" customHeight="1">
      <c r="K551" s="127"/>
    </row>
    <row r="552" spans="11:11" ht="15.75" customHeight="1">
      <c r="K552" s="127"/>
    </row>
    <row r="553" spans="11:11" ht="15.75" customHeight="1">
      <c r="K553" s="127"/>
    </row>
    <row r="554" spans="11:11" ht="15.75" customHeight="1">
      <c r="K554" s="127"/>
    </row>
    <row r="555" spans="11:11" ht="15.75" customHeight="1">
      <c r="K555" s="127"/>
    </row>
    <row r="556" spans="11:11" ht="15.75" customHeight="1">
      <c r="K556" s="127"/>
    </row>
    <row r="557" spans="11:11" ht="15.75" customHeight="1">
      <c r="K557" s="127"/>
    </row>
    <row r="558" spans="11:11" ht="15.75" customHeight="1">
      <c r="K558" s="127"/>
    </row>
    <row r="559" spans="11:11" ht="15.75" customHeight="1">
      <c r="K559" s="127"/>
    </row>
    <row r="560" spans="11:11" ht="15.75" customHeight="1">
      <c r="K560" s="127"/>
    </row>
    <row r="561" spans="11:11" ht="15.75" customHeight="1">
      <c r="K561" s="127"/>
    </row>
    <row r="562" spans="11:11" ht="15.75" customHeight="1">
      <c r="K562" s="127"/>
    </row>
    <row r="563" spans="11:11" ht="15.75" customHeight="1">
      <c r="K563" s="127"/>
    </row>
    <row r="564" spans="11:11" ht="15.75" customHeight="1">
      <c r="K564" s="127"/>
    </row>
    <row r="565" spans="11:11" ht="15.75" customHeight="1">
      <c r="K565" s="127"/>
    </row>
    <row r="566" spans="11:11" ht="15.75" customHeight="1">
      <c r="K566" s="127"/>
    </row>
    <row r="567" spans="11:11" ht="15.75" customHeight="1">
      <c r="K567" s="127"/>
    </row>
    <row r="568" spans="11:11" ht="15.75" customHeight="1">
      <c r="K568" s="127"/>
    </row>
    <row r="569" spans="11:11" ht="15.75" customHeight="1">
      <c r="K569" s="127"/>
    </row>
    <row r="570" spans="11:11" ht="15.75" customHeight="1">
      <c r="K570" s="127"/>
    </row>
    <row r="571" spans="11:11" ht="15.75" customHeight="1">
      <c r="K571" s="127"/>
    </row>
    <row r="572" spans="11:11" ht="15.75" customHeight="1">
      <c r="K572" s="127"/>
    </row>
    <row r="573" spans="11:11" ht="15.75" customHeight="1">
      <c r="K573" s="127"/>
    </row>
    <row r="574" spans="11:11" ht="15.75" customHeight="1">
      <c r="K574" s="127"/>
    </row>
    <row r="575" spans="11:11" ht="15.75" customHeight="1">
      <c r="K575" s="127"/>
    </row>
    <row r="576" spans="11:11" ht="15.75" customHeight="1">
      <c r="K576" s="127"/>
    </row>
    <row r="577" spans="11:11" ht="15.75" customHeight="1">
      <c r="K577" s="127"/>
    </row>
    <row r="578" spans="11:11" ht="15.75" customHeight="1">
      <c r="K578" s="127"/>
    </row>
    <row r="579" spans="11:11" ht="15.75" customHeight="1">
      <c r="K579" s="127"/>
    </row>
    <row r="580" spans="11:11" ht="15.75" customHeight="1">
      <c r="K580" s="127"/>
    </row>
    <row r="581" spans="11:11" ht="15.75" customHeight="1">
      <c r="K581" s="127"/>
    </row>
    <row r="582" spans="11:11" ht="15.75" customHeight="1">
      <c r="K582" s="127"/>
    </row>
    <row r="583" spans="11:11" ht="15.75" customHeight="1">
      <c r="K583" s="127"/>
    </row>
    <row r="584" spans="11:11" ht="15.75" customHeight="1">
      <c r="K584" s="127"/>
    </row>
    <row r="585" spans="11:11" ht="15.75" customHeight="1">
      <c r="K585" s="127"/>
    </row>
    <row r="586" spans="11:11" ht="15.75" customHeight="1">
      <c r="K586" s="127"/>
    </row>
    <row r="587" spans="11:11" ht="15.75" customHeight="1">
      <c r="K587" s="127"/>
    </row>
    <row r="588" spans="11:11" ht="15.75" customHeight="1">
      <c r="K588" s="127"/>
    </row>
    <row r="589" spans="11:11" ht="15.75" customHeight="1">
      <c r="K589" s="127"/>
    </row>
    <row r="590" spans="11:11" ht="15.75" customHeight="1">
      <c r="K590" s="127"/>
    </row>
    <row r="591" spans="11:11" ht="15.75" customHeight="1">
      <c r="K591" s="127"/>
    </row>
    <row r="592" spans="11:11" ht="15.75" customHeight="1">
      <c r="K592" s="127"/>
    </row>
    <row r="593" spans="11:11" ht="15.75" customHeight="1">
      <c r="K593" s="127"/>
    </row>
    <row r="594" spans="11:11" ht="15.75" customHeight="1">
      <c r="K594" s="127"/>
    </row>
    <row r="595" spans="11:11" ht="15.75" customHeight="1">
      <c r="K595" s="127"/>
    </row>
    <row r="596" spans="11:11" ht="15.75" customHeight="1">
      <c r="K596" s="127"/>
    </row>
    <row r="597" spans="11:11" ht="15.75" customHeight="1">
      <c r="K597" s="127"/>
    </row>
    <row r="598" spans="11:11" ht="15.75" customHeight="1">
      <c r="K598" s="127"/>
    </row>
    <row r="599" spans="11:11" ht="15.75" customHeight="1">
      <c r="K599" s="127"/>
    </row>
    <row r="600" spans="11:11" ht="15.75" customHeight="1">
      <c r="K600" s="127"/>
    </row>
    <row r="601" spans="11:11" ht="15.75" customHeight="1">
      <c r="K601" s="127"/>
    </row>
    <row r="602" spans="11:11" ht="15.75" customHeight="1">
      <c r="K602" s="127"/>
    </row>
    <row r="603" spans="11:11" ht="15.75" customHeight="1">
      <c r="K603" s="127"/>
    </row>
    <row r="604" spans="11:11" ht="15.75" customHeight="1">
      <c r="K604" s="127"/>
    </row>
    <row r="605" spans="11:11" ht="15.75" customHeight="1">
      <c r="K605" s="127"/>
    </row>
    <row r="606" spans="11:11" ht="15.75" customHeight="1">
      <c r="K606" s="127"/>
    </row>
    <row r="607" spans="11:11" ht="15.75" customHeight="1">
      <c r="K607" s="127"/>
    </row>
    <row r="608" spans="11:11" ht="15.75" customHeight="1">
      <c r="K608" s="127"/>
    </row>
    <row r="609" spans="11:11" ht="15.75" customHeight="1">
      <c r="K609" s="127"/>
    </row>
    <row r="610" spans="11:11" ht="15.75" customHeight="1">
      <c r="K610" s="127"/>
    </row>
    <row r="611" spans="11:11" ht="15.75" customHeight="1">
      <c r="K611" s="127"/>
    </row>
    <row r="612" spans="11:11" ht="15.75" customHeight="1">
      <c r="K612" s="127"/>
    </row>
    <row r="613" spans="11:11" ht="15.75" customHeight="1">
      <c r="K613" s="127"/>
    </row>
    <row r="614" spans="11:11" ht="15.75" customHeight="1">
      <c r="K614" s="127"/>
    </row>
    <row r="615" spans="11:11" ht="15.75" customHeight="1">
      <c r="K615" s="127"/>
    </row>
    <row r="616" spans="11:11" ht="15.75" customHeight="1">
      <c r="K616" s="127"/>
    </row>
    <row r="617" spans="11:11" ht="15.75" customHeight="1">
      <c r="K617" s="127"/>
    </row>
    <row r="618" spans="11:11" ht="15.75" customHeight="1">
      <c r="K618" s="127"/>
    </row>
    <row r="619" spans="11:11" ht="15.75" customHeight="1">
      <c r="K619" s="127"/>
    </row>
    <row r="620" spans="11:11" ht="15.75" customHeight="1">
      <c r="K620" s="127"/>
    </row>
    <row r="621" spans="11:11" ht="15.75" customHeight="1">
      <c r="K621" s="127"/>
    </row>
    <row r="622" spans="11:11" ht="15.75" customHeight="1">
      <c r="K622" s="127"/>
    </row>
    <row r="623" spans="11:11" ht="15.75" customHeight="1">
      <c r="K623" s="127"/>
    </row>
    <row r="624" spans="11:11" ht="15.75" customHeight="1">
      <c r="K624" s="127"/>
    </row>
    <row r="625" spans="11:11" ht="15.75" customHeight="1">
      <c r="K625" s="127"/>
    </row>
    <row r="626" spans="11:11" ht="15.75" customHeight="1">
      <c r="K626" s="127"/>
    </row>
    <row r="627" spans="11:11" ht="15.75" customHeight="1">
      <c r="K627" s="127"/>
    </row>
    <row r="628" spans="11:11" ht="15.75" customHeight="1">
      <c r="K628" s="127"/>
    </row>
    <row r="629" spans="11:11" ht="15.75" customHeight="1">
      <c r="K629" s="127"/>
    </row>
    <row r="630" spans="11:11" ht="15.75" customHeight="1">
      <c r="K630" s="127"/>
    </row>
    <row r="631" spans="11:11" ht="15.75" customHeight="1">
      <c r="K631" s="127"/>
    </row>
    <row r="632" spans="11:11" ht="15.75" customHeight="1">
      <c r="K632" s="127"/>
    </row>
    <row r="633" spans="11:11" ht="15.75" customHeight="1">
      <c r="K633" s="127"/>
    </row>
    <row r="634" spans="11:11" ht="15.75" customHeight="1">
      <c r="K634" s="127"/>
    </row>
    <row r="635" spans="11:11" ht="15.75" customHeight="1">
      <c r="K635" s="127"/>
    </row>
    <row r="636" spans="11:11" ht="15.75" customHeight="1">
      <c r="K636" s="127"/>
    </row>
    <row r="637" spans="11:11" ht="15.75" customHeight="1">
      <c r="K637" s="127"/>
    </row>
    <row r="638" spans="11:11" ht="15.75" customHeight="1">
      <c r="K638" s="127"/>
    </row>
    <row r="639" spans="11:11" ht="15.75" customHeight="1">
      <c r="K639" s="127"/>
    </row>
    <row r="640" spans="11:11" ht="15.75" customHeight="1">
      <c r="K640" s="127"/>
    </row>
    <row r="641" spans="11:11" ht="15.75" customHeight="1">
      <c r="K641" s="127"/>
    </row>
    <row r="642" spans="11:11" ht="15.75" customHeight="1">
      <c r="K642" s="127"/>
    </row>
    <row r="643" spans="11:11" ht="15.75" customHeight="1">
      <c r="K643" s="127"/>
    </row>
    <row r="644" spans="11:11" ht="15.75" customHeight="1">
      <c r="K644" s="127"/>
    </row>
    <row r="645" spans="11:11" ht="15.75" customHeight="1">
      <c r="K645" s="127"/>
    </row>
    <row r="646" spans="11:11" ht="15.75" customHeight="1">
      <c r="K646" s="127"/>
    </row>
    <row r="647" spans="11:11" ht="15.75" customHeight="1">
      <c r="K647" s="127"/>
    </row>
    <row r="648" spans="11:11" ht="15.75" customHeight="1">
      <c r="K648" s="127"/>
    </row>
    <row r="649" spans="11:11" ht="15.75" customHeight="1">
      <c r="K649" s="127"/>
    </row>
    <row r="650" spans="11:11" ht="15.75" customHeight="1">
      <c r="K650" s="127"/>
    </row>
    <row r="651" spans="11:11" ht="15.75" customHeight="1">
      <c r="K651" s="127"/>
    </row>
    <row r="652" spans="11:11" ht="15.75" customHeight="1">
      <c r="K652" s="127"/>
    </row>
    <row r="653" spans="11:11" ht="15.75" customHeight="1">
      <c r="K653" s="127"/>
    </row>
    <row r="654" spans="11:11" ht="15.75" customHeight="1">
      <c r="K654" s="127"/>
    </row>
    <row r="655" spans="11:11" ht="15.75" customHeight="1">
      <c r="K655" s="127"/>
    </row>
    <row r="656" spans="11:11" ht="15.75" customHeight="1">
      <c r="K656" s="127"/>
    </row>
    <row r="657" spans="11:11" ht="15.75" customHeight="1">
      <c r="K657" s="127"/>
    </row>
    <row r="658" spans="11:11" ht="15.75" customHeight="1">
      <c r="K658" s="127"/>
    </row>
    <row r="659" spans="11:11" ht="15.75" customHeight="1">
      <c r="K659" s="127"/>
    </row>
    <row r="660" spans="11:11" ht="15.75" customHeight="1">
      <c r="K660" s="127"/>
    </row>
    <row r="661" spans="11:11" ht="15.75" customHeight="1">
      <c r="K661" s="127"/>
    </row>
    <row r="662" spans="11:11" ht="15.75" customHeight="1">
      <c r="K662" s="127"/>
    </row>
    <row r="663" spans="11:11" ht="15.75" customHeight="1">
      <c r="K663" s="127"/>
    </row>
    <row r="664" spans="11:11" ht="15.75" customHeight="1">
      <c r="K664" s="127"/>
    </row>
    <row r="665" spans="11:11" ht="15.75" customHeight="1">
      <c r="K665" s="127"/>
    </row>
    <row r="666" spans="11:11" ht="15.75" customHeight="1">
      <c r="K666" s="127"/>
    </row>
    <row r="667" spans="11:11" ht="15.75" customHeight="1">
      <c r="K667" s="127"/>
    </row>
    <row r="668" spans="11:11" ht="15.75" customHeight="1">
      <c r="K668" s="127"/>
    </row>
    <row r="669" spans="11:11" ht="15.75" customHeight="1">
      <c r="K669" s="127"/>
    </row>
    <row r="670" spans="11:11" ht="15.75" customHeight="1">
      <c r="K670" s="127"/>
    </row>
    <row r="671" spans="11:11" ht="15.75" customHeight="1">
      <c r="K671" s="127"/>
    </row>
    <row r="672" spans="11:11" ht="15.75" customHeight="1">
      <c r="K672" s="127"/>
    </row>
    <row r="673" spans="11:11" ht="15.75" customHeight="1">
      <c r="K673" s="127"/>
    </row>
    <row r="674" spans="11:11" ht="15.75" customHeight="1">
      <c r="K674" s="127"/>
    </row>
    <row r="675" spans="11:11" ht="15.75" customHeight="1">
      <c r="K675" s="127"/>
    </row>
    <row r="676" spans="11:11" ht="15.75" customHeight="1">
      <c r="K676" s="127"/>
    </row>
    <row r="677" spans="11:11" ht="15.75" customHeight="1">
      <c r="K677" s="127"/>
    </row>
    <row r="678" spans="11:11" ht="15.75" customHeight="1">
      <c r="K678" s="127"/>
    </row>
    <row r="679" spans="11:11" ht="15.75" customHeight="1">
      <c r="K679" s="127"/>
    </row>
    <row r="680" spans="11:11" ht="15.75" customHeight="1">
      <c r="K680" s="127"/>
    </row>
    <row r="681" spans="11:11" ht="15.75" customHeight="1">
      <c r="K681" s="127"/>
    </row>
    <row r="682" spans="11:11" ht="15.75" customHeight="1">
      <c r="K682" s="127"/>
    </row>
    <row r="683" spans="11:11" ht="15.75" customHeight="1">
      <c r="K683" s="127"/>
    </row>
    <row r="684" spans="11:11" ht="15.75" customHeight="1">
      <c r="K684" s="127"/>
    </row>
    <row r="685" spans="11:11" ht="15.75" customHeight="1">
      <c r="K685" s="127"/>
    </row>
    <row r="686" spans="11:11" ht="15.75" customHeight="1">
      <c r="K686" s="127"/>
    </row>
    <row r="687" spans="11:11" ht="15.75" customHeight="1">
      <c r="K687" s="127"/>
    </row>
    <row r="688" spans="11:11" ht="15.75" customHeight="1">
      <c r="K688" s="127"/>
    </row>
    <row r="689" spans="11:11" ht="15.75" customHeight="1">
      <c r="K689" s="127"/>
    </row>
    <row r="690" spans="11:11" ht="15.75" customHeight="1">
      <c r="K690" s="127"/>
    </row>
    <row r="691" spans="11:11" ht="15.75" customHeight="1">
      <c r="K691" s="127"/>
    </row>
    <row r="692" spans="11:11" ht="15.75" customHeight="1">
      <c r="K692" s="127"/>
    </row>
    <row r="693" spans="11:11" ht="15.75" customHeight="1">
      <c r="K693" s="127"/>
    </row>
    <row r="694" spans="11:11" ht="15.75" customHeight="1">
      <c r="K694" s="127"/>
    </row>
    <row r="695" spans="11:11" ht="15.75" customHeight="1">
      <c r="K695" s="127"/>
    </row>
    <row r="696" spans="11:11" ht="15.75" customHeight="1">
      <c r="K696" s="127"/>
    </row>
    <row r="697" spans="11:11" ht="15.75" customHeight="1">
      <c r="K697" s="127"/>
    </row>
    <row r="698" spans="11:11" ht="15.75" customHeight="1">
      <c r="K698" s="127"/>
    </row>
    <row r="699" spans="11:11" ht="15.75" customHeight="1">
      <c r="K699" s="127"/>
    </row>
    <row r="700" spans="11:11" ht="15.75" customHeight="1">
      <c r="K700" s="127"/>
    </row>
    <row r="701" spans="11:11" ht="15.75" customHeight="1">
      <c r="K701" s="127"/>
    </row>
    <row r="702" spans="11:11" ht="15.75" customHeight="1">
      <c r="K702" s="127"/>
    </row>
    <row r="703" spans="11:11" ht="15.75" customHeight="1">
      <c r="K703" s="127"/>
    </row>
    <row r="704" spans="11:11" ht="15.75" customHeight="1">
      <c r="K704" s="127"/>
    </row>
    <row r="705" spans="11:11" ht="15.75" customHeight="1">
      <c r="K705" s="127"/>
    </row>
    <row r="706" spans="11:11" ht="15.75" customHeight="1">
      <c r="K706" s="127"/>
    </row>
    <row r="707" spans="11:11" ht="15.75" customHeight="1">
      <c r="K707" s="127"/>
    </row>
    <row r="708" spans="11:11" ht="15.75" customHeight="1">
      <c r="K708" s="127"/>
    </row>
    <row r="709" spans="11:11" ht="15.75" customHeight="1">
      <c r="K709" s="127"/>
    </row>
    <row r="710" spans="11:11" ht="15.75" customHeight="1">
      <c r="K710" s="127"/>
    </row>
    <row r="711" spans="11:11" ht="15.75" customHeight="1">
      <c r="K711" s="127"/>
    </row>
    <row r="712" spans="11:11" ht="15.75" customHeight="1">
      <c r="K712" s="127"/>
    </row>
    <row r="713" spans="11:11" ht="15.75" customHeight="1">
      <c r="K713" s="127"/>
    </row>
    <row r="714" spans="11:11" ht="15.75" customHeight="1">
      <c r="K714" s="127"/>
    </row>
    <row r="715" spans="11:11" ht="15.75" customHeight="1">
      <c r="K715" s="127"/>
    </row>
    <row r="716" spans="11:11" ht="15.75" customHeight="1">
      <c r="K716" s="127"/>
    </row>
    <row r="717" spans="11:11" ht="15.75" customHeight="1">
      <c r="K717" s="127"/>
    </row>
    <row r="718" spans="11:11" ht="15.75" customHeight="1">
      <c r="K718" s="127"/>
    </row>
    <row r="719" spans="11:11" ht="15.75" customHeight="1">
      <c r="K719" s="127"/>
    </row>
    <row r="720" spans="11:11" ht="15.75" customHeight="1">
      <c r="K720" s="127"/>
    </row>
    <row r="721" spans="11:11" ht="15.75" customHeight="1">
      <c r="K721" s="127"/>
    </row>
    <row r="722" spans="11:11" ht="15.75" customHeight="1">
      <c r="K722" s="127"/>
    </row>
    <row r="723" spans="11:11" ht="15.75" customHeight="1">
      <c r="K723" s="127"/>
    </row>
    <row r="724" spans="11:11" ht="15.75" customHeight="1">
      <c r="K724" s="127"/>
    </row>
    <row r="725" spans="11:11" ht="15.75" customHeight="1">
      <c r="K725" s="127"/>
    </row>
    <row r="726" spans="11:11" ht="15.75" customHeight="1">
      <c r="K726" s="127"/>
    </row>
    <row r="727" spans="11:11" ht="15.75" customHeight="1">
      <c r="K727" s="127"/>
    </row>
    <row r="728" spans="11:11" ht="15.75" customHeight="1">
      <c r="K728" s="127"/>
    </row>
    <row r="729" spans="11:11" ht="15.75" customHeight="1">
      <c r="K729" s="127"/>
    </row>
    <row r="730" spans="11:11" ht="15.75" customHeight="1">
      <c r="K730" s="127"/>
    </row>
    <row r="731" spans="11:11" ht="15.75" customHeight="1">
      <c r="K731" s="127"/>
    </row>
    <row r="732" spans="11:11" ht="15.75" customHeight="1">
      <c r="K732" s="127"/>
    </row>
    <row r="733" spans="11:11" ht="15.75" customHeight="1">
      <c r="K733" s="127"/>
    </row>
    <row r="734" spans="11:11" ht="15.75" customHeight="1">
      <c r="K734" s="127"/>
    </row>
    <row r="735" spans="11:11" ht="15.75" customHeight="1">
      <c r="K735" s="127"/>
    </row>
    <row r="736" spans="11:11" ht="15.75" customHeight="1">
      <c r="K736" s="127"/>
    </row>
    <row r="737" spans="11:11" ht="15.75" customHeight="1">
      <c r="K737" s="127"/>
    </row>
    <row r="738" spans="11:11" ht="15.75" customHeight="1">
      <c r="K738" s="127"/>
    </row>
    <row r="739" spans="11:11" ht="15.75" customHeight="1">
      <c r="K739" s="127"/>
    </row>
    <row r="740" spans="11:11" ht="15.75" customHeight="1">
      <c r="K740" s="127"/>
    </row>
    <row r="741" spans="11:11" ht="15.75" customHeight="1">
      <c r="K741" s="127"/>
    </row>
    <row r="742" spans="11:11" ht="15.75" customHeight="1">
      <c r="K742" s="127"/>
    </row>
    <row r="743" spans="11:11" ht="15.75" customHeight="1">
      <c r="K743" s="127"/>
    </row>
    <row r="744" spans="11:11" ht="15.75" customHeight="1">
      <c r="K744" s="127"/>
    </row>
    <row r="745" spans="11:11" ht="15.75" customHeight="1">
      <c r="K745" s="127"/>
    </row>
    <row r="746" spans="11:11" ht="15.75" customHeight="1">
      <c r="K746" s="127"/>
    </row>
    <row r="747" spans="11:11" ht="15.75" customHeight="1">
      <c r="K747" s="127"/>
    </row>
    <row r="748" spans="11:11" ht="15.75" customHeight="1">
      <c r="K748" s="127"/>
    </row>
    <row r="749" spans="11:11" ht="15.75" customHeight="1">
      <c r="K749" s="127"/>
    </row>
    <row r="750" spans="11:11" ht="15.75" customHeight="1">
      <c r="K750" s="127"/>
    </row>
    <row r="751" spans="11:11" ht="15.75" customHeight="1">
      <c r="K751" s="127"/>
    </row>
    <row r="752" spans="11:11" ht="15.75" customHeight="1">
      <c r="K752" s="127"/>
    </row>
    <row r="753" spans="11:11" ht="15.75" customHeight="1">
      <c r="K753" s="127"/>
    </row>
    <row r="754" spans="11:11" ht="15.75" customHeight="1">
      <c r="K754" s="127"/>
    </row>
    <row r="755" spans="11:11" ht="15.75" customHeight="1">
      <c r="K755" s="127"/>
    </row>
    <row r="756" spans="11:11" ht="15.75" customHeight="1">
      <c r="K756" s="127"/>
    </row>
    <row r="757" spans="11:11" ht="15.75" customHeight="1">
      <c r="K757" s="127"/>
    </row>
    <row r="758" spans="11:11" ht="15.75" customHeight="1">
      <c r="K758" s="127"/>
    </row>
    <row r="759" spans="11:11" ht="15.75" customHeight="1">
      <c r="K759" s="127"/>
    </row>
    <row r="760" spans="11:11" ht="15.75" customHeight="1">
      <c r="K760" s="127"/>
    </row>
    <row r="761" spans="11:11" ht="15.75" customHeight="1">
      <c r="K761" s="127"/>
    </row>
    <row r="762" spans="11:11" ht="15.75" customHeight="1">
      <c r="K762" s="127"/>
    </row>
    <row r="763" spans="11:11" ht="15.75" customHeight="1">
      <c r="K763" s="127"/>
    </row>
    <row r="764" spans="11:11" ht="15.75" customHeight="1">
      <c r="K764" s="127"/>
    </row>
    <row r="765" spans="11:11" ht="15.75" customHeight="1">
      <c r="K765" s="127"/>
    </row>
    <row r="766" spans="11:11" ht="15.75" customHeight="1">
      <c r="K766" s="127"/>
    </row>
    <row r="767" spans="11:11" ht="15.75" customHeight="1">
      <c r="K767" s="127"/>
    </row>
    <row r="768" spans="11:11" ht="15.75" customHeight="1">
      <c r="K768" s="127"/>
    </row>
    <row r="769" spans="11:11" ht="15.75" customHeight="1">
      <c r="K769" s="127"/>
    </row>
    <row r="770" spans="11:11" ht="15.75" customHeight="1">
      <c r="K770" s="127"/>
    </row>
    <row r="771" spans="11:11" ht="15.75" customHeight="1">
      <c r="K771" s="127"/>
    </row>
    <row r="772" spans="11:11" ht="15.75" customHeight="1">
      <c r="K772" s="127"/>
    </row>
    <row r="773" spans="11:11" ht="15.75" customHeight="1">
      <c r="K773" s="127"/>
    </row>
    <row r="774" spans="11:11" ht="15.75" customHeight="1">
      <c r="K774" s="127"/>
    </row>
    <row r="775" spans="11:11" ht="15.75" customHeight="1">
      <c r="K775" s="127"/>
    </row>
    <row r="776" spans="11:11" ht="15.75" customHeight="1">
      <c r="K776" s="127"/>
    </row>
    <row r="777" spans="11:11" ht="15.75" customHeight="1">
      <c r="K777" s="127"/>
    </row>
    <row r="778" spans="11:11" ht="15.75" customHeight="1">
      <c r="K778" s="127"/>
    </row>
    <row r="779" spans="11:11" ht="15.75" customHeight="1">
      <c r="K779" s="127"/>
    </row>
    <row r="780" spans="11:11" ht="15.75" customHeight="1">
      <c r="K780" s="127"/>
    </row>
    <row r="781" spans="11:11" ht="15.75" customHeight="1">
      <c r="K781" s="127"/>
    </row>
    <row r="782" spans="11:11" ht="15.75" customHeight="1">
      <c r="K782" s="127"/>
    </row>
    <row r="783" spans="11:11" ht="15.75" customHeight="1">
      <c r="K783" s="127"/>
    </row>
    <row r="784" spans="11:11" ht="15.75" customHeight="1">
      <c r="K784" s="127"/>
    </row>
    <row r="785" spans="11:11" ht="15.75" customHeight="1">
      <c r="K785" s="127"/>
    </row>
    <row r="786" spans="11:11" ht="15.75" customHeight="1">
      <c r="K786" s="127"/>
    </row>
    <row r="787" spans="11:11" ht="15.75" customHeight="1">
      <c r="K787" s="127"/>
    </row>
    <row r="788" spans="11:11" ht="15.75" customHeight="1">
      <c r="K788" s="127"/>
    </row>
    <row r="789" spans="11:11" ht="15.75" customHeight="1">
      <c r="K789" s="127"/>
    </row>
    <row r="790" spans="11:11" ht="15.75" customHeight="1">
      <c r="K790" s="127"/>
    </row>
    <row r="791" spans="11:11" ht="15.75" customHeight="1">
      <c r="K791" s="127"/>
    </row>
    <row r="792" spans="11:11" ht="15.75" customHeight="1">
      <c r="K792" s="127"/>
    </row>
    <row r="793" spans="11:11" ht="15.75" customHeight="1">
      <c r="K793" s="127"/>
    </row>
    <row r="794" spans="11:11" ht="15.75" customHeight="1">
      <c r="K794" s="127"/>
    </row>
    <row r="795" spans="11:11" ht="15.75" customHeight="1">
      <c r="K795" s="127"/>
    </row>
    <row r="796" spans="11:11" ht="15.75" customHeight="1">
      <c r="K796" s="127"/>
    </row>
    <row r="797" spans="11:11" ht="15.75" customHeight="1">
      <c r="K797" s="127"/>
    </row>
    <row r="798" spans="11:11" ht="15.75" customHeight="1">
      <c r="K798" s="127"/>
    </row>
    <row r="799" spans="11:11" ht="15.75" customHeight="1">
      <c r="K799" s="127"/>
    </row>
    <row r="800" spans="11:11" ht="15.75" customHeight="1">
      <c r="K800" s="127"/>
    </row>
    <row r="801" spans="11:11" ht="15.75" customHeight="1">
      <c r="K801" s="127"/>
    </row>
    <row r="802" spans="11:11" ht="15.75" customHeight="1">
      <c r="K802" s="127"/>
    </row>
    <row r="803" spans="11:11" ht="15.75" customHeight="1">
      <c r="K803" s="127"/>
    </row>
    <row r="804" spans="11:11" ht="15.75" customHeight="1">
      <c r="K804" s="127"/>
    </row>
    <row r="805" spans="11:11" ht="15.75" customHeight="1">
      <c r="K805" s="127"/>
    </row>
    <row r="806" spans="11:11" ht="15.75" customHeight="1">
      <c r="K806" s="127"/>
    </row>
    <row r="807" spans="11:11" ht="15.75" customHeight="1">
      <c r="K807" s="127"/>
    </row>
    <row r="808" spans="11:11" ht="15.75" customHeight="1">
      <c r="K808" s="127"/>
    </row>
    <row r="809" spans="11:11" ht="15.75" customHeight="1">
      <c r="K809" s="127"/>
    </row>
    <row r="810" spans="11:11" ht="15.75" customHeight="1">
      <c r="K810" s="127"/>
    </row>
    <row r="811" spans="11:11" ht="15.75" customHeight="1">
      <c r="K811" s="127"/>
    </row>
    <row r="812" spans="11:11" ht="15.75" customHeight="1">
      <c r="K812" s="127"/>
    </row>
    <row r="813" spans="11:11" ht="15.75" customHeight="1">
      <c r="K813" s="127"/>
    </row>
    <row r="814" spans="11:11" ht="15.75" customHeight="1">
      <c r="K814" s="127"/>
    </row>
    <row r="815" spans="11:11" ht="15.75" customHeight="1">
      <c r="K815" s="127"/>
    </row>
    <row r="816" spans="11:11" ht="15.75" customHeight="1">
      <c r="K816" s="127"/>
    </row>
    <row r="817" spans="11:11" ht="15.75" customHeight="1">
      <c r="K817" s="127"/>
    </row>
    <row r="818" spans="11:11" ht="15.75" customHeight="1">
      <c r="K818" s="127"/>
    </row>
    <row r="819" spans="11:11" ht="15.75" customHeight="1">
      <c r="K819" s="127"/>
    </row>
    <row r="820" spans="11:11" ht="15.75" customHeight="1">
      <c r="K820" s="127"/>
    </row>
    <row r="821" spans="11:11" ht="15.75" customHeight="1">
      <c r="K821" s="127"/>
    </row>
    <row r="822" spans="11:11" ht="15.75" customHeight="1">
      <c r="K822" s="127"/>
    </row>
    <row r="823" spans="11:11" ht="15.75" customHeight="1">
      <c r="K823" s="127"/>
    </row>
    <row r="824" spans="11:11" ht="15.75" customHeight="1">
      <c r="K824" s="127"/>
    </row>
    <row r="825" spans="11:11" ht="15.75" customHeight="1">
      <c r="K825" s="127"/>
    </row>
    <row r="826" spans="11:11" ht="15.75" customHeight="1">
      <c r="K826" s="127"/>
    </row>
    <row r="827" spans="11:11" ht="15.75" customHeight="1">
      <c r="K827" s="127"/>
    </row>
    <row r="828" spans="11:11" ht="15.75" customHeight="1">
      <c r="K828" s="127"/>
    </row>
    <row r="829" spans="11:11" ht="15.75" customHeight="1">
      <c r="K829" s="127"/>
    </row>
    <row r="830" spans="11:11" ht="15.75" customHeight="1">
      <c r="K830" s="127"/>
    </row>
    <row r="831" spans="11:11" ht="15.75" customHeight="1">
      <c r="K831" s="127"/>
    </row>
    <row r="832" spans="11:11" ht="15.75" customHeight="1">
      <c r="K832" s="127"/>
    </row>
    <row r="833" spans="11:11" ht="15.75" customHeight="1">
      <c r="K833" s="127"/>
    </row>
    <row r="834" spans="11:11" ht="15.75" customHeight="1">
      <c r="K834" s="127"/>
    </row>
    <row r="835" spans="11:11" ht="15.75" customHeight="1">
      <c r="K835" s="127"/>
    </row>
    <row r="836" spans="11:11" ht="15.75" customHeight="1">
      <c r="K836" s="127"/>
    </row>
    <row r="837" spans="11:11" ht="15.75" customHeight="1">
      <c r="K837" s="127"/>
    </row>
    <row r="838" spans="11:11" ht="15.75" customHeight="1">
      <c r="K838" s="127"/>
    </row>
    <row r="839" spans="11:11" ht="15.75" customHeight="1">
      <c r="K839" s="127"/>
    </row>
    <row r="840" spans="11:11" ht="15.75" customHeight="1">
      <c r="K840" s="127"/>
    </row>
    <row r="841" spans="11:11" ht="15.75" customHeight="1">
      <c r="K841" s="127"/>
    </row>
    <row r="842" spans="11:11" ht="15.75" customHeight="1">
      <c r="K842" s="127"/>
    </row>
    <row r="843" spans="11:11" ht="15.75" customHeight="1">
      <c r="K843" s="127"/>
    </row>
    <row r="844" spans="11:11" ht="15.75" customHeight="1">
      <c r="K844" s="127"/>
    </row>
    <row r="845" spans="11:11" ht="15.75" customHeight="1">
      <c r="K845" s="127"/>
    </row>
    <row r="846" spans="11:11" ht="15.75" customHeight="1">
      <c r="K846" s="127"/>
    </row>
    <row r="847" spans="11:11" ht="15.75" customHeight="1">
      <c r="K847" s="127"/>
    </row>
    <row r="848" spans="11:11" ht="15.75" customHeight="1">
      <c r="K848" s="127"/>
    </row>
    <row r="849" spans="11:11" ht="15.75" customHeight="1">
      <c r="K849" s="127"/>
    </row>
    <row r="850" spans="11:11" ht="15.75" customHeight="1">
      <c r="K850" s="127"/>
    </row>
    <row r="851" spans="11:11" ht="15.75" customHeight="1">
      <c r="K851" s="127"/>
    </row>
    <row r="852" spans="11:11" ht="15.75" customHeight="1">
      <c r="K852" s="127"/>
    </row>
    <row r="853" spans="11:11" ht="15.75" customHeight="1">
      <c r="K853" s="127"/>
    </row>
    <row r="854" spans="11:11" ht="15.75" customHeight="1">
      <c r="K854" s="127"/>
    </row>
    <row r="855" spans="11:11" ht="15.75" customHeight="1">
      <c r="K855" s="127"/>
    </row>
    <row r="856" spans="11:11" ht="15.75" customHeight="1">
      <c r="K856" s="127"/>
    </row>
    <row r="857" spans="11:11" ht="15.75" customHeight="1">
      <c r="K857" s="127"/>
    </row>
    <row r="858" spans="11:11" ht="15.75" customHeight="1">
      <c r="K858" s="127"/>
    </row>
    <row r="859" spans="11:11" ht="15.75" customHeight="1">
      <c r="K859" s="127"/>
    </row>
    <row r="860" spans="11:11" ht="15.75" customHeight="1">
      <c r="K860" s="127"/>
    </row>
    <row r="861" spans="11:11" ht="15.75" customHeight="1">
      <c r="K861" s="127"/>
    </row>
    <row r="862" spans="11:11" ht="15.75" customHeight="1">
      <c r="K862" s="127"/>
    </row>
    <row r="863" spans="11:11" ht="15.75" customHeight="1">
      <c r="K863" s="127"/>
    </row>
    <row r="864" spans="11:11" ht="15.75" customHeight="1">
      <c r="K864" s="127"/>
    </row>
    <row r="865" spans="11:11" ht="15.75" customHeight="1">
      <c r="K865" s="127"/>
    </row>
    <row r="866" spans="11:11" ht="15.75" customHeight="1">
      <c r="K866" s="127"/>
    </row>
    <row r="867" spans="11:11" ht="15.75" customHeight="1">
      <c r="K867" s="127"/>
    </row>
    <row r="868" spans="11:11" ht="15.75" customHeight="1">
      <c r="K868" s="127"/>
    </row>
    <row r="869" spans="11:11" ht="15.75" customHeight="1">
      <c r="K869" s="127"/>
    </row>
    <row r="870" spans="11:11" ht="15.75" customHeight="1">
      <c r="K870" s="127"/>
    </row>
    <row r="871" spans="11:11" ht="15.75" customHeight="1">
      <c r="K871" s="127"/>
    </row>
    <row r="872" spans="11:11" ht="15.75" customHeight="1">
      <c r="K872" s="127"/>
    </row>
    <row r="873" spans="11:11" ht="15.75" customHeight="1">
      <c r="K873" s="127"/>
    </row>
    <row r="874" spans="11:11" ht="15.75" customHeight="1">
      <c r="K874" s="127"/>
    </row>
    <row r="875" spans="11:11" ht="15.75" customHeight="1">
      <c r="K875" s="127"/>
    </row>
    <row r="876" spans="11:11" ht="15.75" customHeight="1">
      <c r="K876" s="127"/>
    </row>
    <row r="877" spans="11:11" ht="15.75" customHeight="1">
      <c r="K877" s="127"/>
    </row>
    <row r="878" spans="11:11" ht="15.75" customHeight="1">
      <c r="K878" s="127"/>
    </row>
    <row r="879" spans="11:11" ht="15.75" customHeight="1">
      <c r="K879" s="127"/>
    </row>
    <row r="880" spans="11:11" ht="15.75" customHeight="1">
      <c r="K880" s="127"/>
    </row>
    <row r="881" spans="11:11" ht="15.75" customHeight="1">
      <c r="K881" s="127"/>
    </row>
    <row r="882" spans="11:11" ht="15.75" customHeight="1">
      <c r="K882" s="127"/>
    </row>
    <row r="883" spans="11:11" ht="15.75" customHeight="1">
      <c r="K883" s="127"/>
    </row>
    <row r="884" spans="11:11" ht="15.75" customHeight="1">
      <c r="K884" s="127"/>
    </row>
    <row r="885" spans="11:11" ht="15.75" customHeight="1">
      <c r="K885" s="127"/>
    </row>
    <row r="886" spans="11:11" ht="15.75" customHeight="1">
      <c r="K886" s="127"/>
    </row>
    <row r="887" spans="11:11" ht="15.75" customHeight="1">
      <c r="K887" s="127"/>
    </row>
    <row r="888" spans="11:11" ht="15.75" customHeight="1">
      <c r="K888" s="127"/>
    </row>
    <row r="889" spans="11:11" ht="15.75" customHeight="1">
      <c r="K889" s="127"/>
    </row>
    <row r="890" spans="11:11" ht="15.75" customHeight="1">
      <c r="K890" s="127"/>
    </row>
    <row r="891" spans="11:11" ht="15.75" customHeight="1">
      <c r="K891" s="127"/>
    </row>
    <row r="892" spans="11:11" ht="15.75" customHeight="1">
      <c r="K892" s="127"/>
    </row>
    <row r="893" spans="11:11" ht="15.75" customHeight="1">
      <c r="K893" s="127"/>
    </row>
    <row r="894" spans="11:11" ht="15.75" customHeight="1">
      <c r="K894" s="127"/>
    </row>
    <row r="895" spans="11:11" ht="15.75" customHeight="1">
      <c r="K895" s="127"/>
    </row>
    <row r="896" spans="11:11" ht="15.75" customHeight="1">
      <c r="K896" s="127"/>
    </row>
    <row r="897" spans="11:11" ht="15.75" customHeight="1">
      <c r="K897" s="127"/>
    </row>
    <row r="898" spans="11:11" ht="15.75" customHeight="1">
      <c r="K898" s="127"/>
    </row>
    <row r="899" spans="11:11" ht="15.75" customHeight="1">
      <c r="K899" s="127"/>
    </row>
    <row r="900" spans="11:11" ht="15.75" customHeight="1">
      <c r="K900" s="127"/>
    </row>
    <row r="901" spans="11:11" ht="15.75" customHeight="1">
      <c r="K901" s="127"/>
    </row>
    <row r="902" spans="11:11" ht="15.75" customHeight="1">
      <c r="K902" s="127"/>
    </row>
    <row r="903" spans="11:11" ht="15.75" customHeight="1">
      <c r="K903" s="127"/>
    </row>
    <row r="904" spans="11:11" ht="15.75" customHeight="1">
      <c r="K904" s="127"/>
    </row>
    <row r="905" spans="11:11" ht="15.75" customHeight="1">
      <c r="K905" s="127"/>
    </row>
    <row r="906" spans="11:11" ht="15.75" customHeight="1">
      <c r="K906" s="127"/>
    </row>
    <row r="907" spans="11:11" ht="15.75" customHeight="1">
      <c r="K907" s="127"/>
    </row>
    <row r="908" spans="11:11" ht="15.75" customHeight="1">
      <c r="K908" s="127"/>
    </row>
    <row r="909" spans="11:11" ht="15.75" customHeight="1">
      <c r="K909" s="127"/>
    </row>
    <row r="910" spans="11:11" ht="15.75" customHeight="1">
      <c r="K910" s="127"/>
    </row>
    <row r="911" spans="11:11" ht="15.75" customHeight="1">
      <c r="K911" s="127"/>
    </row>
    <row r="912" spans="11:11" ht="15.75" customHeight="1">
      <c r="K912" s="127"/>
    </row>
    <row r="913" spans="11:11" ht="15.75" customHeight="1">
      <c r="K913" s="127"/>
    </row>
    <row r="914" spans="11:11" ht="15.75" customHeight="1">
      <c r="K914" s="127"/>
    </row>
    <row r="915" spans="11:11" ht="15.75" customHeight="1">
      <c r="K915" s="127"/>
    </row>
    <row r="916" spans="11:11" ht="15.75" customHeight="1">
      <c r="K916" s="127"/>
    </row>
    <row r="917" spans="11:11" ht="15.75" customHeight="1">
      <c r="K917" s="127"/>
    </row>
    <row r="918" spans="11:11" ht="15.75" customHeight="1">
      <c r="K918" s="127"/>
    </row>
    <row r="919" spans="11:11" ht="15.75" customHeight="1">
      <c r="K919" s="127"/>
    </row>
    <row r="920" spans="11:11" ht="15.75" customHeight="1">
      <c r="K920" s="127"/>
    </row>
    <row r="921" spans="11:11" ht="15.75" customHeight="1">
      <c r="K921" s="127"/>
    </row>
    <row r="922" spans="11:11" ht="15.75" customHeight="1">
      <c r="K922" s="127"/>
    </row>
    <row r="923" spans="11:11" ht="15.75" customHeight="1">
      <c r="K923" s="127"/>
    </row>
    <row r="924" spans="11:11" ht="15.75" customHeight="1">
      <c r="K924" s="127"/>
    </row>
    <row r="925" spans="11:11" ht="15.75" customHeight="1">
      <c r="K925" s="127"/>
    </row>
    <row r="926" spans="11:11" ht="15.75" customHeight="1">
      <c r="K926" s="127"/>
    </row>
    <row r="927" spans="11:11" ht="15.75" customHeight="1">
      <c r="K927" s="127"/>
    </row>
    <row r="928" spans="11:11" ht="15.75" customHeight="1">
      <c r="K928" s="127"/>
    </row>
    <row r="929" spans="11:11" ht="15.75" customHeight="1">
      <c r="K929" s="127"/>
    </row>
    <row r="930" spans="11:11" ht="15.75" customHeight="1">
      <c r="K930" s="127"/>
    </row>
    <row r="931" spans="11:11" ht="15.75" customHeight="1">
      <c r="K931" s="127"/>
    </row>
    <row r="932" spans="11:11" ht="15.75" customHeight="1">
      <c r="K932" s="127"/>
    </row>
    <row r="933" spans="11:11" ht="15.75" customHeight="1">
      <c r="K933" s="127"/>
    </row>
    <row r="934" spans="11:11" ht="15.75" customHeight="1">
      <c r="K934" s="127"/>
    </row>
    <row r="935" spans="11:11" ht="15.75" customHeight="1">
      <c r="K935" s="127"/>
    </row>
    <row r="936" spans="11:11" ht="15.75" customHeight="1">
      <c r="K936" s="127"/>
    </row>
    <row r="937" spans="11:11" ht="15.75" customHeight="1">
      <c r="K937" s="127"/>
    </row>
    <row r="938" spans="11:11" ht="15.75" customHeight="1">
      <c r="K938" s="127"/>
    </row>
    <row r="939" spans="11:11" ht="15.75" customHeight="1">
      <c r="K939" s="127"/>
    </row>
    <row r="940" spans="11:11" ht="15.75" customHeight="1">
      <c r="K940" s="127"/>
    </row>
    <row r="941" spans="11:11" ht="15.75" customHeight="1">
      <c r="K941" s="127"/>
    </row>
    <row r="942" spans="11:11" ht="15.75" customHeight="1">
      <c r="K942" s="127"/>
    </row>
    <row r="943" spans="11:11" ht="15.75" customHeight="1">
      <c r="K943" s="127"/>
    </row>
    <row r="944" spans="11:11" ht="15.75" customHeight="1">
      <c r="K944" s="127"/>
    </row>
    <row r="945" spans="11:11" ht="15.75" customHeight="1">
      <c r="K945" s="127"/>
    </row>
    <row r="946" spans="11:11" ht="15.75" customHeight="1">
      <c r="K946" s="127"/>
    </row>
    <row r="947" spans="11:11" ht="15.75" customHeight="1">
      <c r="K947" s="127"/>
    </row>
    <row r="948" spans="11:11" ht="15.75" customHeight="1">
      <c r="K948" s="127"/>
    </row>
    <row r="949" spans="11:11" ht="15.75" customHeight="1">
      <c r="K949" s="127"/>
    </row>
    <row r="950" spans="11:11" ht="15.75" customHeight="1">
      <c r="K950" s="127"/>
    </row>
    <row r="951" spans="11:11" ht="15.75" customHeight="1">
      <c r="K951" s="127"/>
    </row>
    <row r="952" spans="11:11" ht="15.75" customHeight="1">
      <c r="K952" s="127"/>
    </row>
    <row r="953" spans="11:11" ht="15.75" customHeight="1">
      <c r="K953" s="127"/>
    </row>
    <row r="954" spans="11:11" ht="15.75" customHeight="1">
      <c r="K954" s="127"/>
    </row>
    <row r="955" spans="11:11" ht="15.75" customHeight="1">
      <c r="K955" s="127"/>
    </row>
    <row r="956" spans="11:11" ht="15.75" customHeight="1">
      <c r="K956" s="127"/>
    </row>
    <row r="957" spans="11:11" ht="15.75" customHeight="1">
      <c r="K957" s="127"/>
    </row>
    <row r="958" spans="11:11" ht="15.75" customHeight="1">
      <c r="K958" s="127"/>
    </row>
    <row r="959" spans="11:11" ht="15.75" customHeight="1">
      <c r="K959" s="127"/>
    </row>
    <row r="960" spans="11:11" ht="15.75" customHeight="1">
      <c r="K960" s="127"/>
    </row>
    <row r="961" spans="11:11" ht="15.75" customHeight="1">
      <c r="K961" s="127"/>
    </row>
    <row r="962" spans="11:11" ht="15.75" customHeight="1">
      <c r="K962" s="127"/>
    </row>
    <row r="963" spans="11:11" ht="15.75" customHeight="1">
      <c r="K963" s="127"/>
    </row>
    <row r="964" spans="11:11" ht="15.75" customHeight="1">
      <c r="K964" s="127"/>
    </row>
    <row r="965" spans="11:11" ht="15.75" customHeight="1">
      <c r="K965" s="127"/>
    </row>
    <row r="966" spans="11:11" ht="15.75" customHeight="1">
      <c r="K966" s="127"/>
    </row>
    <row r="967" spans="11:11" ht="15.75" customHeight="1">
      <c r="K967" s="127"/>
    </row>
    <row r="968" spans="11:11" ht="15.75" customHeight="1">
      <c r="K968" s="127"/>
    </row>
    <row r="969" spans="11:11" ht="15.75" customHeight="1">
      <c r="K969" s="127"/>
    </row>
    <row r="970" spans="11:11" ht="15.75" customHeight="1">
      <c r="K970" s="127"/>
    </row>
    <row r="971" spans="11:11" ht="15.75" customHeight="1">
      <c r="K971" s="127"/>
    </row>
    <row r="972" spans="11:11" ht="15.75" customHeight="1">
      <c r="K972" s="127"/>
    </row>
    <row r="973" spans="11:11" ht="15.75" customHeight="1">
      <c r="K973" s="127"/>
    </row>
    <row r="974" spans="11:11" ht="15.75" customHeight="1">
      <c r="K974" s="127"/>
    </row>
    <row r="975" spans="11:11" ht="15.75" customHeight="1">
      <c r="K975" s="127"/>
    </row>
    <row r="976" spans="11:11" ht="15.75" customHeight="1">
      <c r="K976" s="127"/>
    </row>
    <row r="977" spans="11:11" ht="15.75" customHeight="1">
      <c r="K977" s="127"/>
    </row>
    <row r="978" spans="11:11" ht="15.75" customHeight="1">
      <c r="K978" s="127"/>
    </row>
    <row r="979" spans="11:11" ht="15.75" customHeight="1">
      <c r="K979" s="127"/>
    </row>
    <row r="980" spans="11:11" ht="15.75" customHeight="1">
      <c r="K980" s="127"/>
    </row>
    <row r="981" spans="11:11" ht="15.75" customHeight="1">
      <c r="K981" s="127"/>
    </row>
    <row r="982" spans="11:11" ht="15.75" customHeight="1">
      <c r="K982" s="127"/>
    </row>
    <row r="983" spans="11:11" ht="15.75" customHeight="1">
      <c r="K983" s="127"/>
    </row>
    <row r="984" spans="11:11" ht="15.75" customHeight="1">
      <c r="K984" s="127"/>
    </row>
    <row r="985" spans="11:11" ht="15.75" customHeight="1">
      <c r="K985" s="127"/>
    </row>
    <row r="986" spans="11:11" ht="15.75" customHeight="1">
      <c r="K986" s="127"/>
    </row>
    <row r="987" spans="11:11" ht="15.75" customHeight="1">
      <c r="K987" s="127"/>
    </row>
    <row r="988" spans="11:11" ht="15.75" customHeight="1">
      <c r="K988" s="127"/>
    </row>
    <row r="989" spans="11:11" ht="15.75" customHeight="1">
      <c r="K989" s="127"/>
    </row>
    <row r="990" spans="11:11" ht="15.75" customHeight="1">
      <c r="K990" s="127"/>
    </row>
    <row r="991" spans="11:11" ht="15.75" customHeight="1">
      <c r="K991" s="127"/>
    </row>
    <row r="992" spans="11:11" ht="15.75" customHeight="1">
      <c r="K992" s="127"/>
    </row>
    <row r="993" spans="11:11" ht="15.75" customHeight="1">
      <c r="K993" s="127"/>
    </row>
    <row r="994" spans="11:11" ht="15.75" customHeight="1">
      <c r="K994" s="127"/>
    </row>
    <row r="995" spans="11:11" ht="15.75" customHeight="1">
      <c r="K995" s="127"/>
    </row>
    <row r="996" spans="11:11" ht="15.75" customHeight="1">
      <c r="K996" s="127"/>
    </row>
    <row r="997" spans="11:11" ht="15.75" customHeight="1">
      <c r="K997" s="127"/>
    </row>
    <row r="998" spans="11:11" ht="15.75" customHeight="1">
      <c r="K998" s="127"/>
    </row>
    <row r="999" spans="11:11" ht="15.75" customHeight="1">
      <c r="K999" s="127"/>
    </row>
    <row r="1000" spans="11:11" ht="15.75" customHeight="1">
      <c r="K1000" s="127"/>
    </row>
  </sheetData>
  <mergeCells count="5">
    <mergeCell ref="B1:D1"/>
    <mergeCell ref="E1:G1"/>
    <mergeCell ref="L1:N1"/>
    <mergeCell ref="O1:Q1"/>
    <mergeCell ref="R1:T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D1B3-059E-4048-AC1D-F7EBCF589F2B}">
  <dimension ref="A1:W1000"/>
  <sheetViews>
    <sheetView workbookViewId="0">
      <selection sqref="A1:K1"/>
    </sheetView>
  </sheetViews>
  <sheetFormatPr defaultColWidth="12.6640625" defaultRowHeight="15" customHeight="1"/>
  <cols>
    <col min="1" max="1" width="8.6640625" style="131" customWidth="1"/>
    <col min="2" max="11" width="9.33203125" style="131" customWidth="1"/>
    <col min="12" max="26" width="8.6640625" style="131" customWidth="1"/>
    <col min="27" max="16384" width="12.6640625" style="131"/>
  </cols>
  <sheetData>
    <row r="1" spans="1:23" ht="14.25" customHeight="1">
      <c r="A1" s="128" t="s">
        <v>295</v>
      </c>
      <c r="B1" s="129"/>
      <c r="C1" s="129"/>
      <c r="D1" s="129"/>
      <c r="E1" s="129"/>
      <c r="F1" s="129"/>
      <c r="G1" s="129"/>
      <c r="H1" s="129"/>
      <c r="I1" s="129"/>
      <c r="J1" s="129"/>
      <c r="K1" s="130"/>
      <c r="M1" s="128" t="s">
        <v>295</v>
      </c>
      <c r="N1" s="129"/>
      <c r="O1" s="129"/>
      <c r="P1" s="129"/>
      <c r="Q1" s="129"/>
      <c r="R1" s="129"/>
      <c r="S1" s="129"/>
      <c r="T1" s="129"/>
      <c r="U1" s="129"/>
      <c r="V1" s="129"/>
      <c r="W1" s="130"/>
    </row>
    <row r="2" spans="1:23" ht="14.25" customHeight="1">
      <c r="A2" s="132"/>
      <c r="B2" s="132" t="s">
        <v>258</v>
      </c>
      <c r="C2" s="132" t="s">
        <v>550</v>
      </c>
      <c r="D2" s="132" t="s">
        <v>471</v>
      </c>
      <c r="E2" s="133" t="s">
        <v>551</v>
      </c>
      <c r="F2" s="132" t="s">
        <v>552</v>
      </c>
      <c r="G2" s="132" t="s">
        <v>553</v>
      </c>
      <c r="H2" s="132" t="s">
        <v>554</v>
      </c>
      <c r="I2" s="132" t="s">
        <v>555</v>
      </c>
      <c r="J2" s="134" t="s">
        <v>249</v>
      </c>
      <c r="K2" s="134" t="s">
        <v>556</v>
      </c>
      <c r="M2" s="132"/>
      <c r="N2" s="132" t="s">
        <v>557</v>
      </c>
      <c r="O2" s="132" t="s">
        <v>558</v>
      </c>
      <c r="P2" s="132" t="s">
        <v>559</v>
      </c>
      <c r="Q2" s="133" t="s">
        <v>560</v>
      </c>
      <c r="R2" s="132" t="s">
        <v>561</v>
      </c>
      <c r="S2" s="132" t="s">
        <v>562</v>
      </c>
      <c r="T2" s="132" t="s">
        <v>563</v>
      </c>
      <c r="U2" s="132" t="s">
        <v>564</v>
      </c>
      <c r="V2" s="132" t="s">
        <v>565</v>
      </c>
      <c r="W2" s="132" t="s">
        <v>566</v>
      </c>
    </row>
    <row r="3" spans="1:23" ht="14.25" customHeight="1">
      <c r="A3" s="132" t="s">
        <v>36</v>
      </c>
      <c r="B3" s="132">
        <v>5.9299999999999999E-2</v>
      </c>
      <c r="C3" s="132">
        <v>8.5400000000000004E-2</v>
      </c>
      <c r="D3" s="132">
        <v>0.19939999999999999</v>
      </c>
      <c r="E3" s="133">
        <v>0.51439999999999997</v>
      </c>
      <c r="F3" s="132">
        <v>1.4800000000000001E-2</v>
      </c>
      <c r="G3" s="132">
        <v>0.34670000000000001</v>
      </c>
      <c r="H3" s="132">
        <v>0.13170000000000001</v>
      </c>
      <c r="I3" s="132">
        <v>7.5999999999999998E-2</v>
      </c>
      <c r="J3" s="132">
        <v>4.8800000000000003E-2</v>
      </c>
      <c r="K3" s="132">
        <v>2.76E-2</v>
      </c>
      <c r="M3" s="132" t="s">
        <v>36</v>
      </c>
      <c r="N3" s="132">
        <v>7.1000000000000004E-3</v>
      </c>
      <c r="O3" s="132">
        <v>1.78E-2</v>
      </c>
      <c r="P3" s="132">
        <v>3.7100000000000001E-2</v>
      </c>
      <c r="Q3" s="133">
        <v>9.8100000000000007E-2</v>
      </c>
      <c r="R3" s="132">
        <v>5.6399999999999999E-2</v>
      </c>
      <c r="S3" s="132">
        <v>7.7600000000000002E-2</v>
      </c>
      <c r="T3" s="132">
        <v>0.11169999999999999</v>
      </c>
      <c r="U3" s="132">
        <v>0.18479999999999999</v>
      </c>
      <c r="V3" s="132">
        <v>0.15129999999999999</v>
      </c>
      <c r="W3" s="132">
        <v>1.6299999999999999E-2</v>
      </c>
    </row>
    <row r="4" spans="1:23" ht="14.25" customHeight="1">
      <c r="A4" s="132" t="s">
        <v>567</v>
      </c>
      <c r="B4" s="132">
        <v>6.8500000000000005E-2</v>
      </c>
      <c r="C4" s="132">
        <v>7.46E-2</v>
      </c>
      <c r="D4" s="132">
        <v>3.5999999999999997E-2</v>
      </c>
      <c r="E4" s="133">
        <v>3.2099999999999997E-2</v>
      </c>
      <c r="F4" s="132">
        <v>3.8800000000000001E-2</v>
      </c>
      <c r="G4" s="132">
        <v>0.14230000000000001</v>
      </c>
      <c r="H4" s="132">
        <v>3.9199999999999999E-2</v>
      </c>
      <c r="I4" s="132">
        <v>4.6600000000000003E-2</v>
      </c>
      <c r="J4" s="132">
        <v>1.95E-2</v>
      </c>
      <c r="K4" s="132">
        <v>2.1000000000000001E-2</v>
      </c>
      <c r="M4" s="132" t="s">
        <v>567</v>
      </c>
      <c r="N4" s="132">
        <v>3.4500000000000003E-2</v>
      </c>
      <c r="O4" s="132">
        <v>2.8400000000000002E-2</v>
      </c>
      <c r="P4" s="131">
        <v>2.4899999999999999E-2</v>
      </c>
      <c r="Q4" s="133">
        <v>4.2599999999999999E-2</v>
      </c>
      <c r="R4" s="132">
        <v>5.0500000000000003E-2</v>
      </c>
      <c r="S4" s="132">
        <v>4.3099999999999999E-2</v>
      </c>
      <c r="T4" s="132">
        <v>4.1200000000000001E-2</v>
      </c>
      <c r="U4" s="132">
        <v>1.95E-2</v>
      </c>
      <c r="V4" s="132">
        <v>1.1599999999999999E-2</v>
      </c>
      <c r="W4" s="132">
        <v>1.35E-2</v>
      </c>
    </row>
    <row r="5" spans="1:23" ht="14.25" customHeight="1">
      <c r="A5" s="132" t="s">
        <v>38</v>
      </c>
      <c r="B5" s="131">
        <v>5.4000000000000003E-3</v>
      </c>
      <c r="C5" s="132">
        <v>4.02E-2</v>
      </c>
      <c r="D5" s="132">
        <v>1.95E-2</v>
      </c>
      <c r="E5" s="133">
        <v>1.9800000000000002E-2</v>
      </c>
      <c r="F5" s="132">
        <v>1.18E-2</v>
      </c>
      <c r="G5" s="132">
        <v>0.154</v>
      </c>
      <c r="H5" s="132">
        <v>3.4099999999999998E-2</v>
      </c>
      <c r="I5" s="132">
        <v>9.7000000000000003E-3</v>
      </c>
      <c r="J5" s="132">
        <v>4.4000000000000003E-3</v>
      </c>
      <c r="K5" s="132">
        <v>9.9000000000000008E-3</v>
      </c>
      <c r="M5" s="132" t="s">
        <v>38</v>
      </c>
      <c r="N5" s="131">
        <v>1.17E-2</v>
      </c>
      <c r="O5" s="132">
        <v>1.3100000000000001E-2</v>
      </c>
      <c r="P5" s="132">
        <v>1.21E-2</v>
      </c>
      <c r="Q5" s="133">
        <v>3.27E-2</v>
      </c>
      <c r="R5" s="132">
        <v>2.4400000000000002E-2</v>
      </c>
      <c r="S5" s="132">
        <v>1.9099999999999999E-2</v>
      </c>
      <c r="T5" s="132">
        <v>1.89E-2</v>
      </c>
      <c r="U5" s="132">
        <v>6.6E-3</v>
      </c>
      <c r="V5" s="132">
        <v>5.5999999999999999E-3</v>
      </c>
      <c r="W5" s="132">
        <v>4.4000000000000003E-3</v>
      </c>
    </row>
    <row r="6" spans="1:23" ht="14.25" customHeight="1">
      <c r="A6" s="132" t="s">
        <v>568</v>
      </c>
      <c r="B6" s="132">
        <v>1.2E-2</v>
      </c>
      <c r="C6" s="132">
        <v>4.4999999999999997E-3</v>
      </c>
      <c r="D6" s="132">
        <v>8.3999999999999995E-3</v>
      </c>
      <c r="E6" s="133">
        <v>2.07E-2</v>
      </c>
      <c r="F6" s="132">
        <v>3.7000000000000002E-3</v>
      </c>
      <c r="G6" s="132">
        <v>0.19969999999999999</v>
      </c>
      <c r="H6" s="132">
        <v>5.0299999999999997E-2</v>
      </c>
      <c r="I6" s="132">
        <v>1.6799999999999999E-2</v>
      </c>
      <c r="J6" s="132">
        <v>4.7000000000000002E-3</v>
      </c>
      <c r="K6" s="132">
        <v>4.5999999999999999E-3</v>
      </c>
      <c r="M6" s="132" t="s">
        <v>568</v>
      </c>
      <c r="N6" s="132">
        <v>2.3E-3</v>
      </c>
      <c r="O6" s="132">
        <v>3.0999999999999999E-3</v>
      </c>
      <c r="P6" s="132">
        <v>7.9000000000000008E-3</v>
      </c>
      <c r="Q6" s="133">
        <v>3.8100000000000002E-2</v>
      </c>
      <c r="R6" s="132">
        <v>2.0299999999999999E-2</v>
      </c>
      <c r="S6" s="132">
        <v>1.47E-2</v>
      </c>
      <c r="T6" s="132">
        <v>2.0299999999999999E-2</v>
      </c>
      <c r="U6" s="132">
        <v>2.5899999999999999E-2</v>
      </c>
      <c r="V6" s="132">
        <v>9.9000000000000008E-3</v>
      </c>
      <c r="W6" s="132">
        <v>4.0000000000000002E-4</v>
      </c>
    </row>
    <row r="7" spans="1:23" ht="14.25" customHeight="1">
      <c r="A7" s="132" t="s">
        <v>569</v>
      </c>
      <c r="B7" s="132">
        <v>1.5E-3</v>
      </c>
      <c r="C7" s="132">
        <v>2.4799999999999999E-2</v>
      </c>
      <c r="D7" s="132">
        <v>1.6299999999999999E-2</v>
      </c>
      <c r="E7" s="133">
        <v>1.7999999999999999E-2</v>
      </c>
      <c r="F7" s="132">
        <v>6.7000000000000002E-3</v>
      </c>
      <c r="G7" s="132">
        <v>0.1623</v>
      </c>
      <c r="H7" s="132">
        <v>3.4700000000000002E-2</v>
      </c>
      <c r="I7" s="131">
        <v>8.6999999999999994E-3</v>
      </c>
      <c r="J7" s="132">
        <v>1.4E-3</v>
      </c>
      <c r="K7" s="132">
        <v>6.7999999999999996E-3</v>
      </c>
      <c r="M7" s="132" t="s">
        <v>569</v>
      </c>
      <c r="N7" s="132">
        <v>6.3E-3</v>
      </c>
      <c r="O7" s="132">
        <v>8.6E-3</v>
      </c>
      <c r="P7" s="132">
        <v>8.8999999999999999E-3</v>
      </c>
      <c r="Q7" s="133">
        <v>3.1699999999999999E-2</v>
      </c>
      <c r="R7" s="132">
        <v>0.02</v>
      </c>
      <c r="S7" s="132">
        <v>1.4999999999999999E-2</v>
      </c>
      <c r="T7" s="132">
        <v>1.6899999999999998E-2</v>
      </c>
      <c r="U7" s="132">
        <v>5.8999999999999999E-3</v>
      </c>
      <c r="V7" s="132">
        <v>4.7999999999999996E-3</v>
      </c>
      <c r="W7" s="132">
        <v>2.3999999999999998E-3</v>
      </c>
    </row>
    <row r="8" spans="1:23" ht="14.25" customHeight="1">
      <c r="A8" s="132" t="s">
        <v>63</v>
      </c>
      <c r="B8" s="132">
        <v>1.5599999999999999E-2</v>
      </c>
      <c r="C8" s="132">
        <v>6.6400000000000001E-2</v>
      </c>
      <c r="D8" s="132">
        <v>1.7399999999999999E-2</v>
      </c>
      <c r="E8" s="133">
        <v>3.4000000000000002E-2</v>
      </c>
      <c r="F8" s="132">
        <v>2.5999999999999999E-2</v>
      </c>
      <c r="G8" s="132">
        <v>0.14430000000000001</v>
      </c>
      <c r="H8" s="132">
        <v>3.9300000000000002E-2</v>
      </c>
      <c r="I8" s="132">
        <v>1.5100000000000001E-2</v>
      </c>
      <c r="J8" s="132">
        <v>1.2E-2</v>
      </c>
      <c r="K8" s="132">
        <v>1.1299999999999999E-2</v>
      </c>
      <c r="M8" s="132" t="s">
        <v>63</v>
      </c>
      <c r="N8" s="132">
        <v>2.01E-2</v>
      </c>
      <c r="O8" s="132">
        <v>2.3900000000000001E-2</v>
      </c>
      <c r="P8" s="132">
        <v>1.5800000000000002E-2</v>
      </c>
      <c r="Q8" s="133">
        <v>3.4500000000000003E-2</v>
      </c>
      <c r="R8" s="132">
        <v>4.3299999999999998E-2</v>
      </c>
      <c r="S8" s="132">
        <v>3.6700000000000003E-2</v>
      </c>
      <c r="T8" s="132">
        <v>4.4299999999999999E-2</v>
      </c>
      <c r="U8" s="132">
        <v>5.0000000000000001E-3</v>
      </c>
      <c r="V8" s="132">
        <v>1.0500000000000001E-2</v>
      </c>
      <c r="W8" s="132">
        <v>5.7999999999999996E-3</v>
      </c>
    </row>
    <row r="9" spans="1:23" ht="14.25" customHeight="1">
      <c r="A9" s="132" t="s">
        <v>265</v>
      </c>
      <c r="B9" s="132">
        <v>2.3E-3</v>
      </c>
      <c r="C9" s="132">
        <v>2.9600000000000001E-2</v>
      </c>
      <c r="D9" s="132">
        <v>8.6999999999999994E-3</v>
      </c>
      <c r="E9" s="133">
        <v>1.89E-2</v>
      </c>
      <c r="F9" s="132">
        <v>5.7000000000000002E-3</v>
      </c>
      <c r="G9" s="132">
        <v>0.16650000000000001</v>
      </c>
      <c r="H9" s="132">
        <v>4.0500000000000001E-2</v>
      </c>
      <c r="I9" s="132">
        <v>8.3000000000000001E-3</v>
      </c>
      <c r="J9" s="132">
        <v>1.5E-3</v>
      </c>
      <c r="K9" s="132">
        <v>5.1999999999999998E-3</v>
      </c>
      <c r="M9" s="132" t="s">
        <v>265</v>
      </c>
      <c r="N9" s="132">
        <v>9.4000000000000004E-3</v>
      </c>
      <c r="O9" s="132">
        <v>9.5999999999999992E-3</v>
      </c>
      <c r="P9" s="132">
        <v>8.0999999999999996E-3</v>
      </c>
      <c r="Q9" s="133">
        <v>3.0099999999999998E-2</v>
      </c>
      <c r="R9" s="132">
        <v>1.95E-2</v>
      </c>
      <c r="S9" s="132">
        <v>1.2999999999999999E-2</v>
      </c>
      <c r="T9" s="132">
        <v>1.83E-2</v>
      </c>
      <c r="U9" s="132">
        <v>1.09E-2</v>
      </c>
      <c r="V9" s="132">
        <v>1.04E-2</v>
      </c>
      <c r="W9" s="132">
        <v>1E-3</v>
      </c>
    </row>
    <row r="10" spans="1:23" ht="14.25" customHeight="1">
      <c r="A10" s="132" t="s">
        <v>570</v>
      </c>
      <c r="B10" s="132">
        <v>1.43E-2</v>
      </c>
      <c r="C10" s="132">
        <v>4.4600000000000001E-2</v>
      </c>
      <c r="D10" s="132">
        <v>2.1100000000000001E-2</v>
      </c>
      <c r="E10" s="133">
        <v>2.3900000000000001E-2</v>
      </c>
      <c r="F10" s="132">
        <v>1.61E-2</v>
      </c>
      <c r="G10" s="132">
        <v>0.14960000000000001</v>
      </c>
      <c r="H10" s="132">
        <v>3.7100000000000001E-2</v>
      </c>
      <c r="I10" s="132">
        <v>1.4E-2</v>
      </c>
      <c r="J10" s="132">
        <v>9.7000000000000003E-3</v>
      </c>
      <c r="K10" s="132">
        <v>1.09E-2</v>
      </c>
      <c r="M10" s="132" t="s">
        <v>570</v>
      </c>
      <c r="N10" s="132">
        <v>1.6899999999999998E-2</v>
      </c>
      <c r="O10" s="132">
        <v>1.4999999999999999E-2</v>
      </c>
      <c r="P10" s="132">
        <v>1.3299999999999999E-2</v>
      </c>
      <c r="Q10" s="133">
        <v>3.4299999999999997E-2</v>
      </c>
      <c r="R10" s="132">
        <v>2.9100000000000001E-2</v>
      </c>
      <c r="S10" s="132">
        <v>3.1E-2</v>
      </c>
      <c r="T10" s="132">
        <v>1.9199999999999998E-2</v>
      </c>
      <c r="U10" s="132">
        <v>5.1999999999999998E-3</v>
      </c>
      <c r="V10" s="132">
        <v>1.0500000000000001E-2</v>
      </c>
      <c r="W10" s="132">
        <v>4.7999999999999996E-3</v>
      </c>
    </row>
    <row r="11" spans="1:23" ht="14.25" customHeight="1">
      <c r="A11" s="135" t="s">
        <v>571</v>
      </c>
      <c r="B11" s="135">
        <v>1.4E-3</v>
      </c>
      <c r="C11" s="135">
        <v>2.8899999999999999E-2</v>
      </c>
      <c r="D11" s="135">
        <v>2.1899999999999999E-2</v>
      </c>
      <c r="E11" s="133">
        <v>2.29E-2</v>
      </c>
      <c r="F11" s="135">
        <v>5.0000000000000001E-3</v>
      </c>
      <c r="G11" s="135">
        <v>0.16639999999999999</v>
      </c>
      <c r="H11" s="135">
        <v>3.5400000000000001E-2</v>
      </c>
      <c r="I11" s="135">
        <v>7.6E-3</v>
      </c>
      <c r="J11" s="135">
        <v>1.1000000000000001E-3</v>
      </c>
      <c r="K11" s="135">
        <v>5.8999999999999999E-3</v>
      </c>
      <c r="M11" s="135" t="s">
        <v>571</v>
      </c>
      <c r="N11" s="135">
        <v>5.1000000000000004E-3</v>
      </c>
      <c r="O11" s="135">
        <v>7.3000000000000001E-3</v>
      </c>
      <c r="P11" s="135">
        <v>8.3000000000000001E-3</v>
      </c>
      <c r="Q11" s="136">
        <v>3.2199999999999999E-2</v>
      </c>
      <c r="R11" s="135">
        <v>1.7999999999999999E-2</v>
      </c>
      <c r="S11" s="135">
        <v>1.2800000000000001E-2</v>
      </c>
      <c r="T11" s="135">
        <v>1.4999999999999999E-2</v>
      </c>
      <c r="U11" s="135">
        <v>4.8999999999999998E-3</v>
      </c>
      <c r="V11" s="135">
        <v>5.4999999999999997E-3</v>
      </c>
      <c r="W11" s="135">
        <v>1.1999999999999999E-3</v>
      </c>
    </row>
    <row r="12" spans="1:23" ht="14.25" customHeight="1"/>
    <row r="13" spans="1:23" ht="14.25" customHeight="1">
      <c r="F13" s="137"/>
    </row>
    <row r="14" spans="1:23" ht="14.25" customHeight="1"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</row>
    <row r="15" spans="1:23" ht="14.25" customHeight="1"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</row>
    <row r="16" spans="1:23" ht="14.25" customHeight="1"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</row>
    <row r="17" spans="1:23" ht="14.25" customHeight="1"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 spans="1:23" ht="14.25" customHeight="1"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 spans="1:23" ht="14.25" customHeight="1"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 spans="1:23" ht="14.25" customHeight="1"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 spans="1:23" ht="14.25" customHeight="1"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</row>
    <row r="22" spans="1:23" ht="14.2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</row>
    <row r="23" spans="1:23" ht="14.25" customHeight="1">
      <c r="A23" s="139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M23" s="139"/>
      <c r="N23" s="140"/>
      <c r="O23" s="140"/>
      <c r="P23" s="140"/>
      <c r="Q23" s="140"/>
      <c r="R23" s="140"/>
      <c r="S23" s="140"/>
      <c r="T23" s="140"/>
      <c r="U23" s="140"/>
      <c r="V23" s="140"/>
      <c r="W23" s="140"/>
    </row>
    <row r="24" spans="1:23" ht="14.25" customHeight="1"/>
    <row r="25" spans="1:23" ht="14.25" customHeight="1">
      <c r="N25" s="141"/>
    </row>
    <row r="26" spans="1:23" ht="14.25" customHeight="1"/>
    <row r="27" spans="1:23" ht="14.25" customHeight="1">
      <c r="V27" s="138"/>
    </row>
    <row r="28" spans="1:23" ht="14.25" customHeight="1"/>
    <row r="29" spans="1:23" ht="14.25" customHeight="1"/>
    <row r="30" spans="1:23" ht="14.25" customHeight="1"/>
    <row r="31" spans="1:23" ht="14.25" customHeight="1">
      <c r="N31" s="141"/>
    </row>
    <row r="32" spans="1:2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K1"/>
    <mergeCell ref="M1:W1"/>
    <mergeCell ref="A23:K23"/>
    <mergeCell ref="M23:W23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1516-4E89-4689-B89E-549527D1C81F}">
  <dimension ref="A1:AF1000"/>
  <sheetViews>
    <sheetView workbookViewId="0">
      <selection sqref="A1:K1"/>
    </sheetView>
  </sheetViews>
  <sheetFormatPr defaultColWidth="12.6640625" defaultRowHeight="15" customHeight="1"/>
  <cols>
    <col min="1" max="4" width="8.6640625" style="131" customWidth="1"/>
    <col min="5" max="5" width="9" style="131" customWidth="1"/>
    <col min="6" max="34" width="8.6640625" style="131" customWidth="1"/>
    <col min="35" max="16384" width="12.6640625" style="131"/>
  </cols>
  <sheetData>
    <row r="1" spans="1:27" ht="14.25" customHeight="1">
      <c r="A1" s="131" t="s">
        <v>572</v>
      </c>
      <c r="Q1" s="139" t="s">
        <v>573</v>
      </c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27" ht="14.25" customHeight="1">
      <c r="A2" s="131" t="s">
        <v>258</v>
      </c>
      <c r="B2" s="131" t="s">
        <v>550</v>
      </c>
      <c r="C2" s="131" t="s">
        <v>471</v>
      </c>
      <c r="D2" s="131" t="s">
        <v>551</v>
      </c>
      <c r="E2" s="131" t="s">
        <v>552</v>
      </c>
      <c r="F2" s="131" t="s">
        <v>553</v>
      </c>
      <c r="G2" s="131" t="s">
        <v>554</v>
      </c>
      <c r="H2" s="131" t="s">
        <v>555</v>
      </c>
      <c r="I2" s="131" t="s">
        <v>249</v>
      </c>
      <c r="J2" s="131" t="s">
        <v>556</v>
      </c>
      <c r="R2" s="131" t="s">
        <v>258</v>
      </c>
      <c r="S2" s="131" t="s">
        <v>550</v>
      </c>
      <c r="T2" s="131" t="s">
        <v>471</v>
      </c>
      <c r="U2" s="131" t="s">
        <v>551</v>
      </c>
      <c r="V2" s="131" t="s">
        <v>552</v>
      </c>
      <c r="W2" s="131" t="s">
        <v>553</v>
      </c>
      <c r="X2" s="142" t="s">
        <v>554</v>
      </c>
      <c r="Y2" s="131" t="s">
        <v>555</v>
      </c>
      <c r="Z2" s="131" t="s">
        <v>249</v>
      </c>
      <c r="AA2" s="131" t="s">
        <v>556</v>
      </c>
    </row>
    <row r="3" spans="1:27" ht="14.25" customHeight="1">
      <c r="A3" s="131">
        <v>3.4450000000000001E-3</v>
      </c>
      <c r="B3" s="131">
        <v>3.5430000000000001E-3</v>
      </c>
      <c r="C3" s="131">
        <v>3.7030000000000001E-3</v>
      </c>
      <c r="D3" s="131">
        <v>3.738E-3</v>
      </c>
      <c r="E3" s="131">
        <v>3.4640000000000001E-3</v>
      </c>
      <c r="F3" s="131">
        <v>4.0660000000000002E-3</v>
      </c>
      <c r="G3" s="131">
        <v>4.2199999999999998E-3</v>
      </c>
      <c r="H3" s="131">
        <v>4.4660000000000004E-3</v>
      </c>
      <c r="I3" s="131">
        <v>4.3753000000000004E-3</v>
      </c>
      <c r="J3" s="131">
        <v>3.3839999999999999E-3</v>
      </c>
      <c r="Q3" s="131" t="s">
        <v>36</v>
      </c>
      <c r="R3" s="131">
        <f>(B24*2625.5)+(O21*2625.5)-(B12*2625.5)-('SFigure49-50'!A$3*2625.5)+'SFigure49-50'!A$6+'SFigure49-50'!A$9+3.7</f>
        <v>226.61985290995628</v>
      </c>
      <c r="S3" s="131">
        <f>(C24*2625.5)+(O21*2625.5)-(C12*2625.5)-('SFigure49-50'!B$3*2625.5)+'SFigure49-50'!B$6+'SFigure49-50'!B$9+3.7</f>
        <v>214.28933026983847</v>
      </c>
      <c r="T3" s="131">
        <f>(D24*2625.5)+(O21*2625.5)-(D12*2625.5)-('SFigure49-50'!C$3*2625.5)+'SFigure49-50'!C$6+'SFigure49-50'!C$9+3.7</f>
        <v>252.93830286995401</v>
      </c>
      <c r="U3" s="131">
        <f>(E24*2625.5)+(O21*2625.5)-(E12*2625.5)-('SFigure49-50'!D$3*2625.5)+'SFigure49-50'!D$6+'SFigure49-50'!D$9+3.7</f>
        <v>217.14432082528893</v>
      </c>
      <c r="V3" s="131">
        <f>(F24*2625.5)+(O21*2625.5)-(F12*2625.5)-('SFigure49-50'!E$3*2625.5)+'SFigure49-50'!E$6+'SFigure49-50'!E$9+3.7</f>
        <v>158.79700386042597</v>
      </c>
      <c r="W3" s="131">
        <f>(G24*2625.5)+(O21*2625.5)-(G12*2625.5)-('SFigure49-50'!F$3*2625.5)+'SFigure49-50'!F$6+'SFigure49-50'!F$9+3.7</f>
        <v>171.0150244705973</v>
      </c>
      <c r="X3" s="142">
        <f>(H24*2625.5)+(O21*2625.5)-(H12*2625.5)-('SFigure49-50'!G$3*2625.5)+'SFigure49-50'!G$6+'SFigure49-50'!G$9+3.7</f>
        <v>244.34495510979681</v>
      </c>
      <c r="Y3" s="131">
        <f>(I24*2625.5)+(O21*2625.5)-(I12*2625.5)-('SFigure49-50'!H$3*2625.5)+'SFigure49-50'!H$6+'SFigure49-50'!H$9+3.7</f>
        <v>287.66445965506045</v>
      </c>
      <c r="Z3" s="131">
        <f>(J24*2625.5)+(O21*2625.5)-(J12*2625.5)-('SFigure49-50'!I$3*2625.5)+'SFigure49-50'!I$6+'SFigure49-50'!I$9+3.7</f>
        <v>274.49053617996378</v>
      </c>
      <c r="AA3" s="131">
        <f>(K24*2625.5)+(O21*2625.5)-(K12*2625.5)-('SFigure49-50'!J$3*2625.5)+'SFigure49-50'!J$6+'SFigure49-50'!J$9+3.7</f>
        <v>91.581158279480221</v>
      </c>
    </row>
    <row r="4" spans="1:27" ht="14.25" customHeight="1">
      <c r="A4" s="131" t="s">
        <v>574</v>
      </c>
      <c r="Q4" s="131" t="s">
        <v>567</v>
      </c>
      <c r="R4" s="131">
        <f>(B25*2625.5)+(O22*2625.5)-(B13*2625.5)-('SFigure49-50'!A$3*2625.5)+'SFigure49-50'!A$6+'SFigure49-50'!A$9+3.7</f>
        <v>232.71673650005661</v>
      </c>
      <c r="S4" s="131">
        <f>(C25*2625.5)+(O22*2625.5)-(C13*2625.5)-('SFigure49-50'!B$3*2625.5)+'SFigure49-50'!B$6+'SFigure49-50'!B$9+3.7</f>
        <v>220.07267665041124</v>
      </c>
      <c r="T4" s="131">
        <f>(D25*2625.5)+(O22*2625.5)-(D13*2625.5)-('SFigure49-50'!C$3*2625.5)+'SFigure49-50'!C$6+'SFigure49-50'!C$9+3.7</f>
        <v>260.38143783998567</v>
      </c>
      <c r="U4" s="131">
        <f>(E25*2625.5)+(O22*2625.5)-(E13*2625.5)-('SFigure49-50'!D$3*2625.5)+'SFigure49-50'!D$6+'SFigure49-50'!D$9+3.7</f>
        <v>228.73645467980478</v>
      </c>
      <c r="V4" s="131">
        <f>(F25*2625.5)+(O22*2625.5)-(F13*2625.5)-('SFigure49-50'!E$3*2625.5)+'SFigure49-50'!E$6+'SFigure49-50'!E$9+3.7</f>
        <v>163.76623520006316</v>
      </c>
      <c r="W4" s="131">
        <f>(G25*2625.5)+(O22*2625.5)-(G13*2625.5)-('SFigure49-50'!F$3*2625.5)+'SFigure49-50'!F$6+'SFigure49-50'!F$9+3.7</f>
        <v>166.78586907029504</v>
      </c>
      <c r="X4" s="142">
        <f>(H25*2625.5)+(O22*2625.5)-(H13*2625.5)-('SFigure49-50'!G$3*2625.5)+'SFigure49-50'!G$6+'SFigure49-50'!G$9+3.7</f>
        <v>278.50685840034049</v>
      </c>
      <c r="Y4" s="131">
        <f>(I25*2625.5)+(O22*2625.5)-(I13*2625.5)-('SFigure49-50'!H$3*2625.5)+'SFigure49-50'!H$6+'SFigure49-50'!H$9+3.7</f>
        <v>295.60825122008009</v>
      </c>
      <c r="Z4" s="131">
        <f>(J25*2625.5)+(O22*2625.5)-(J13*2625.5)-('SFigure49-50'!I$3*2625.5)+'SFigure49-50'!I$6+'SFigure49-50'!I$9+3.7</f>
        <v>283.49140655399515</v>
      </c>
      <c r="AA4" s="131">
        <f>(K25*2625.5)+(O22*2625.5)-(K13*2625.5)-('SFigure49-50'!J$3*2625.5)+'SFigure49-50'!J$6+'SFigure49-50'!J$9+3.7</f>
        <v>97.168274790087523</v>
      </c>
    </row>
    <row r="5" spans="1:27" ht="14.25" customHeight="1">
      <c r="A5" s="131" t="s">
        <v>258</v>
      </c>
      <c r="B5" s="131" t="s">
        <v>550</v>
      </c>
      <c r="C5" s="131" t="s">
        <v>471</v>
      </c>
      <c r="D5" s="131" t="s">
        <v>551</v>
      </c>
      <c r="E5" s="131" t="s">
        <v>552</v>
      </c>
      <c r="F5" s="131" t="s">
        <v>553</v>
      </c>
      <c r="G5" s="131" t="s">
        <v>554</v>
      </c>
      <c r="H5" s="131" t="s">
        <v>555</v>
      </c>
      <c r="I5" s="131" t="s">
        <v>249</v>
      </c>
      <c r="J5" s="131" t="s">
        <v>556</v>
      </c>
      <c r="Q5" s="131" t="s">
        <v>38</v>
      </c>
      <c r="R5" s="131">
        <f>(B26*2625.5)+(O23*2625.5)-(B14*2625.5)-('SFigure49-50'!A$3*2625.5)+'SFigure49-50'!A$6+'SFigure49-50'!A$9+3.7</f>
        <v>220.68837582007811</v>
      </c>
      <c r="S5" s="131">
        <f>(C26*2625.5)+(O23*2625.5)-(C14*2625.5)-('SFigure49-50'!B$3*2625.5)+'SFigure49-50'!B$6+'SFigure49-50'!B$9+3.7</f>
        <v>210.7605269948717</v>
      </c>
      <c r="T5" s="131">
        <f>(D26*2625.5)+(O23*2625.5)-(D14*2625.5)-('SFigure49-50'!C$3*2625.5)+'SFigure49-50'!C$6+'SFigure49-50'!C$9+3.7</f>
        <v>248.52037402014142</v>
      </c>
      <c r="U5" s="131">
        <f>(E26*2625.5)+(O23*2625.5)-(E14*2625.5)-('SFigure49-50'!D$3*2625.5)+'SFigure49-50'!D$6+'SFigure49-50'!D$9+3.7</f>
        <v>216.87476073967937</v>
      </c>
      <c r="V5" s="131">
        <f>(F26*2625.5)+(O23*2625.5)-(F14*2625.5)-('SFigure49-50'!E$3*2625.5)+'SFigure49-50'!E$6+'SFigure49-50'!E$9+3.7</f>
        <v>152.18641493965762</v>
      </c>
      <c r="W5" s="131">
        <f>(G26*2625.5)+(O23*2625.5)-(G14*2625.5)-('SFigure49-50'!F$3*2625.5)+'SFigure49-50'!F$6+'SFigure49-50'!F$9+3.7</f>
        <v>169.08919396480897</v>
      </c>
      <c r="X5" s="142">
        <f>(H26*2625.5)+(O23*2625.5)-(H14*2625.5)-('SFigure49-50'!G$3*2625.5)+'SFigure49-50'!G$6+'SFigure49-50'!G$9+3.7</f>
        <v>265.23542849001598</v>
      </c>
      <c r="Y5" s="131">
        <f>(I26*2625.5)+(O23*2625.5)-(I14*2625.5)-('SFigure49-50'!H$3*2625.5)+'SFigure49-50'!H$6+'SFigure49-50'!H$9+3.7</f>
        <v>283.1136542498125</v>
      </c>
      <c r="Z5" s="131">
        <f>(J26*2625.5)+(O23*2625.5)-(J14*2625.5)-('SFigure49-50'!I$3*2625.5)+'SFigure49-50'!I$6+'SFigure49-50'!I$9+3.7</f>
        <v>270.68135576007171</v>
      </c>
      <c r="AA5" s="131">
        <f>(K26*2625.5)+(O23*2625.5)-(K14*2625.5)-('SFigure49-50'!J$3*2625.5)+'SFigure49-50'!J$6+'SFigure49-50'!J$9+3.7</f>
        <v>85.293427094856085</v>
      </c>
    </row>
    <row r="6" spans="1:27" ht="14.25" customHeight="1">
      <c r="A6" s="131">
        <v>-1.1000000000000001</v>
      </c>
      <c r="B6" s="131">
        <v>-6.5</v>
      </c>
      <c r="C6" s="131">
        <v>6.8</v>
      </c>
      <c r="D6" s="131">
        <v>4.9000000000000004</v>
      </c>
      <c r="E6" s="131">
        <v>-5.3</v>
      </c>
      <c r="F6" s="131">
        <v>-16</v>
      </c>
      <c r="G6" s="131">
        <v>10.5</v>
      </c>
      <c r="H6" s="131">
        <v>12.3</v>
      </c>
      <c r="I6" s="131">
        <v>10.7</v>
      </c>
      <c r="J6" s="131">
        <v>-5.4</v>
      </c>
      <c r="Q6" s="131" t="s">
        <v>568</v>
      </c>
      <c r="R6" s="131">
        <f>(B27*2625.5)+(O24*2625.5)-(B15*2625.5)-('SFigure49-50'!A$3*2625.5)+'SFigure49-50'!A$6+'SFigure49-50'!A$9+3.7</f>
        <v>230.05117137022145</v>
      </c>
      <c r="S6" s="131">
        <f>(C27*2625.5)+(O24*2625.5)-(C15*2625.5)-('SFigure49-50'!B$3*2625.5)+'SFigure49-50'!B$6+'SFigure49-50'!B$9+3.7</f>
        <v>218.24824295488631</v>
      </c>
      <c r="T6" s="131">
        <f>(D27*2625.5)+(O24*2625.5)-(D15*2625.5)-('SFigure49-50'!C$3*2625.5)+'SFigure49-50'!C$6+'SFigure49-50'!C$9+3.7</f>
        <v>258.13403609492713</v>
      </c>
      <c r="U6" s="131">
        <f>(E27*2625.5)+(O24*2625.5)-(E15*2625.5)-('SFigure49-50'!D$3*2625.5)+'SFigure49-50'!D$6+'SFigure49-50'!D$9+3.7</f>
        <v>226.48566604003955</v>
      </c>
      <c r="V6" s="131">
        <f>(F27*2625.5)+(O24*2625.5)-(F15*2625.5)-('SFigure49-50'!E$3*2625.5)+'SFigure49-50'!E$6+'SFigure49-50'!E$9+3.7</f>
        <v>161.97047196452397</v>
      </c>
      <c r="W6" s="131">
        <f>(G27*2625.5)+(O24*2625.5)-(G15*2625.5)-('SFigure49-50'!F$3*2625.5)+'SFigure49-50'!F$6+'SFigure49-50'!F$9+3.7</f>
        <v>176.32877391992488</v>
      </c>
      <c r="X6" s="142">
        <f>(H27*2625.5)+(O24*2625.5)-(H15*2625.5)-('SFigure49-50'!G$3*2625.5)+'SFigure49-50'!G$6+'SFigure49-50'!G$9+3.7</f>
        <v>250.35165277523114</v>
      </c>
      <c r="Y6" s="131">
        <f>(I27*2625.5)+(O24*2625.5)-(I15*2625.5)-('SFigure49-50'!H$3*2625.5)+'SFigure49-50'!H$6+'SFigure49-50'!H$9+3.7</f>
        <v>291.87082571489645</v>
      </c>
      <c r="Z6" s="131">
        <f>(J27*2625.5)+(O24*2625.5)-(J15*2625.5)-('SFigure49-50'!I$3*2625.5)+'SFigure49-50'!I$6+'SFigure49-50'!I$9+3.7</f>
        <v>279.00933673941745</v>
      </c>
      <c r="AA6" s="131">
        <f>(K27*2625.5)+(O24*2625.5)-(K15*2625.5)-('SFigure49-50'!J$3*2625.5)+'SFigure49-50'!J$6+'SFigure49-50'!J$9+3.7</f>
        <v>94.926202810408356</v>
      </c>
    </row>
    <row r="7" spans="1:27" ht="14.25" customHeight="1">
      <c r="A7" s="131" t="s">
        <v>575</v>
      </c>
      <c r="M7" s="139" t="s">
        <v>576</v>
      </c>
      <c r="N7" s="140"/>
      <c r="O7" s="131" t="s">
        <v>577</v>
      </c>
      <c r="Q7" s="131" t="s">
        <v>569</v>
      </c>
      <c r="R7" s="131">
        <f>(B28*2625.5)+(O25*2625.5)-(B16*2625.5)-('SFigure49-50'!A$3*2625.5)+'SFigure49-50'!A$6+'SFigure49-50'!A$9+3.7</f>
        <v>229.42365061482244</v>
      </c>
      <c r="S7" s="131">
        <f>(C28*2625.5)+(O25*2625.5)-(C16*2625.5)-('SFigure49-50'!B$3*2625.5)+'SFigure49-50'!B$6+'SFigure49-50'!B$9+3.7</f>
        <v>217.26738241005202</v>
      </c>
      <c r="T7" s="131">
        <f>(D28*2625.5)+(O25*2625.5)-(D16*2625.5)-('SFigure49-50'!C$3*2625.5)+'SFigure49-50'!C$6+'SFigure49-50'!C$9+3.7</f>
        <v>257.2874436201983</v>
      </c>
      <c r="U7" s="131">
        <f>(E28*2625.5)+(O25*2625.5)-(E16*2625.5)-('SFigure49-50'!D$3*2625.5)+'SFigure49-50'!D$6+'SFigure49-50'!D$9+3.7</f>
        <v>225.67157725494999</v>
      </c>
      <c r="V7" s="131">
        <f>(F28*2625.5)+(O25*2625.5)-(F16*2625.5)-('SFigure49-50'!E$3*2625.5)+'SFigure49-50'!E$6+'SFigure49-50'!E$9+3.7</f>
        <v>161.02733985504958</v>
      </c>
      <c r="W7" s="131">
        <f>(G28*2625.5)+(O25*2625.5)-(G16*2625.5)-('SFigure49-50'!F$3*2625.5)+'SFigure49-50'!F$6+'SFigure49-50'!F$9+3.7</f>
        <v>177.3476779600268</v>
      </c>
      <c r="X7" s="142">
        <f>(H28*2625.5)+(O25*2625.5)-(H16*2625.5)-('SFigure49-50'!G$3*2625.5)+'SFigure49-50'!G$6+'SFigure49-50'!G$9+3.7</f>
        <v>273.86812499984291</v>
      </c>
      <c r="Y7" s="131">
        <f>(I28*2625.5)+(O25*2625.5)-(I16*2625.5)-('SFigure49-50'!H$3*2625.5)+'SFigure49-50'!H$6+'SFigure49-50'!H$9+3.7</f>
        <v>291.73212055023669</v>
      </c>
      <c r="Z7" s="131">
        <f>(J28*2625.5)+(O25*2625.5)-(J16*2625.5)-('SFigure49-50'!I$3*2625.5)+'SFigure49-50'!I$6+'SFigure49-50'!I$9+3.7</f>
        <v>279.20732569472148</v>
      </c>
      <c r="AA7" s="131">
        <f>(K28*2625.5)+(O25*2625.5)-(K16*2625.5)-('SFigure49-50'!J$3*2625.5)+'SFigure49-50'!J$6+'SFigure49-50'!J$9+3.7</f>
        <v>94.120751920195104</v>
      </c>
    </row>
    <row r="8" spans="1:27" ht="14.25" customHeight="1">
      <c r="A8" s="131" t="s">
        <v>258</v>
      </c>
      <c r="B8" s="131" t="s">
        <v>550</v>
      </c>
      <c r="C8" s="131" t="s">
        <v>471</v>
      </c>
      <c r="D8" s="131" t="s">
        <v>551</v>
      </c>
      <c r="E8" s="131" t="s">
        <v>552</v>
      </c>
      <c r="F8" s="131" t="s">
        <v>553</v>
      </c>
      <c r="G8" s="131" t="s">
        <v>554</v>
      </c>
      <c r="H8" s="131" t="s">
        <v>555</v>
      </c>
      <c r="I8" s="131" t="s">
        <v>249</v>
      </c>
      <c r="J8" s="131" t="s">
        <v>556</v>
      </c>
      <c r="M8" s="131" t="s">
        <v>258</v>
      </c>
      <c r="N8" s="131">
        <v>205</v>
      </c>
      <c r="O8" s="131">
        <v>17</v>
      </c>
      <c r="Q8" s="131" t="s">
        <v>63</v>
      </c>
      <c r="R8" s="131">
        <f>(B29*2625.5)+(O26*2625.5)-(B17*2625.5)-('SFigure49-50'!A$3*2625.5)+'SFigure49-50'!A$6+'SFigure49-50'!A$9+3.7</f>
        <v>217.02911145021037</v>
      </c>
      <c r="S8" s="131">
        <f>(C29*2625.5)+(O26*2625.5)-(C17*2625.5)-('SFigure49-50'!B$3*2625.5)+'SFigure49-50'!B$6+'SFigure49-50'!B$9+3.7</f>
        <v>204.48762988501673</v>
      </c>
      <c r="T8" s="131">
        <f>(D29*2625.5)+(O26*2625.5)-(D17*2625.5)-('SFigure49-50'!C$3*2625.5)+'SFigure49-50'!C$6+'SFigure49-50'!C$9+3.7</f>
        <v>244.82479898496425</v>
      </c>
      <c r="U8" s="131">
        <f>(E29*2625.5)+(O26*2625.5)-(E17*2625.5)-('SFigure49-50'!D$3*2625.5)+'SFigure49-50'!D$6+'SFigure49-50'!D$9+3.7</f>
        <v>212.78486185957391</v>
      </c>
      <c r="V8" s="131">
        <f>(F29*2625.5)+(O26*2625.5)-(F17*2625.5)-('SFigure49-50'!E$3*2625.5)+'SFigure49-50'!E$6+'SFigure49-50'!E$9+3.7</f>
        <v>148.29692047492492</v>
      </c>
      <c r="W8" s="131">
        <f>(G29*2625.5)+(O26*2625.5)-(G17*2625.5)-('SFigure49-50'!F$3*2625.5)+'SFigure49-50'!F$6+'SFigure49-50'!F$9+3.7</f>
        <v>149.18333559479916</v>
      </c>
      <c r="X8" s="142">
        <f>(H29*2625.5)+(O26*2625.5)-(H17*2625.5)-('SFigure49-50'!G$3*2625.5)+'SFigure49-50'!G$6+'SFigure49-50'!G$9+3.7</f>
        <v>261.7711337500171</v>
      </c>
      <c r="Y8" s="131">
        <f>(I29*2625.5)+(O26*2625.5)-(I17*2625.5)-('SFigure49-50'!H$3*2625.5)+'SFigure49-50'!H$6+'SFigure49-50'!H$9+3.7</f>
        <v>283.52803691523059</v>
      </c>
      <c r="Z8" s="131">
        <f>(J29*2625.5)+(O26*2625.5)-(J17*2625.5)-('SFigure49-50'!I$3*2625.5)+'SFigure49-50'!I$6+'SFigure49-50'!I$9+3.7</f>
        <v>267.94645117466553</v>
      </c>
      <c r="AA8" s="131">
        <f>(K29*2625.5)+(O26*2625.5)-(K17*2625.5)-('SFigure49-50'!J$3*2625.5)+'SFigure49-50'!J$6+'SFigure49-50'!J$9+3.7</f>
        <v>81.480544720815303</v>
      </c>
    </row>
    <row r="9" spans="1:27" ht="14.25" customHeight="1">
      <c r="A9" s="131">
        <v>-0.2</v>
      </c>
      <c r="B9" s="131">
        <v>1.6</v>
      </c>
      <c r="C9" s="131">
        <v>-1</v>
      </c>
      <c r="D9" s="131">
        <v>0.2</v>
      </c>
      <c r="E9" s="131">
        <v>0.3</v>
      </c>
      <c r="F9" s="131">
        <v>1.2</v>
      </c>
      <c r="G9" s="131">
        <v>0.4</v>
      </c>
      <c r="H9" s="131">
        <v>0.8</v>
      </c>
      <c r="I9" s="131">
        <v>1</v>
      </c>
      <c r="J9" s="131">
        <v>0.4</v>
      </c>
      <c r="M9" s="131" t="s">
        <v>550</v>
      </c>
      <c r="N9" s="131">
        <v>205</v>
      </c>
      <c r="O9" s="131">
        <v>9</v>
      </c>
      <c r="Q9" s="131" t="s">
        <v>265</v>
      </c>
      <c r="R9" s="131">
        <f>(B30*2625.5)+(O27*2625.5)-(B18*2625.5)-('SFigure49-50'!A$3*2625.5)+'SFigure49-50'!A$6+'SFigure49-50'!A$9+3.7</f>
        <v>220.63544573997908</v>
      </c>
      <c r="S9" s="131">
        <f>(C30*2625.5)+(O27*2625.5)-(C18*2625.5)-('SFigure49-50'!B$3*2625.5)+'SFigure49-50'!B$6+'SFigure49-50'!B$9+3.7</f>
        <v>208.5444474650312</v>
      </c>
      <c r="T9" s="131">
        <f>(D30*2625.5)+(O27*2625.5)-(D18*2625.5)-('SFigure49-50'!C$3*2625.5)+'SFigure49-50'!C$6+'SFigure49-50'!C$9+3.7</f>
        <v>248.55665843007048</v>
      </c>
      <c r="U9" s="131">
        <f>(E30*2625.5)+(O27*2625.5)-(E18*2625.5)-('SFigure49-50'!D$3*2625.5)+'SFigure49-50'!D$6+'SFigure49-50'!D$9+3.7</f>
        <v>216.72232421039317</v>
      </c>
      <c r="V9" s="131">
        <f>(F30*2625.5)+(O27*2625.5)-(F18*2625.5)-('SFigure49-50'!E$3*2625.5)+'SFigure49-50'!E$6+'SFigure49-50'!E$9+3.7</f>
        <v>152.32572396968382</v>
      </c>
      <c r="W9" s="131">
        <f>(G30*2625.5)+(O27*2625.5)-(G18*2625.5)-('SFigure49-50'!F$3*2625.5)+'SFigure49-50'!F$6+'SFigure49-50'!F$9+3.7</f>
        <v>167.81611526986936</v>
      </c>
      <c r="X9" s="142">
        <f>(H30*2625.5)+(O27*2625.5)-(H18*2625.5)-('SFigure49-50'!G$3*2625.5)+'SFigure49-50'!G$6+'SFigure49-50'!G$9+3.7</f>
        <v>241.75014720558315</v>
      </c>
      <c r="Y9" s="131">
        <f>(I30*2625.5)+(O27*2625.5)-(I18*2625.5)-('SFigure49-50'!H$3*2625.5)+'SFigure49-50'!H$6+'SFigure49-50'!H$9+3.7</f>
        <v>283.09018227923571</v>
      </c>
      <c r="Z9" s="131">
        <f>(J30*2625.5)+(O27*2625.5)-(J18*2625.5)-('SFigure49-50'!I$3*2625.5)+'SFigure49-50'!I$6+'SFigure49-50'!I$9+3.7</f>
        <v>270.56977200937672</v>
      </c>
      <c r="AA9" s="131">
        <f>(K30*2625.5)+(O27*2625.5)-(K18*2625.5)-('SFigure49-50'!J$3*2625.5)+'SFigure49-50'!J$6+'SFigure49-50'!J$9+3.7</f>
        <v>85.23241047565061</v>
      </c>
    </row>
    <row r="10" spans="1:27" ht="14.25" customHeight="1">
      <c r="A10" s="139" t="s">
        <v>578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M10" s="131" t="s">
        <v>471</v>
      </c>
      <c r="N10" s="131">
        <v>227</v>
      </c>
      <c r="O10" s="131">
        <v>7</v>
      </c>
      <c r="Q10" s="131" t="s">
        <v>570</v>
      </c>
      <c r="R10" s="131">
        <f>(B31*2625.5)+(O28*2625.5)-(B19*2625.5)-('SFigure49-50'!A$3*2625.5)+'SFigure49-50'!A$6+'SFigure49-50'!A$9+3.7</f>
        <v>226.96949074501001</v>
      </c>
      <c r="S10" s="131">
        <f>(C31*2625.5)+(O28*2625.5)-(C19*2625.5)-('SFigure49-50'!B$3*2625.5)+'SFigure49-50'!B$6+'SFigure49-50'!B$9+3.7</f>
        <v>214.65606011000907</v>
      </c>
      <c r="T10" s="131">
        <f>(D31*2625.5)+(O28*2625.5)-(D19*2625.5)-('SFigure49-50'!C$3*2625.5)+'SFigure49-50'!C$6+'SFigure49-50'!C$9+3.7</f>
        <v>256.04324542549335</v>
      </c>
      <c r="U10" s="131">
        <f>(E31*2625.5)+(O28*2625.5)-(E19*2625.5)-('SFigure49-50'!D$3*2625.5)+'SFigure49-50'!D$6+'SFigure49-50'!D$9+3.7</f>
        <v>222.98928768996794</v>
      </c>
      <c r="V10" s="131">
        <f>(F31*2625.5)+(O28*2625.5)-(F19*2625.5)-('SFigure49-50'!E$3*2625.5)+'SFigure49-50'!E$6+'SFigure49-50'!E$9+3.7</f>
        <v>158.60413463025245</v>
      </c>
      <c r="W10" s="131">
        <f>(G31*2625.5)+(O28*2625.5)-(G19*2625.5)-('SFigure49-50'!F$3*2625.5)+'SFigure49-50'!F$6+'SFigure49-50'!F$9+3.7</f>
        <v>158.36712455559874</v>
      </c>
      <c r="X10" s="142">
        <f>(H31*2625.5)+(O28*2625.5)-(H19*2625.5)-('SFigure49-50'!G$3*2625.5)+'SFigure49-50'!G$6+'SFigure49-50'!G$9+3.7</f>
        <v>271.79190585556563</v>
      </c>
      <c r="Y10" s="131">
        <f>(I31*2625.5)+(O28*2625.5)-(I19*2625.5)-('SFigure49-50'!H$3*2625.5)+'SFigure49-50'!H$6+'SFigure49-50'!H$9+3.7</f>
        <v>297.30666091572402</v>
      </c>
      <c r="Z10" s="131">
        <f>(J31*2625.5)+(O28*2625.5)-(J19*2625.5)-('SFigure49-50'!I$3*2625.5)+'SFigure49-50'!I$6+'SFigure49-50'!I$9+3.7</f>
        <v>277.75161721986933</v>
      </c>
      <c r="AA10" s="131">
        <f>(K31*2625.5)+(O28*2625.5)-(K19*2625.5)-('SFigure49-50'!J$3*2625.5)+'SFigure49-50'!J$6+'SFigure49-50'!J$9+3.7</f>
        <v>91.57076130066234</v>
      </c>
    </row>
    <row r="11" spans="1:27" ht="14.25" customHeight="1">
      <c r="B11" s="131" t="s">
        <v>258</v>
      </c>
      <c r="C11" s="131" t="s">
        <v>550</v>
      </c>
      <c r="D11" s="131" t="s">
        <v>471</v>
      </c>
      <c r="E11" s="131" t="s">
        <v>551</v>
      </c>
      <c r="F11" s="131" t="s">
        <v>552</v>
      </c>
      <c r="G11" s="131" t="s">
        <v>553</v>
      </c>
      <c r="H11" s="131" t="s">
        <v>554</v>
      </c>
      <c r="I11" s="131" t="s">
        <v>555</v>
      </c>
      <c r="J11" s="131" t="s">
        <v>249</v>
      </c>
      <c r="K11" s="131" t="s">
        <v>556</v>
      </c>
      <c r="M11" s="131" t="s">
        <v>551</v>
      </c>
      <c r="N11" s="131">
        <v>208</v>
      </c>
      <c r="O11" s="131">
        <v>7</v>
      </c>
      <c r="Q11" s="131" t="s">
        <v>571</v>
      </c>
      <c r="R11" s="131">
        <f>(B32*2625.5)+(O29*2625.5)-(B20*2625.5)-('SFigure49-50'!A$3*2625.5)+'SFigure49-50'!A$6+'SFigure49-50'!A$9+3.7</f>
        <v>226.58217698512428</v>
      </c>
      <c r="S11" s="131">
        <f>(C32*2625.5)+(O29*2625.5)-(C20*2625.5)-('SFigure49-50'!B$3*2625.5)+'SFigure49-50'!B$6+'SFigure49-50'!B$9+3.7</f>
        <v>214.4043009152401</v>
      </c>
      <c r="T11" s="131">
        <f>(D32*2625.5)+(O29*2625.5)-(D20*2625.5)-('SFigure49-50'!C$3*2625.5)+'SFigure49-50'!C$6+'SFigure49-50'!C$9+3.7</f>
        <v>254.43013822524702</v>
      </c>
      <c r="U11" s="131">
        <f>(E32*2625.5)+(O29*2625.5)-(E20*2625.5)-('SFigure49-50'!D$3*2625.5)+'SFigure49-50'!D$6+'SFigure49-50'!D$9+3.7</f>
        <v>222.86867221927915</v>
      </c>
      <c r="V11" s="131">
        <f>(F32*2625.5)+(O29*2625.5)-(F20*2625.5)-('SFigure49-50'!E$3*2625.5)+'SFigure49-50'!E$6+'SFigure49-50'!E$9+3.7</f>
        <v>158.22165178957286</v>
      </c>
      <c r="W11" s="131">
        <f>(G32*2625.5)+(O29*2625.5)-(G20*2625.5)-('SFigure49-50'!F$3*2625.5)+'SFigure49-50'!F$6+'SFigure49-50'!F$9+3.7</f>
        <v>174.24417942991832</v>
      </c>
      <c r="X11" s="142">
        <f>(H32*2625.5)+(O29*2625.5)-(H20*2625.5)-('SFigure49-50'!G$3*2625.5)+'SFigure49-50'!G$6+'SFigure49-50'!G$9+3.7</f>
        <v>248.72612695935308</v>
      </c>
      <c r="Y11" s="131">
        <f>(I32*2625.5)+(O29*2625.5)-(I20*2625.5)-('SFigure49-50'!H$3*2625.5)+'SFigure49-50'!H$6+'SFigure49-50'!H$9+3.7</f>
        <v>271.15135115012436</v>
      </c>
      <c r="Z11" s="131">
        <f>(J32*2625.5)+(O29*2625.5)-(J20*2625.5)-('SFigure49-50'!I$3*2625.5)+'SFigure49-50'!I$6+'SFigure49-50'!I$9+3.7</f>
        <v>275.79000115079089</v>
      </c>
      <c r="AA11" s="131">
        <f>(K32*2625.5)+(O29*2625.5)-(K20*2625.5)-('SFigure49-50'!J$3*2625.5)+'SFigure49-50'!J$6+'SFigure49-50'!J$9+3.7</f>
        <v>91.373559995593311</v>
      </c>
    </row>
    <row r="12" spans="1:27" ht="14.25" customHeight="1">
      <c r="A12" s="131" t="s">
        <v>36</v>
      </c>
      <c r="B12" s="131">
        <v>-760.68708283000001</v>
      </c>
      <c r="C12" s="131">
        <v>-849.40186700000004</v>
      </c>
      <c r="D12" s="131">
        <v>-943.94317007999996</v>
      </c>
      <c r="E12" s="143">
        <v>-1044.4474241200001</v>
      </c>
      <c r="F12" s="131">
        <v>-1150.96683656</v>
      </c>
      <c r="G12" s="131">
        <v>-1263.62663129</v>
      </c>
      <c r="H12" s="131">
        <v>-1382.67662017</v>
      </c>
      <c r="I12" s="131">
        <v>-1508.22143329</v>
      </c>
      <c r="J12" s="131">
        <v>-1640.39481161</v>
      </c>
      <c r="K12" s="131">
        <v>-1779.25188293</v>
      </c>
      <c r="M12" s="131" t="s">
        <v>552</v>
      </c>
      <c r="N12" s="142">
        <v>141</v>
      </c>
      <c r="O12" s="131">
        <v>5</v>
      </c>
    </row>
    <row r="13" spans="1:27" ht="14.25" customHeight="1">
      <c r="A13" s="131" t="s">
        <v>567</v>
      </c>
      <c r="B13" s="131">
        <v>-760.68743467000002</v>
      </c>
      <c r="C13" s="131">
        <v>-849.40213424000001</v>
      </c>
      <c r="D13" s="131">
        <v>-943.94411897999998</v>
      </c>
      <c r="E13" s="143">
        <v>-1044.45021557</v>
      </c>
      <c r="F13" s="131">
        <v>-1150.96708687</v>
      </c>
      <c r="G13" s="131">
        <v>-1263.6293851400001</v>
      </c>
      <c r="H13" s="131">
        <v>-1382.6803845100001</v>
      </c>
      <c r="I13" s="131">
        <v>-1508.2260743300001</v>
      </c>
      <c r="J13" s="131">
        <v>-1640.4016844499999</v>
      </c>
      <c r="K13" s="131">
        <v>-1779.2550473700001</v>
      </c>
      <c r="M13" s="131" t="s">
        <v>553</v>
      </c>
      <c r="N13" s="131">
        <v>148</v>
      </c>
      <c r="O13" s="131">
        <v>3</v>
      </c>
      <c r="Q13" s="128" t="s">
        <v>295</v>
      </c>
      <c r="R13" s="129"/>
      <c r="S13" s="129"/>
      <c r="T13" s="129"/>
      <c r="U13" s="129"/>
      <c r="V13" s="129"/>
      <c r="W13" s="129"/>
      <c r="X13" s="129"/>
      <c r="Y13" s="129"/>
      <c r="Z13" s="129"/>
      <c r="AA13" s="130"/>
    </row>
    <row r="14" spans="1:27" ht="14.25" customHeight="1">
      <c r="A14" s="131" t="s">
        <v>38</v>
      </c>
      <c r="B14" s="131">
        <v>-760.68736597999998</v>
      </c>
      <c r="C14" s="131">
        <v>-849.40220136000005</v>
      </c>
      <c r="D14" s="131">
        <v>-943.94408510000005</v>
      </c>
      <c r="E14" s="143">
        <v>-1044.4500884399999</v>
      </c>
      <c r="F14" s="131">
        <v>-1150.96708018</v>
      </c>
      <c r="G14" s="131">
        <v>-1263.6286525099999</v>
      </c>
      <c r="H14" s="131">
        <v>-1382.6793806000001</v>
      </c>
      <c r="I14" s="131">
        <v>-1508.2250330500001</v>
      </c>
      <c r="J14" s="131">
        <v>-1640.39982665</v>
      </c>
      <c r="K14" s="131">
        <v>-1779.2541901699999</v>
      </c>
      <c r="M14" s="131" t="s">
        <v>554</v>
      </c>
      <c r="N14" s="131">
        <v>245</v>
      </c>
      <c r="O14" s="131">
        <v>5</v>
      </c>
      <c r="Q14" s="132"/>
      <c r="R14" s="132" t="s">
        <v>258</v>
      </c>
      <c r="S14" s="132" t="s">
        <v>550</v>
      </c>
      <c r="T14" s="132" t="s">
        <v>471</v>
      </c>
      <c r="U14" s="132" t="s">
        <v>551</v>
      </c>
      <c r="V14" s="132" t="s">
        <v>552</v>
      </c>
      <c r="W14" s="132" t="s">
        <v>553</v>
      </c>
      <c r="X14" s="132" t="s">
        <v>554</v>
      </c>
      <c r="Y14" s="132" t="s">
        <v>555</v>
      </c>
      <c r="Z14" s="132" t="s">
        <v>249</v>
      </c>
      <c r="AA14" s="132" t="s">
        <v>556</v>
      </c>
    </row>
    <row r="15" spans="1:27" ht="14.25" customHeight="1">
      <c r="A15" s="131" t="s">
        <v>568</v>
      </c>
      <c r="B15" s="131">
        <v>-760.68724537000003</v>
      </c>
      <c r="C15" s="131">
        <v>-849.40223943000001</v>
      </c>
      <c r="D15" s="131">
        <v>-943.94402468999999</v>
      </c>
      <c r="E15" s="143">
        <v>-1044.44991912</v>
      </c>
      <c r="F15" s="131">
        <v>-1150.9669947699999</v>
      </c>
      <c r="G15" s="131">
        <v>-1263.6276911</v>
      </c>
      <c r="H15" s="131">
        <v>-1382.6780916600001</v>
      </c>
      <c r="I15" s="131">
        <v>-1508.2233619900001</v>
      </c>
      <c r="J15" s="131">
        <v>-1640.3975157</v>
      </c>
      <c r="K15" s="131">
        <v>-1779.25314819</v>
      </c>
      <c r="M15" s="131" t="s">
        <v>555</v>
      </c>
      <c r="N15" s="131">
        <v>240</v>
      </c>
      <c r="O15" s="131">
        <v>8</v>
      </c>
      <c r="Q15" s="132" t="s">
        <v>36</v>
      </c>
      <c r="R15" s="132">
        <v>5.9299999999999999E-2</v>
      </c>
      <c r="S15" s="132">
        <v>8.5400000000000004E-2</v>
      </c>
      <c r="T15" s="132">
        <v>0.19939999999999999</v>
      </c>
      <c r="U15" s="132">
        <v>0.51439999999999997</v>
      </c>
      <c r="V15" s="132">
        <v>1.4800000000000001E-2</v>
      </c>
      <c r="W15" s="132">
        <v>0.34670000000000001</v>
      </c>
      <c r="X15" s="132">
        <v>0.13170000000000001</v>
      </c>
      <c r="Y15" s="132">
        <v>7.5999999999999998E-2</v>
      </c>
      <c r="Z15" s="132">
        <v>4.8800000000000003E-2</v>
      </c>
      <c r="AA15" s="132">
        <v>2.76E-2</v>
      </c>
    </row>
    <row r="16" spans="1:27" ht="14.25" customHeight="1">
      <c r="A16" s="131" t="s">
        <v>569</v>
      </c>
      <c r="B16" s="131">
        <v>-760.68734735999999</v>
      </c>
      <c r="C16" s="131">
        <v>-849.40222171999994</v>
      </c>
      <c r="D16" s="131">
        <v>-943.94406374000005</v>
      </c>
      <c r="E16" s="143">
        <v>-1044.4500636600001</v>
      </c>
      <c r="F16" s="131">
        <v>-1150.96709272</v>
      </c>
      <c r="G16" s="131">
        <v>-1263.62848792</v>
      </c>
      <c r="H16" s="131">
        <v>-1382.67921996</v>
      </c>
      <c r="I16" s="131">
        <v>-1508.22486291</v>
      </c>
      <c r="J16" s="131">
        <v>-1640.3996310699999</v>
      </c>
      <c r="K16" s="131">
        <v>-1779.2541708700001</v>
      </c>
      <c r="M16" s="131" t="s">
        <v>249</v>
      </c>
      <c r="N16" s="131">
        <v>255</v>
      </c>
      <c r="O16" s="131">
        <v>6</v>
      </c>
      <c r="Q16" s="132" t="s">
        <v>567</v>
      </c>
      <c r="R16" s="132">
        <v>6.8500000000000005E-2</v>
      </c>
      <c r="S16" s="132">
        <v>7.46E-2</v>
      </c>
      <c r="T16" s="132">
        <v>3.5999999999999997E-2</v>
      </c>
      <c r="U16" s="132">
        <v>3.2099999999999997E-2</v>
      </c>
      <c r="V16" s="132">
        <v>3.8800000000000001E-2</v>
      </c>
      <c r="W16" s="132">
        <v>0.14230000000000001</v>
      </c>
      <c r="X16" s="132">
        <v>3.9199999999999999E-2</v>
      </c>
      <c r="Y16" s="132">
        <v>4.6600000000000003E-2</v>
      </c>
      <c r="Z16" s="132">
        <v>1.95E-2</v>
      </c>
      <c r="AA16" s="132">
        <v>2.1000000000000001E-2</v>
      </c>
    </row>
    <row r="17" spans="1:27" ht="14.25" customHeight="1">
      <c r="A17" s="131" t="s">
        <v>63</v>
      </c>
      <c r="B17" s="131">
        <v>-760.68735559000004</v>
      </c>
      <c r="C17" s="131">
        <v>-849.40208336000001</v>
      </c>
      <c r="D17" s="131">
        <v>-943.94406584000001</v>
      </c>
      <c r="E17" s="143">
        <v>-1044.4499530999999</v>
      </c>
      <c r="F17" s="131">
        <v>-1150.9670124899999</v>
      </c>
      <c r="G17" s="144">
        <v>-1263.6289569999999</v>
      </c>
      <c r="H17" s="131">
        <v>-1382.67966118</v>
      </c>
      <c r="I17" s="131">
        <v>-1508.2255387800001</v>
      </c>
      <c r="J17" s="131">
        <v>-1640.4005054899999</v>
      </c>
      <c r="K17" s="131">
        <v>-1779.25434341</v>
      </c>
      <c r="M17" s="131" t="s">
        <v>556</v>
      </c>
      <c r="N17" s="131">
        <v>86</v>
      </c>
      <c r="O17" s="131">
        <v>2</v>
      </c>
      <c r="Q17" s="132" t="s">
        <v>38</v>
      </c>
      <c r="R17" s="131">
        <v>5.4000000000000003E-3</v>
      </c>
      <c r="S17" s="132">
        <v>4.02E-2</v>
      </c>
      <c r="T17" s="132">
        <v>1.95E-2</v>
      </c>
      <c r="U17" s="132">
        <v>1.9800000000000002E-2</v>
      </c>
      <c r="V17" s="132">
        <v>1.18E-2</v>
      </c>
      <c r="W17" s="132">
        <v>0.154</v>
      </c>
      <c r="X17" s="132">
        <v>3.4099999999999998E-2</v>
      </c>
      <c r="Y17" s="132">
        <v>9.7000000000000003E-3</v>
      </c>
      <c r="Z17" s="132">
        <v>4.4000000000000003E-3</v>
      </c>
      <c r="AA17" s="132">
        <v>9.9000000000000008E-3</v>
      </c>
    </row>
    <row r="18" spans="1:27" ht="14.25" customHeight="1">
      <c r="A18" s="131" t="s">
        <v>265</v>
      </c>
      <c r="B18" s="131">
        <v>-760.68729321000001</v>
      </c>
      <c r="C18" s="131">
        <v>-849.40218187999994</v>
      </c>
      <c r="D18" s="131">
        <v>-943.94402567999998</v>
      </c>
      <c r="E18" s="143">
        <v>-1044.44991237</v>
      </c>
      <c r="F18" s="131">
        <v>-1150.9670108299999</v>
      </c>
      <c r="G18" s="131">
        <v>-1263.62819737</v>
      </c>
      <c r="H18" s="131">
        <v>-1382.67862762</v>
      </c>
      <c r="I18" s="131">
        <v>-1508.2241968799999</v>
      </c>
      <c r="J18" s="131">
        <v>-1640.39859641</v>
      </c>
      <c r="K18" s="131">
        <v>-1779.2535265500001</v>
      </c>
      <c r="Q18" s="132" t="s">
        <v>568</v>
      </c>
      <c r="R18" s="132">
        <v>1.2E-2</v>
      </c>
      <c r="S18" s="132">
        <v>4.4999999999999997E-3</v>
      </c>
      <c r="T18" s="132">
        <v>8.3999999999999995E-3</v>
      </c>
      <c r="U18" s="132">
        <v>2.07E-2</v>
      </c>
      <c r="V18" s="132">
        <v>3.7000000000000002E-3</v>
      </c>
      <c r="W18" s="132">
        <v>0.19969999999999999</v>
      </c>
      <c r="X18" s="132">
        <v>5.0299999999999997E-2</v>
      </c>
      <c r="Y18" s="132">
        <v>1.6799999999999999E-2</v>
      </c>
      <c r="Z18" s="132">
        <v>4.7000000000000002E-3</v>
      </c>
      <c r="AA18" s="132">
        <v>4.5999999999999999E-3</v>
      </c>
    </row>
    <row r="19" spans="1:27" ht="14.25" customHeight="1">
      <c r="A19" s="131" t="s">
        <v>570</v>
      </c>
      <c r="B19" s="131">
        <v>-760.68736779000005</v>
      </c>
      <c r="C19" s="131">
        <v>-849.40217829999995</v>
      </c>
      <c r="D19" s="131">
        <v>-943.94405577999999</v>
      </c>
      <c r="E19" s="143">
        <v>-1044.4500789799999</v>
      </c>
      <c r="F19" s="131">
        <v>-1150.9670240400001</v>
      </c>
      <c r="G19" s="131">
        <v>-1263.6287849400001</v>
      </c>
      <c r="H19" s="131">
        <v>-1382.6795107800001</v>
      </c>
      <c r="I19" s="131">
        <v>-1508.2252771200001</v>
      </c>
      <c r="J19" s="131">
        <v>-1640.4001034800001</v>
      </c>
      <c r="K19" s="131">
        <v>-1779.25398513</v>
      </c>
      <c r="Q19" s="132" t="s">
        <v>569</v>
      </c>
      <c r="R19" s="132">
        <v>1.5E-3</v>
      </c>
      <c r="S19" s="132">
        <v>2.4799999999999999E-2</v>
      </c>
      <c r="T19" s="132">
        <v>1.6299999999999999E-2</v>
      </c>
      <c r="U19" s="132">
        <v>1.7999999999999999E-2</v>
      </c>
      <c r="V19" s="132">
        <v>6.7000000000000002E-3</v>
      </c>
      <c r="W19" s="132">
        <v>0.1623</v>
      </c>
      <c r="X19" s="132">
        <v>3.4700000000000002E-2</v>
      </c>
      <c r="Y19" s="131">
        <v>8.6999999999999994E-3</v>
      </c>
      <c r="Z19" s="132">
        <v>1.4E-3</v>
      </c>
      <c r="AA19" s="132">
        <v>6.7999999999999996E-3</v>
      </c>
    </row>
    <row r="20" spans="1:27" ht="14.25" customHeight="1">
      <c r="A20" s="131" t="s">
        <v>571</v>
      </c>
      <c r="B20" s="131">
        <v>-760.68732898999997</v>
      </c>
      <c r="C20" s="131">
        <v>-849.40219186000002</v>
      </c>
      <c r="D20" s="131">
        <v>-943.94404998000005</v>
      </c>
      <c r="E20" s="143">
        <v>-1044.4500716699999</v>
      </c>
      <c r="F20" s="131">
        <v>-1150.9671019299999</v>
      </c>
      <c r="G20" s="131">
        <v>-1263.6284485900001</v>
      </c>
      <c r="H20" s="131">
        <v>-1382.6791839299999</v>
      </c>
      <c r="I20" s="131">
        <v>-1508.2181668799999</v>
      </c>
      <c r="J20" s="131">
        <v>-1640.39950703</v>
      </c>
      <c r="K20" s="131">
        <v>-1779.25406279</v>
      </c>
      <c r="N20" s="131" t="s">
        <v>332</v>
      </c>
      <c r="O20" s="131" t="s">
        <v>579</v>
      </c>
      <c r="Q20" s="132" t="s">
        <v>63</v>
      </c>
      <c r="R20" s="132">
        <v>1.5599999999999999E-2</v>
      </c>
      <c r="S20" s="132">
        <v>6.6400000000000001E-2</v>
      </c>
      <c r="T20" s="132">
        <v>1.7399999999999999E-2</v>
      </c>
      <c r="U20" s="132">
        <v>3.4000000000000002E-2</v>
      </c>
      <c r="V20" s="132">
        <v>2.5999999999999999E-2</v>
      </c>
      <c r="W20" s="132">
        <v>0.14430000000000001</v>
      </c>
      <c r="X20" s="132">
        <v>3.9300000000000002E-2</v>
      </c>
      <c r="Y20" s="132">
        <v>1.5100000000000001E-2</v>
      </c>
      <c r="Z20" s="132">
        <v>1.2E-2</v>
      </c>
      <c r="AA20" s="132">
        <v>1.1299999999999999E-2</v>
      </c>
    </row>
    <row r="21" spans="1:27" ht="14.25" customHeight="1">
      <c r="M21" s="131" t="s">
        <v>36</v>
      </c>
      <c r="N21" s="131">
        <v>0.75</v>
      </c>
      <c r="O21" s="131">
        <v>-0.49999478000000003</v>
      </c>
      <c r="Q21" s="132" t="s">
        <v>265</v>
      </c>
      <c r="R21" s="132">
        <v>2.3E-3</v>
      </c>
      <c r="S21" s="132">
        <v>2.9600000000000001E-2</v>
      </c>
      <c r="T21" s="132">
        <v>8.6999999999999994E-3</v>
      </c>
      <c r="U21" s="132">
        <v>1.89E-2</v>
      </c>
      <c r="V21" s="132">
        <v>5.7000000000000002E-3</v>
      </c>
      <c r="W21" s="132">
        <v>0.16650000000000001</v>
      </c>
      <c r="X21" s="132">
        <v>4.0500000000000001E-2</v>
      </c>
      <c r="Y21" s="132">
        <v>8.3000000000000001E-3</v>
      </c>
      <c r="Z21" s="132">
        <v>1.5E-3</v>
      </c>
      <c r="AA21" s="132">
        <v>5.1999999999999998E-3</v>
      </c>
    </row>
    <row r="22" spans="1:27" ht="14.25" customHeight="1">
      <c r="A22" s="139" t="s">
        <v>578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M22" s="131" t="s">
        <v>567</v>
      </c>
      <c r="N22" s="131">
        <v>0.75</v>
      </c>
      <c r="O22" s="131">
        <v>-0.49790802000000001</v>
      </c>
      <c r="Q22" s="132" t="s">
        <v>570</v>
      </c>
      <c r="R22" s="132">
        <v>1.43E-2</v>
      </c>
      <c r="S22" s="132">
        <v>4.4600000000000001E-2</v>
      </c>
      <c r="T22" s="132">
        <v>2.1100000000000001E-2</v>
      </c>
      <c r="U22" s="132">
        <v>2.3900000000000001E-2</v>
      </c>
      <c r="V22" s="132">
        <v>1.61E-2</v>
      </c>
      <c r="W22" s="132">
        <v>0.14960000000000001</v>
      </c>
      <c r="X22" s="132">
        <v>3.7100000000000001E-2</v>
      </c>
      <c r="Y22" s="132">
        <v>1.4E-2</v>
      </c>
      <c r="Z22" s="132">
        <v>9.7000000000000003E-3</v>
      </c>
      <c r="AA22" s="132">
        <v>1.09E-2</v>
      </c>
    </row>
    <row r="23" spans="1:27" ht="14.25" customHeight="1">
      <c r="B23" s="131" t="s">
        <v>580</v>
      </c>
      <c r="C23" s="131" t="s">
        <v>581</v>
      </c>
      <c r="D23" s="131" t="s">
        <v>582</v>
      </c>
      <c r="E23" s="131" t="s">
        <v>583</v>
      </c>
      <c r="F23" s="131" t="s">
        <v>584</v>
      </c>
      <c r="G23" s="131" t="s">
        <v>585</v>
      </c>
      <c r="H23" s="131" t="s">
        <v>586</v>
      </c>
      <c r="I23" s="131" t="s">
        <v>587</v>
      </c>
      <c r="J23" s="131" t="s">
        <v>588</v>
      </c>
      <c r="K23" s="131" t="s">
        <v>589</v>
      </c>
      <c r="M23" s="131" t="s">
        <v>38</v>
      </c>
      <c r="N23" s="131">
        <v>0.75</v>
      </c>
      <c r="O23" s="131">
        <v>-0.50243766000000001</v>
      </c>
      <c r="Q23" s="135" t="s">
        <v>571</v>
      </c>
      <c r="R23" s="135">
        <v>1.4E-3</v>
      </c>
      <c r="S23" s="135">
        <v>2.8899999999999999E-2</v>
      </c>
      <c r="T23" s="135">
        <v>2.1899999999999999E-2</v>
      </c>
      <c r="U23" s="132">
        <v>2.29E-2</v>
      </c>
      <c r="V23" s="135">
        <v>5.0000000000000001E-3</v>
      </c>
      <c r="W23" s="135">
        <v>0.16639999999999999</v>
      </c>
      <c r="X23" s="135">
        <v>3.5400000000000001E-2</v>
      </c>
      <c r="Y23" s="135">
        <v>7.6E-3</v>
      </c>
      <c r="Z23" s="135">
        <v>1.1000000000000001E-3</v>
      </c>
      <c r="AA23" s="135">
        <v>5.8999999999999999E-3</v>
      </c>
    </row>
    <row r="24" spans="1:27" ht="14.25" customHeight="1">
      <c r="A24" s="131" t="s">
        <v>36</v>
      </c>
      <c r="B24" s="131">
        <v>-760.09824222999998</v>
      </c>
      <c r="C24" s="131">
        <v>-848.81625368000005</v>
      </c>
      <c r="D24" s="131">
        <v>-943.34675156000003</v>
      </c>
      <c r="E24" s="143">
        <v>-1043.86433719</v>
      </c>
      <c r="F24" s="131">
        <v>-1150.40240006</v>
      </c>
      <c r="G24" s="131">
        <v>-1263.0532065699999</v>
      </c>
      <c r="H24" s="131">
        <v>-1382.0849001700001</v>
      </c>
      <c r="I24" s="131">
        <v>-1507.6138057000001</v>
      </c>
      <c r="J24" s="131">
        <v>-1639.79175917</v>
      </c>
      <c r="K24" s="131">
        <v>-1778.7131275900001</v>
      </c>
      <c r="M24" s="131" t="s">
        <v>568</v>
      </c>
      <c r="N24" s="131">
        <v>0.75</v>
      </c>
      <c r="O24" s="131">
        <v>-0.49877761999999998</v>
      </c>
    </row>
    <row r="25" spans="1:27" ht="14.25" customHeight="1">
      <c r="A25" s="131" t="s">
        <v>567</v>
      </c>
      <c r="B25" s="131">
        <v>-760.09835865000002</v>
      </c>
      <c r="C25" s="131">
        <v>-848.81640491999997</v>
      </c>
      <c r="D25" s="131">
        <v>-943.34695227999998</v>
      </c>
      <c r="E25" s="143">
        <v>-1043.8648001900001</v>
      </c>
      <c r="F25" s="131">
        <v>-1150.40284445</v>
      </c>
      <c r="G25" s="131">
        <v>-1263.0596579800001</v>
      </c>
      <c r="H25" s="131">
        <v>-1382.07773969</v>
      </c>
      <c r="I25" s="131">
        <v>-1507.6175078700001</v>
      </c>
      <c r="J25" s="131">
        <v>-1639.7972905199999</v>
      </c>
      <c r="K25" s="131">
        <v>-1778.71625077</v>
      </c>
      <c r="M25" s="131" t="s">
        <v>569</v>
      </c>
      <c r="N25" s="131">
        <v>0.75</v>
      </c>
      <c r="O25" s="131">
        <v>-0.49908947999999997</v>
      </c>
    </row>
    <row r="26" spans="1:27" ht="14.25" customHeight="1">
      <c r="A26" s="131" t="s">
        <v>38</v>
      </c>
      <c r="B26" s="131">
        <v>-760.09834167999998</v>
      </c>
      <c r="C26" s="131">
        <v>-848.81548921000001</v>
      </c>
      <c r="D26" s="131">
        <v>-943.34690639999997</v>
      </c>
      <c r="E26" s="143">
        <v>-1043.8646613000001</v>
      </c>
      <c r="F26" s="131">
        <v>-1150.4027186400001</v>
      </c>
      <c r="G26" s="131">
        <v>-1263.05351842</v>
      </c>
      <c r="H26" s="131">
        <v>-1382.0772609600001</v>
      </c>
      <c r="I26" s="131">
        <v>-1507.6166958900001</v>
      </c>
      <c r="J26" s="131">
        <v>-1639.7957821699999</v>
      </c>
      <c r="K26" s="131">
        <v>-1778.71538682</v>
      </c>
      <c r="M26" s="131" t="s">
        <v>590</v>
      </c>
      <c r="N26" s="131">
        <v>0.75</v>
      </c>
      <c r="O26" s="131">
        <v>-0.50385223999999995</v>
      </c>
      <c r="Q26" s="128" t="s">
        <v>591</v>
      </c>
      <c r="R26" s="129"/>
      <c r="S26" s="129"/>
      <c r="T26" s="129"/>
      <c r="U26" s="129"/>
      <c r="V26" s="129"/>
      <c r="W26" s="129"/>
      <c r="X26" s="129"/>
      <c r="Y26" s="129"/>
      <c r="Z26" s="129"/>
      <c r="AA26" s="130"/>
    </row>
    <row r="27" spans="1:27" ht="14.25" customHeight="1">
      <c r="A27" s="131" t="s">
        <v>568</v>
      </c>
      <c r="B27" s="131">
        <v>-760.09831500999996</v>
      </c>
      <c r="C27" s="131">
        <v>-848.81633539999996</v>
      </c>
      <c r="D27" s="131">
        <v>-943.34684437999999</v>
      </c>
      <c r="E27" s="143">
        <v>-1043.8644914199999</v>
      </c>
      <c r="F27" s="131">
        <v>-1150.4025667200001</v>
      </c>
      <c r="G27" s="131">
        <v>-1263.05345964</v>
      </c>
      <c r="H27" s="131">
        <v>-1382.08530099</v>
      </c>
      <c r="I27" s="131">
        <v>-1507.61534944</v>
      </c>
      <c r="J27" s="131">
        <v>-1639.7939593000001</v>
      </c>
      <c r="K27" s="131">
        <v>-1778.7143359500001</v>
      </c>
      <c r="M27" s="131" t="s">
        <v>592</v>
      </c>
      <c r="N27" s="131">
        <v>0.75</v>
      </c>
      <c r="O27" s="131">
        <v>-0.50242244999999996</v>
      </c>
      <c r="Q27" s="132"/>
      <c r="R27" s="132" t="s">
        <v>258</v>
      </c>
      <c r="S27" s="132" t="s">
        <v>550</v>
      </c>
      <c r="T27" s="132" t="s">
        <v>471</v>
      </c>
      <c r="U27" s="132" t="s">
        <v>551</v>
      </c>
      <c r="V27" s="132" t="s">
        <v>552</v>
      </c>
      <c r="W27" s="132" t="s">
        <v>553</v>
      </c>
      <c r="X27" s="132" t="s">
        <v>554</v>
      </c>
      <c r="Y27" s="132" t="s">
        <v>555</v>
      </c>
      <c r="Z27" s="132" t="s">
        <v>249</v>
      </c>
      <c r="AA27" s="132" t="s">
        <v>556</v>
      </c>
    </row>
    <row r="28" spans="1:27" ht="14.25" customHeight="1">
      <c r="A28" s="131" t="s">
        <v>569</v>
      </c>
      <c r="B28" s="131">
        <v>-760.09834415</v>
      </c>
      <c r="C28" s="131">
        <v>-848.81637941999998</v>
      </c>
      <c r="D28" s="131">
        <v>-943.34689402000004</v>
      </c>
      <c r="E28" s="143">
        <v>-1043.86463417</v>
      </c>
      <c r="F28" s="131">
        <v>-1150.40271203</v>
      </c>
      <c r="G28" s="131">
        <v>-1263.05355652</v>
      </c>
      <c r="H28" s="131">
        <v>-1382.07716048</v>
      </c>
      <c r="I28" s="131">
        <v>-1507.6165913299999</v>
      </c>
      <c r="J28" s="131">
        <v>-1639.7956873999999</v>
      </c>
      <c r="K28" s="131">
        <v>-1778.7153535499999</v>
      </c>
      <c r="M28" s="131" t="s">
        <v>63</v>
      </c>
      <c r="N28" s="131">
        <v>0.75</v>
      </c>
      <c r="O28" s="131">
        <v>-0.50008905999999997</v>
      </c>
      <c r="Q28" s="132" t="s">
        <v>36</v>
      </c>
      <c r="R28" s="132">
        <f t="shared" ref="R28:R36" si="0">(R3-$N$8)</f>
        <v>21.619852909956279</v>
      </c>
      <c r="S28" s="132">
        <f t="shared" ref="S28:S36" si="1">(S3-$N$9)</f>
        <v>9.289330269838473</v>
      </c>
      <c r="T28" s="132">
        <f t="shared" ref="T28:T36" si="2">(T3-$N$10)</f>
        <v>25.938302869954015</v>
      </c>
      <c r="U28" s="132">
        <f t="shared" ref="U28:U36" si="3">(U3-$N$11)</f>
        <v>9.1443208252889292</v>
      </c>
      <c r="V28" s="132">
        <f t="shared" ref="V28:V36" si="4">(V3-$N$12)</f>
        <v>17.797003860425974</v>
      </c>
      <c r="W28" s="132">
        <f t="shared" ref="W28:W36" si="5">(W3-$N$13)</f>
        <v>23.015024470597297</v>
      </c>
      <c r="X28" s="132">
        <f t="shared" ref="X28:X36" si="6">(X3-$N$14)</f>
        <v>-0.65504489020318601</v>
      </c>
      <c r="Y28" s="132">
        <f t="shared" ref="Y28:Y36" si="7">(Y3-$N$15)</f>
        <v>47.664459655060455</v>
      </c>
      <c r="Z28" s="132">
        <f t="shared" ref="Z28:Z36" si="8">(Z3-$N$16)</f>
        <v>19.490536179963783</v>
      </c>
      <c r="AA28" s="132">
        <f t="shared" ref="AA28:AA36" si="9">(AA3-$N$17)</f>
        <v>5.5811582794802206</v>
      </c>
    </row>
    <row r="29" spans="1:27" ht="14.25" customHeight="1">
      <c r="A29" s="131" t="s">
        <v>63</v>
      </c>
      <c r="B29" s="131">
        <v>-760.09831044999999</v>
      </c>
      <c r="C29" s="131">
        <v>-848.81634584999995</v>
      </c>
      <c r="D29" s="131">
        <v>-943.34688013000005</v>
      </c>
      <c r="E29" s="143">
        <v>-1043.8646691399999</v>
      </c>
      <c r="F29" s="131">
        <v>-1150.4027177999999</v>
      </c>
      <c r="G29" s="131">
        <v>-1263.0599900699999</v>
      </c>
      <c r="H29" s="131">
        <v>-1382.0774464399999</v>
      </c>
      <c r="I29" s="131">
        <v>-1507.61562921</v>
      </c>
      <c r="J29" s="131">
        <v>-1639.7960880999999</v>
      </c>
      <c r="K29" s="131">
        <v>-1778.7155777299999</v>
      </c>
      <c r="M29" s="131" t="s">
        <v>265</v>
      </c>
      <c r="N29" s="131">
        <v>0.75</v>
      </c>
      <c r="O29" s="131">
        <v>-0.50016731999999997</v>
      </c>
      <c r="Q29" s="132" t="s">
        <v>567</v>
      </c>
      <c r="R29" s="132">
        <f t="shared" si="0"/>
        <v>27.716736500056612</v>
      </c>
      <c r="S29" s="132">
        <f t="shared" si="1"/>
        <v>15.072676650411239</v>
      </c>
      <c r="T29" s="132">
        <f t="shared" si="2"/>
        <v>33.381437839985665</v>
      </c>
      <c r="U29" s="132">
        <f t="shared" si="3"/>
        <v>20.73645467980478</v>
      </c>
      <c r="V29" s="132">
        <f t="shared" si="4"/>
        <v>22.766235200063164</v>
      </c>
      <c r="W29" s="132">
        <f t="shared" si="5"/>
        <v>18.785869070295035</v>
      </c>
      <c r="X29" s="132">
        <f t="shared" si="6"/>
        <v>33.506858400340491</v>
      </c>
      <c r="Y29" s="132">
        <f t="shared" si="7"/>
        <v>55.608251220080092</v>
      </c>
      <c r="Z29" s="132">
        <f t="shared" si="8"/>
        <v>28.491406553995148</v>
      </c>
      <c r="AA29" s="132">
        <f t="shared" si="9"/>
        <v>11.168274790087523</v>
      </c>
    </row>
    <row r="30" spans="1:27" ht="14.25" customHeight="1">
      <c r="A30" s="131" t="s">
        <v>265</v>
      </c>
      <c r="B30" s="131">
        <v>-760.09830427999998</v>
      </c>
      <c r="C30" s="131">
        <v>-848.816329</v>
      </c>
      <c r="D30" s="131">
        <v>-943.34684836999998</v>
      </c>
      <c r="E30" s="143">
        <v>-1043.8645584999999</v>
      </c>
      <c r="F30" s="131">
        <v>-1150.4026114400001</v>
      </c>
      <c r="G30" s="131">
        <v>-1263.05356338</v>
      </c>
      <c r="H30" s="131">
        <v>-1382.08546826</v>
      </c>
      <c r="I30" s="131">
        <v>-1507.6158838700001</v>
      </c>
      <c r="J30" s="131">
        <v>-1639.7946096400001</v>
      </c>
      <c r="K30" s="131">
        <v>-1778.7147616499999</v>
      </c>
      <c r="M30" s="131" t="s">
        <v>570</v>
      </c>
      <c r="N30" s="131">
        <v>0.75</v>
      </c>
      <c r="O30" s="131">
        <v>-0.50150773999999998</v>
      </c>
      <c r="Q30" s="132" t="s">
        <v>38</v>
      </c>
      <c r="R30" s="132">
        <f t="shared" si="0"/>
        <v>15.688375820078107</v>
      </c>
      <c r="S30" s="132">
        <f t="shared" si="1"/>
        <v>5.7605269948716966</v>
      </c>
      <c r="T30" s="132">
        <f t="shared" si="2"/>
        <v>21.520374020141418</v>
      </c>
      <c r="U30" s="132">
        <f t="shared" si="3"/>
        <v>8.874760739679374</v>
      </c>
      <c r="V30" s="132">
        <f t="shared" si="4"/>
        <v>11.186414939657624</v>
      </c>
      <c r="W30" s="132">
        <f t="shared" si="5"/>
        <v>21.08919396480897</v>
      </c>
      <c r="X30" s="132">
        <f t="shared" si="6"/>
        <v>20.235428490015977</v>
      </c>
      <c r="Y30" s="132">
        <f t="shared" si="7"/>
        <v>43.113654249812498</v>
      </c>
      <c r="Z30" s="132">
        <f t="shared" si="8"/>
        <v>15.68135576007171</v>
      </c>
      <c r="AA30" s="132">
        <f t="shared" si="9"/>
        <v>-0.70657290514391491</v>
      </c>
    </row>
    <row r="31" spans="1:27" ht="14.25" customHeight="1">
      <c r="A31" s="131" t="s">
        <v>570</v>
      </c>
      <c r="B31" s="131">
        <v>-760.09829974000002</v>
      </c>
      <c r="C31" s="131">
        <v>-848.81633102000001</v>
      </c>
      <c r="D31" s="131">
        <v>-943.34636036999996</v>
      </c>
      <c r="E31" s="143">
        <v>-1043.86467154</v>
      </c>
      <c r="F31" s="131">
        <v>-1150.4025667200001</v>
      </c>
      <c r="G31" s="131">
        <v>-1263.06008327</v>
      </c>
      <c r="H31" s="145">
        <v>-1382.0772425099999</v>
      </c>
      <c r="I31" s="131">
        <v>-1507.6138827299999</v>
      </c>
      <c r="J31" s="131">
        <v>-1639.7957146799999</v>
      </c>
      <c r="K31" s="131">
        <v>-1778.7151394699999</v>
      </c>
      <c r="M31" s="131" t="s">
        <v>571</v>
      </c>
      <c r="N31" s="131">
        <v>0.75</v>
      </c>
      <c r="O31" s="131">
        <v>-0.49465429999999999</v>
      </c>
      <c r="Q31" s="132" t="s">
        <v>568</v>
      </c>
      <c r="R31" s="132">
        <f t="shared" si="0"/>
        <v>25.051171370221454</v>
      </c>
      <c r="S31" s="132">
        <f t="shared" si="1"/>
        <v>13.248242954886308</v>
      </c>
      <c r="T31" s="132">
        <f t="shared" si="2"/>
        <v>31.134036094927126</v>
      </c>
      <c r="U31" s="132">
        <f t="shared" si="3"/>
        <v>18.485666040039547</v>
      </c>
      <c r="V31" s="132">
        <f t="shared" si="4"/>
        <v>20.970471964523966</v>
      </c>
      <c r="W31" s="132">
        <f t="shared" si="5"/>
        <v>28.328773919924885</v>
      </c>
      <c r="X31" s="132">
        <f t="shared" si="6"/>
        <v>5.3516527752311447</v>
      </c>
      <c r="Y31" s="132">
        <f t="shared" si="7"/>
        <v>51.870825714896455</v>
      </c>
      <c r="Z31" s="132">
        <f t="shared" si="8"/>
        <v>24.009336739417449</v>
      </c>
      <c r="AA31" s="132">
        <f t="shared" si="9"/>
        <v>8.9262028104083555</v>
      </c>
    </row>
    <row r="32" spans="1:27" ht="14.25" customHeight="1">
      <c r="A32" s="131" t="s">
        <v>571</v>
      </c>
      <c r="B32" s="131">
        <v>-760.09833019999996</v>
      </c>
      <c r="C32" s="131">
        <v>-848.81636220999997</v>
      </c>
      <c r="D32" s="131">
        <v>-943.34689071000003</v>
      </c>
      <c r="E32" s="143">
        <v>-1043.8646319100001</v>
      </c>
      <c r="F32" s="131">
        <v>-1150.40271203</v>
      </c>
      <c r="G32" s="131">
        <v>-1263.05362141</v>
      </c>
      <c r="H32" s="131">
        <v>-1382.08562269</v>
      </c>
      <c r="I32" s="131">
        <v>-1507.6166562599999</v>
      </c>
      <c r="J32" s="131">
        <v>-1639.79578711</v>
      </c>
      <c r="K32" s="131">
        <v>-1778.71521398</v>
      </c>
      <c r="Q32" s="132" t="s">
        <v>569</v>
      </c>
      <c r="R32" s="132">
        <f t="shared" si="0"/>
        <v>24.423650614822435</v>
      </c>
      <c r="S32" s="132">
        <f t="shared" si="1"/>
        <v>12.267382410052022</v>
      </c>
      <c r="T32" s="132">
        <f t="shared" si="2"/>
        <v>30.287443620198303</v>
      </c>
      <c r="U32" s="132">
        <f t="shared" si="3"/>
        <v>17.671577254949995</v>
      </c>
      <c r="V32" s="132">
        <f t="shared" si="4"/>
        <v>20.027339855049576</v>
      </c>
      <c r="W32" s="132">
        <f t="shared" si="5"/>
        <v>29.3476779600268</v>
      </c>
      <c r="X32" s="132">
        <f t="shared" si="6"/>
        <v>28.868124999842905</v>
      </c>
      <c r="Y32" s="132">
        <f t="shared" si="7"/>
        <v>51.732120550236687</v>
      </c>
      <c r="Z32" s="132">
        <f t="shared" si="8"/>
        <v>24.207325694721476</v>
      </c>
      <c r="AA32" s="132">
        <f t="shared" si="9"/>
        <v>8.1207519201951044</v>
      </c>
    </row>
    <row r="33" spans="17:32" ht="14.25" customHeight="1">
      <c r="Q33" s="132" t="s">
        <v>63</v>
      </c>
      <c r="R33" s="132">
        <f t="shared" si="0"/>
        <v>12.029111450210365</v>
      </c>
      <c r="S33" s="132">
        <f t="shared" si="1"/>
        <v>-0.51237011498326979</v>
      </c>
      <c r="T33" s="132">
        <f t="shared" si="2"/>
        <v>17.824798984964247</v>
      </c>
      <c r="U33" s="132">
        <f t="shared" si="3"/>
        <v>4.7848618595739083</v>
      </c>
      <c r="V33" s="132">
        <f t="shared" si="4"/>
        <v>7.2969204749249172</v>
      </c>
      <c r="W33" s="132">
        <f t="shared" si="5"/>
        <v>1.1833355947991606</v>
      </c>
      <c r="X33" s="132">
        <f t="shared" si="6"/>
        <v>16.7711337500171</v>
      </c>
      <c r="Y33" s="132">
        <f t="shared" si="7"/>
        <v>43.528036915230587</v>
      </c>
      <c r="Z33" s="132">
        <f t="shared" si="8"/>
        <v>12.946451174665526</v>
      </c>
      <c r="AA33" s="132">
        <f t="shared" si="9"/>
        <v>-4.5194552791846974</v>
      </c>
    </row>
    <row r="34" spans="17:32" ht="14.25" customHeight="1">
      <c r="Q34" s="132" t="s">
        <v>265</v>
      </c>
      <c r="R34" s="132">
        <f t="shared" si="0"/>
        <v>15.635445739979076</v>
      </c>
      <c r="S34" s="132">
        <f t="shared" si="1"/>
        <v>3.5444474650311975</v>
      </c>
      <c r="T34" s="132">
        <f t="shared" si="2"/>
        <v>21.556658430070485</v>
      </c>
      <c r="U34" s="132">
        <f t="shared" si="3"/>
        <v>8.7223242103931682</v>
      </c>
      <c r="V34" s="132">
        <f t="shared" si="4"/>
        <v>11.325723969683821</v>
      </c>
      <c r="W34" s="132">
        <f t="shared" si="5"/>
        <v>19.816115269869357</v>
      </c>
      <c r="X34" s="132">
        <f t="shared" si="6"/>
        <v>-3.2498527944168529</v>
      </c>
      <c r="Y34" s="132">
        <f t="shared" si="7"/>
        <v>43.090182279235705</v>
      </c>
      <c r="Z34" s="132">
        <f t="shared" si="8"/>
        <v>15.56977200937672</v>
      </c>
      <c r="AA34" s="132">
        <f t="shared" si="9"/>
        <v>-0.76758952434938976</v>
      </c>
    </row>
    <row r="35" spans="17:32" ht="14.25" customHeight="1">
      <c r="Q35" s="132" t="s">
        <v>570</v>
      </c>
      <c r="R35" s="132">
        <f t="shared" si="0"/>
        <v>21.969490745010006</v>
      </c>
      <c r="S35" s="132">
        <f t="shared" si="1"/>
        <v>9.6560601100090651</v>
      </c>
      <c r="T35" s="132">
        <f t="shared" si="2"/>
        <v>29.043245425493353</v>
      </c>
      <c r="U35" s="132">
        <f t="shared" si="3"/>
        <v>14.989287689967938</v>
      </c>
      <c r="V35" s="132">
        <f t="shared" si="4"/>
        <v>17.604134630252446</v>
      </c>
      <c r="W35" s="132">
        <f t="shared" si="5"/>
        <v>10.367124555598735</v>
      </c>
      <c r="X35" s="132">
        <f t="shared" si="6"/>
        <v>26.791905855565631</v>
      </c>
      <c r="Y35" s="132">
        <f t="shared" si="7"/>
        <v>57.306660915724024</v>
      </c>
      <c r="Z35" s="132">
        <f t="shared" si="8"/>
        <v>22.751617219869331</v>
      </c>
      <c r="AA35" s="132">
        <f t="shared" si="9"/>
        <v>5.5707613006623404</v>
      </c>
    </row>
    <row r="36" spans="17:32" ht="14.25" customHeight="1">
      <c r="Q36" s="135" t="s">
        <v>571</v>
      </c>
      <c r="R36" s="132">
        <f t="shared" si="0"/>
        <v>21.582176985124278</v>
      </c>
      <c r="S36" s="132">
        <f t="shared" si="1"/>
        <v>9.4043009152400998</v>
      </c>
      <c r="T36" s="132">
        <f t="shared" si="2"/>
        <v>27.430138225247021</v>
      </c>
      <c r="U36" s="132">
        <f t="shared" si="3"/>
        <v>14.868672219279148</v>
      </c>
      <c r="V36" s="132">
        <f t="shared" si="4"/>
        <v>17.22165178957286</v>
      </c>
      <c r="W36" s="132">
        <f t="shared" si="5"/>
        <v>26.244179429918319</v>
      </c>
      <c r="X36" s="132">
        <f t="shared" si="6"/>
        <v>3.7261269593530812</v>
      </c>
      <c r="Y36" s="132">
        <f t="shared" si="7"/>
        <v>31.151351150124356</v>
      </c>
      <c r="Z36" s="132">
        <f t="shared" si="8"/>
        <v>20.790001150790886</v>
      </c>
      <c r="AA36" s="132">
        <f t="shared" si="9"/>
        <v>5.3735599955933111</v>
      </c>
    </row>
    <row r="37" spans="17:32" ht="14.25" customHeight="1"/>
    <row r="38" spans="17:32" ht="14.25" customHeight="1"/>
    <row r="39" spans="17:32" ht="14.25" customHeight="1"/>
    <row r="40" spans="17:32" ht="14.25" customHeight="1"/>
    <row r="41" spans="17:32" ht="14.25" customHeight="1">
      <c r="Q41" s="139" t="s">
        <v>532</v>
      </c>
      <c r="R41" s="140"/>
      <c r="T41" s="139" t="s">
        <v>6</v>
      </c>
      <c r="U41" s="140"/>
      <c r="V41" s="128" t="s">
        <v>593</v>
      </c>
      <c r="W41" s="129"/>
      <c r="X41" s="129"/>
      <c r="Y41" s="129"/>
      <c r="Z41" s="129"/>
      <c r="AA41" s="129"/>
      <c r="AB41" s="129"/>
      <c r="AC41" s="129"/>
      <c r="AD41" s="129"/>
      <c r="AE41" s="129"/>
      <c r="AF41" s="130"/>
    </row>
    <row r="42" spans="17:32" ht="14.25" customHeight="1">
      <c r="Q42" s="132" t="s">
        <v>36</v>
      </c>
      <c r="R42" s="131">
        <f t="shared" ref="R42:R50" si="10">SUM(Q28:Z28)/10</f>
        <v>17.3303786150882</v>
      </c>
      <c r="T42" s="132" t="s">
        <v>36</v>
      </c>
      <c r="U42" s="131">
        <f t="shared" ref="U42:U50" si="11">SUM(W43:AF43)/10</f>
        <v>18.019503421076859</v>
      </c>
      <c r="V42" s="132"/>
      <c r="W42" s="132" t="s">
        <v>258</v>
      </c>
      <c r="X42" s="132" t="s">
        <v>550</v>
      </c>
      <c r="Y42" s="132" t="s">
        <v>471</v>
      </c>
      <c r="Z42" s="132" t="s">
        <v>551</v>
      </c>
      <c r="AA42" s="132" t="s">
        <v>552</v>
      </c>
      <c r="AB42" s="132" t="s">
        <v>553</v>
      </c>
      <c r="AC42" s="132" t="s">
        <v>554</v>
      </c>
      <c r="AD42" s="132" t="s">
        <v>555</v>
      </c>
      <c r="AE42" s="132" t="s">
        <v>249</v>
      </c>
      <c r="AF42" s="132" t="s">
        <v>556</v>
      </c>
    </row>
    <row r="43" spans="17:32" ht="14.25" customHeight="1">
      <c r="Q43" s="132" t="s">
        <v>567</v>
      </c>
      <c r="R43" s="131">
        <f t="shared" si="10"/>
        <v>25.606592611503221</v>
      </c>
      <c r="T43" s="132" t="s">
        <v>567</v>
      </c>
      <c r="U43" s="131">
        <f t="shared" si="11"/>
        <v>26.723420090511972</v>
      </c>
      <c r="V43" s="132" t="s">
        <v>36</v>
      </c>
      <c r="W43" s="132">
        <f t="shared" ref="W43:W51" si="12">ABS(R3-$N$8)</f>
        <v>21.619852909956279</v>
      </c>
      <c r="X43" s="132">
        <f t="shared" ref="X43:X51" si="13">ABS(S3-$N$9)</f>
        <v>9.289330269838473</v>
      </c>
      <c r="Y43" s="132">
        <f t="shared" ref="Y43:Y51" si="14">ABS(T3-$N$10)</f>
        <v>25.938302869954015</v>
      </c>
      <c r="Z43" s="132">
        <f t="shared" ref="Z43:Z51" si="15">ABS(U3-$N$11)</f>
        <v>9.1443208252889292</v>
      </c>
      <c r="AA43" s="132">
        <f t="shared" ref="AA43:AA51" si="16">ABS(V3-$N$12)</f>
        <v>17.797003860425974</v>
      </c>
      <c r="AB43" s="132">
        <f t="shared" ref="AB43:AB51" si="17">ABS(W3-$N$13)</f>
        <v>23.015024470597297</v>
      </c>
      <c r="AC43" s="132">
        <f t="shared" ref="AC43:AC51" si="18">ABS(X3-$N$14)</f>
        <v>0.65504489020318601</v>
      </c>
      <c r="AD43" s="132">
        <f t="shared" ref="AD43:AD51" si="19">ABS(Y3-$N$15)</f>
        <v>47.664459655060455</v>
      </c>
      <c r="AE43" s="132">
        <f t="shared" ref="AE43:AE51" si="20">ABS(Z3-$N$16)</f>
        <v>19.490536179963783</v>
      </c>
      <c r="AF43" s="132">
        <f t="shared" ref="AF43:AF51" si="21">ABS(AA3-$N$17)</f>
        <v>5.5811582794802206</v>
      </c>
    </row>
    <row r="44" spans="17:32" ht="14.25" customHeight="1">
      <c r="Q44" s="132" t="s">
        <v>38</v>
      </c>
      <c r="R44" s="131">
        <f t="shared" si="10"/>
        <v>16.315008497913738</v>
      </c>
      <c r="T44" s="132" t="s">
        <v>38</v>
      </c>
      <c r="U44" s="131">
        <f t="shared" si="11"/>
        <v>16.385665788428128</v>
      </c>
      <c r="V44" s="132" t="s">
        <v>567</v>
      </c>
      <c r="W44" s="132">
        <f t="shared" si="12"/>
        <v>27.716736500056612</v>
      </c>
      <c r="X44" s="132">
        <f t="shared" si="13"/>
        <v>15.072676650411239</v>
      </c>
      <c r="Y44" s="132">
        <f t="shared" si="14"/>
        <v>33.381437839985665</v>
      </c>
      <c r="Z44" s="132">
        <f t="shared" si="15"/>
        <v>20.73645467980478</v>
      </c>
      <c r="AA44" s="132">
        <f t="shared" si="16"/>
        <v>22.766235200063164</v>
      </c>
      <c r="AB44" s="132">
        <f t="shared" si="17"/>
        <v>18.785869070295035</v>
      </c>
      <c r="AC44" s="132">
        <f t="shared" si="18"/>
        <v>33.506858400340491</v>
      </c>
      <c r="AD44" s="132">
        <f t="shared" si="19"/>
        <v>55.608251220080092</v>
      </c>
      <c r="AE44" s="132">
        <f t="shared" si="20"/>
        <v>28.491406553995148</v>
      </c>
      <c r="AF44" s="132">
        <f t="shared" si="21"/>
        <v>11.168274790087523</v>
      </c>
    </row>
    <row r="45" spans="17:32" ht="14.25" customHeight="1">
      <c r="Q45" s="132" t="s">
        <v>568</v>
      </c>
      <c r="R45" s="131">
        <f t="shared" si="10"/>
        <v>21.845017757406833</v>
      </c>
      <c r="T45" s="132" t="s">
        <v>568</v>
      </c>
      <c r="U45" s="131">
        <f t="shared" si="11"/>
        <v>22.73763803844767</v>
      </c>
      <c r="V45" s="132" t="s">
        <v>38</v>
      </c>
      <c r="W45" s="132">
        <f t="shared" si="12"/>
        <v>15.688375820078107</v>
      </c>
      <c r="X45" s="132">
        <f t="shared" si="13"/>
        <v>5.7605269948716966</v>
      </c>
      <c r="Y45" s="132">
        <f t="shared" si="14"/>
        <v>21.520374020141418</v>
      </c>
      <c r="Z45" s="132">
        <f t="shared" si="15"/>
        <v>8.874760739679374</v>
      </c>
      <c r="AA45" s="132">
        <f t="shared" si="16"/>
        <v>11.186414939657624</v>
      </c>
      <c r="AB45" s="132">
        <f t="shared" si="17"/>
        <v>21.08919396480897</v>
      </c>
      <c r="AC45" s="132">
        <f t="shared" si="18"/>
        <v>20.235428490015977</v>
      </c>
      <c r="AD45" s="132">
        <f t="shared" si="19"/>
        <v>43.113654249812498</v>
      </c>
      <c r="AE45" s="132">
        <f t="shared" si="20"/>
        <v>15.68135576007171</v>
      </c>
      <c r="AF45" s="132">
        <f t="shared" si="21"/>
        <v>0.70657290514391491</v>
      </c>
    </row>
    <row r="46" spans="17:32" ht="14.25" customHeight="1">
      <c r="Q46" s="132" t="s">
        <v>569</v>
      </c>
      <c r="R46" s="131">
        <f t="shared" si="10"/>
        <v>23.883264295990021</v>
      </c>
      <c r="T46" s="132" t="s">
        <v>569</v>
      </c>
      <c r="U46" s="131">
        <f t="shared" si="11"/>
        <v>24.69533948800953</v>
      </c>
      <c r="V46" s="132" t="s">
        <v>568</v>
      </c>
      <c r="W46" s="132">
        <f t="shared" si="12"/>
        <v>25.051171370221454</v>
      </c>
      <c r="X46" s="132">
        <f t="shared" si="13"/>
        <v>13.248242954886308</v>
      </c>
      <c r="Y46" s="132">
        <f t="shared" si="14"/>
        <v>31.134036094927126</v>
      </c>
      <c r="Z46" s="132">
        <f t="shared" si="15"/>
        <v>18.485666040039547</v>
      </c>
      <c r="AA46" s="132">
        <f t="shared" si="16"/>
        <v>20.970471964523966</v>
      </c>
      <c r="AB46" s="132">
        <f t="shared" si="17"/>
        <v>28.328773919924885</v>
      </c>
      <c r="AC46" s="132">
        <f t="shared" si="18"/>
        <v>5.3516527752311447</v>
      </c>
      <c r="AD46" s="132">
        <f t="shared" si="19"/>
        <v>51.870825714896455</v>
      </c>
      <c r="AE46" s="132">
        <f t="shared" si="20"/>
        <v>24.009336739417449</v>
      </c>
      <c r="AF46" s="132">
        <f t="shared" si="21"/>
        <v>8.9262028104083555</v>
      </c>
    </row>
    <row r="47" spans="17:32" ht="14.25" customHeight="1">
      <c r="Q47" s="132" t="s">
        <v>63</v>
      </c>
      <c r="R47" s="131">
        <f t="shared" si="10"/>
        <v>11.585228008940254</v>
      </c>
      <c r="T47" s="132" t="s">
        <v>63</v>
      </c>
      <c r="U47" s="131">
        <f t="shared" si="11"/>
        <v>12.139647559855378</v>
      </c>
      <c r="V47" s="132" t="s">
        <v>569</v>
      </c>
      <c r="W47" s="132">
        <f t="shared" si="12"/>
        <v>24.423650614822435</v>
      </c>
      <c r="X47" s="132">
        <f t="shared" si="13"/>
        <v>12.267382410052022</v>
      </c>
      <c r="Y47" s="132">
        <f t="shared" si="14"/>
        <v>30.287443620198303</v>
      </c>
      <c r="Z47" s="132">
        <f t="shared" si="15"/>
        <v>17.671577254949995</v>
      </c>
      <c r="AA47" s="132">
        <f t="shared" si="16"/>
        <v>20.027339855049576</v>
      </c>
      <c r="AB47" s="132">
        <f t="shared" si="17"/>
        <v>29.3476779600268</v>
      </c>
      <c r="AC47" s="132">
        <f t="shared" si="18"/>
        <v>28.868124999842905</v>
      </c>
      <c r="AD47" s="132">
        <f t="shared" si="19"/>
        <v>51.732120550236687</v>
      </c>
      <c r="AE47" s="132">
        <f t="shared" si="20"/>
        <v>24.207325694721476</v>
      </c>
      <c r="AF47" s="132">
        <f t="shared" si="21"/>
        <v>8.1207519201951044</v>
      </c>
    </row>
    <row r="48" spans="17:32" ht="14.25" customHeight="1">
      <c r="Q48" s="132" t="s">
        <v>265</v>
      </c>
      <c r="R48" s="131">
        <f t="shared" si="10"/>
        <v>13.601081657922268</v>
      </c>
      <c r="T48" s="132" t="s">
        <v>265</v>
      </c>
      <c r="U48" s="131">
        <f t="shared" si="11"/>
        <v>14.327811169240579</v>
      </c>
      <c r="V48" s="132" t="s">
        <v>63</v>
      </c>
      <c r="W48" s="132">
        <f t="shared" si="12"/>
        <v>12.029111450210365</v>
      </c>
      <c r="X48" s="132">
        <f t="shared" si="13"/>
        <v>0.51237011498326979</v>
      </c>
      <c r="Y48" s="132">
        <f t="shared" si="14"/>
        <v>17.824798984964247</v>
      </c>
      <c r="Z48" s="132">
        <f t="shared" si="15"/>
        <v>4.7848618595739083</v>
      </c>
      <c r="AA48" s="132">
        <f t="shared" si="16"/>
        <v>7.2969204749249172</v>
      </c>
      <c r="AB48" s="132">
        <f t="shared" si="17"/>
        <v>1.1833355947991606</v>
      </c>
      <c r="AC48" s="132">
        <f t="shared" si="18"/>
        <v>16.7711337500171</v>
      </c>
      <c r="AD48" s="132">
        <f t="shared" si="19"/>
        <v>43.528036915230587</v>
      </c>
      <c r="AE48" s="132">
        <f t="shared" si="20"/>
        <v>12.946451174665526</v>
      </c>
      <c r="AF48" s="132">
        <f t="shared" si="21"/>
        <v>4.5194552791846974</v>
      </c>
    </row>
    <row r="49" spans="17:32" ht="14.25" customHeight="1">
      <c r="Q49" s="132" t="s">
        <v>570</v>
      </c>
      <c r="R49" s="131">
        <f t="shared" si="10"/>
        <v>21.047952714749051</v>
      </c>
      <c r="T49" s="132" t="s">
        <v>570</v>
      </c>
      <c r="U49" s="131">
        <f t="shared" si="11"/>
        <v>21.605028844815287</v>
      </c>
      <c r="V49" s="132" t="s">
        <v>265</v>
      </c>
      <c r="W49" s="132">
        <f t="shared" si="12"/>
        <v>15.635445739979076</v>
      </c>
      <c r="X49" s="132">
        <f t="shared" si="13"/>
        <v>3.5444474650311975</v>
      </c>
      <c r="Y49" s="132">
        <f t="shared" si="14"/>
        <v>21.556658430070485</v>
      </c>
      <c r="Z49" s="132">
        <f t="shared" si="15"/>
        <v>8.7223242103931682</v>
      </c>
      <c r="AA49" s="132">
        <f t="shared" si="16"/>
        <v>11.325723969683821</v>
      </c>
      <c r="AB49" s="132">
        <f t="shared" si="17"/>
        <v>19.816115269869357</v>
      </c>
      <c r="AC49" s="132">
        <f t="shared" si="18"/>
        <v>3.2498527944168529</v>
      </c>
      <c r="AD49" s="132">
        <f t="shared" si="19"/>
        <v>43.090182279235705</v>
      </c>
      <c r="AE49" s="132">
        <f t="shared" si="20"/>
        <v>15.56977200937672</v>
      </c>
      <c r="AF49" s="132">
        <f t="shared" si="21"/>
        <v>0.76758952434938976</v>
      </c>
    </row>
    <row r="50" spans="17:32" ht="14.25" customHeight="1">
      <c r="Q50" s="135" t="s">
        <v>571</v>
      </c>
      <c r="R50" s="131">
        <f t="shared" si="10"/>
        <v>17.241859882465004</v>
      </c>
      <c r="T50" s="135" t="s">
        <v>571</v>
      </c>
      <c r="U50" s="131">
        <f t="shared" si="11"/>
        <v>17.779215882024335</v>
      </c>
      <c r="V50" s="132" t="s">
        <v>570</v>
      </c>
      <c r="W50" s="132">
        <f t="shared" si="12"/>
        <v>21.969490745010006</v>
      </c>
      <c r="X50" s="132">
        <f t="shared" si="13"/>
        <v>9.6560601100090651</v>
      </c>
      <c r="Y50" s="132">
        <f t="shared" si="14"/>
        <v>29.043245425493353</v>
      </c>
      <c r="Z50" s="132">
        <f t="shared" si="15"/>
        <v>14.989287689967938</v>
      </c>
      <c r="AA50" s="132">
        <f t="shared" si="16"/>
        <v>17.604134630252446</v>
      </c>
      <c r="AB50" s="132">
        <f t="shared" si="17"/>
        <v>10.367124555598735</v>
      </c>
      <c r="AC50" s="132">
        <f t="shared" si="18"/>
        <v>26.791905855565631</v>
      </c>
      <c r="AD50" s="132">
        <f t="shared" si="19"/>
        <v>57.306660915724024</v>
      </c>
      <c r="AE50" s="132">
        <f t="shared" si="20"/>
        <v>22.751617219869331</v>
      </c>
      <c r="AF50" s="132">
        <f t="shared" si="21"/>
        <v>5.5707613006623404</v>
      </c>
    </row>
    <row r="51" spans="17:32" ht="14.25" customHeight="1">
      <c r="V51" s="135" t="s">
        <v>571</v>
      </c>
      <c r="W51" s="132">
        <f t="shared" si="12"/>
        <v>21.582176985124278</v>
      </c>
      <c r="X51" s="132">
        <f t="shared" si="13"/>
        <v>9.4043009152400998</v>
      </c>
      <c r="Y51" s="132">
        <f t="shared" si="14"/>
        <v>27.430138225247021</v>
      </c>
      <c r="Z51" s="132">
        <f t="shared" si="15"/>
        <v>14.868672219279148</v>
      </c>
      <c r="AA51" s="132">
        <f t="shared" si="16"/>
        <v>17.22165178957286</v>
      </c>
      <c r="AB51" s="132">
        <f t="shared" si="17"/>
        <v>26.244179429918319</v>
      </c>
      <c r="AC51" s="132">
        <f t="shared" si="18"/>
        <v>3.7261269593530812</v>
      </c>
      <c r="AD51" s="132">
        <f t="shared" si="19"/>
        <v>31.151351150124356</v>
      </c>
      <c r="AE51" s="132">
        <f t="shared" si="20"/>
        <v>20.790001150790886</v>
      </c>
      <c r="AF51" s="132">
        <f t="shared" si="21"/>
        <v>5.3735599955933111</v>
      </c>
    </row>
    <row r="52" spans="17:32" ht="14.25" customHeight="1"/>
    <row r="53" spans="17:32" ht="14.25" customHeight="1"/>
    <row r="54" spans="17:32" ht="14.25" customHeight="1">
      <c r="W54" s="132" t="s">
        <v>258</v>
      </c>
      <c r="X54" s="132" t="s">
        <v>550</v>
      </c>
      <c r="Y54" s="132" t="s">
        <v>471</v>
      </c>
      <c r="Z54" s="132" t="s">
        <v>551</v>
      </c>
      <c r="AA54" s="132" t="s">
        <v>552</v>
      </c>
      <c r="AB54" s="132" t="s">
        <v>553</v>
      </c>
      <c r="AC54" s="132" t="s">
        <v>554</v>
      </c>
      <c r="AD54" s="132" t="s">
        <v>555</v>
      </c>
      <c r="AE54" s="132" t="s">
        <v>249</v>
      </c>
      <c r="AF54" s="132" t="s">
        <v>556</v>
      </c>
    </row>
    <row r="55" spans="17:32" ht="14.25" customHeight="1">
      <c r="V55" s="132" t="s">
        <v>567</v>
      </c>
      <c r="W55" s="146" t="b">
        <f t="shared" ref="W55:AF62" si="22">W44 &lt; W$43</f>
        <v>0</v>
      </c>
      <c r="X55" s="146" t="b">
        <f t="shared" si="22"/>
        <v>0</v>
      </c>
      <c r="Y55" s="146" t="b">
        <f t="shared" si="22"/>
        <v>0</v>
      </c>
      <c r="Z55" s="146" t="b">
        <f t="shared" si="22"/>
        <v>0</v>
      </c>
      <c r="AA55" s="146" t="b">
        <f t="shared" si="22"/>
        <v>0</v>
      </c>
      <c r="AB55" s="147" t="b">
        <f t="shared" si="22"/>
        <v>1</v>
      </c>
      <c r="AC55" s="146" t="b">
        <f t="shared" si="22"/>
        <v>0</v>
      </c>
      <c r="AD55" s="146" t="b">
        <f t="shared" si="22"/>
        <v>0</v>
      </c>
      <c r="AE55" s="146" t="b">
        <f t="shared" si="22"/>
        <v>0</v>
      </c>
      <c r="AF55" s="146" t="b">
        <f t="shared" si="22"/>
        <v>0</v>
      </c>
    </row>
    <row r="56" spans="17:32" ht="14.25" customHeight="1">
      <c r="V56" s="132" t="s">
        <v>38</v>
      </c>
      <c r="W56" s="147" t="b">
        <f t="shared" si="22"/>
        <v>1</v>
      </c>
      <c r="X56" s="147" t="b">
        <f t="shared" si="22"/>
        <v>1</v>
      </c>
      <c r="Y56" s="147" t="b">
        <f t="shared" si="22"/>
        <v>1</v>
      </c>
      <c r="Z56" s="147" t="b">
        <f t="shared" si="22"/>
        <v>1</v>
      </c>
      <c r="AA56" s="147" t="b">
        <f t="shared" si="22"/>
        <v>1</v>
      </c>
      <c r="AB56" s="147" t="b">
        <f t="shared" si="22"/>
        <v>1</v>
      </c>
      <c r="AC56" s="146" t="b">
        <f t="shared" si="22"/>
        <v>0</v>
      </c>
      <c r="AD56" s="147" t="b">
        <f t="shared" si="22"/>
        <v>1</v>
      </c>
      <c r="AE56" s="147" t="b">
        <f t="shared" si="22"/>
        <v>1</v>
      </c>
      <c r="AF56" s="147" t="b">
        <f t="shared" si="22"/>
        <v>1</v>
      </c>
    </row>
    <row r="57" spans="17:32" ht="14.25" customHeight="1">
      <c r="V57" s="132" t="s">
        <v>568</v>
      </c>
      <c r="W57" s="146" t="b">
        <f t="shared" si="22"/>
        <v>0</v>
      </c>
      <c r="X57" s="146" t="b">
        <f t="shared" si="22"/>
        <v>0</v>
      </c>
      <c r="Y57" s="146" t="b">
        <f t="shared" si="22"/>
        <v>0</v>
      </c>
      <c r="Z57" s="146" t="b">
        <f t="shared" si="22"/>
        <v>0</v>
      </c>
      <c r="AA57" s="146" t="b">
        <f t="shared" si="22"/>
        <v>0</v>
      </c>
      <c r="AB57" s="146" t="b">
        <f t="shared" si="22"/>
        <v>0</v>
      </c>
      <c r="AC57" s="146" t="b">
        <f t="shared" si="22"/>
        <v>0</v>
      </c>
      <c r="AD57" s="146" t="b">
        <f t="shared" si="22"/>
        <v>0</v>
      </c>
      <c r="AE57" s="146" t="b">
        <f t="shared" si="22"/>
        <v>0</v>
      </c>
      <c r="AF57" s="146" t="b">
        <f t="shared" si="22"/>
        <v>0</v>
      </c>
    </row>
    <row r="58" spans="17:32" ht="14.25" customHeight="1">
      <c r="V58" s="132" t="s">
        <v>569</v>
      </c>
      <c r="W58" s="146" t="b">
        <f t="shared" si="22"/>
        <v>0</v>
      </c>
      <c r="X58" s="146" t="b">
        <f t="shared" si="22"/>
        <v>0</v>
      </c>
      <c r="Y58" s="146" t="b">
        <f t="shared" si="22"/>
        <v>0</v>
      </c>
      <c r="Z58" s="146" t="b">
        <f t="shared" si="22"/>
        <v>0</v>
      </c>
      <c r="AA58" s="146" t="b">
        <f t="shared" si="22"/>
        <v>0</v>
      </c>
      <c r="AB58" s="146" t="b">
        <f t="shared" si="22"/>
        <v>0</v>
      </c>
      <c r="AC58" s="146" t="b">
        <f t="shared" si="22"/>
        <v>0</v>
      </c>
      <c r="AD58" s="146" t="b">
        <f t="shared" si="22"/>
        <v>0</v>
      </c>
      <c r="AE58" s="146" t="b">
        <f t="shared" si="22"/>
        <v>0</v>
      </c>
      <c r="AF58" s="146" t="b">
        <f t="shared" si="22"/>
        <v>0</v>
      </c>
    </row>
    <row r="59" spans="17:32" ht="14.25" customHeight="1">
      <c r="V59" s="132" t="s">
        <v>63</v>
      </c>
      <c r="W59" s="147" t="b">
        <f t="shared" si="22"/>
        <v>1</v>
      </c>
      <c r="X59" s="147" t="b">
        <f t="shared" si="22"/>
        <v>1</v>
      </c>
      <c r="Y59" s="147" t="b">
        <f t="shared" si="22"/>
        <v>1</v>
      </c>
      <c r="Z59" s="147" t="b">
        <f t="shared" si="22"/>
        <v>1</v>
      </c>
      <c r="AA59" s="147" t="b">
        <f t="shared" si="22"/>
        <v>1</v>
      </c>
      <c r="AB59" s="147" t="b">
        <f t="shared" si="22"/>
        <v>1</v>
      </c>
      <c r="AC59" s="146" t="b">
        <f t="shared" si="22"/>
        <v>0</v>
      </c>
      <c r="AD59" s="147" t="b">
        <f t="shared" si="22"/>
        <v>1</v>
      </c>
      <c r="AE59" s="147" t="b">
        <f t="shared" si="22"/>
        <v>1</v>
      </c>
      <c r="AF59" s="147" t="b">
        <f t="shared" si="22"/>
        <v>1</v>
      </c>
    </row>
    <row r="60" spans="17:32" ht="14.25" customHeight="1">
      <c r="V60" s="132" t="s">
        <v>265</v>
      </c>
      <c r="W60" s="147" t="b">
        <f t="shared" si="22"/>
        <v>1</v>
      </c>
      <c r="X60" s="147" t="b">
        <f t="shared" si="22"/>
        <v>1</v>
      </c>
      <c r="Y60" s="147" t="b">
        <f t="shared" si="22"/>
        <v>1</v>
      </c>
      <c r="Z60" s="147" t="b">
        <f t="shared" si="22"/>
        <v>1</v>
      </c>
      <c r="AA60" s="147" t="b">
        <f t="shared" si="22"/>
        <v>1</v>
      </c>
      <c r="AB60" s="147" t="b">
        <f t="shared" si="22"/>
        <v>1</v>
      </c>
      <c r="AC60" s="146" t="b">
        <f t="shared" si="22"/>
        <v>0</v>
      </c>
      <c r="AD60" s="147" t="b">
        <f t="shared" si="22"/>
        <v>1</v>
      </c>
      <c r="AE60" s="147" t="b">
        <f t="shared" si="22"/>
        <v>1</v>
      </c>
      <c r="AF60" s="147" t="b">
        <f t="shared" si="22"/>
        <v>1</v>
      </c>
    </row>
    <row r="61" spans="17:32" ht="14.25" customHeight="1">
      <c r="V61" s="132" t="s">
        <v>570</v>
      </c>
      <c r="W61" s="146" t="b">
        <f t="shared" si="22"/>
        <v>0</v>
      </c>
      <c r="X61" s="146" t="b">
        <f t="shared" si="22"/>
        <v>0</v>
      </c>
      <c r="Y61" s="146" t="b">
        <f t="shared" si="22"/>
        <v>0</v>
      </c>
      <c r="Z61" s="146" t="b">
        <f t="shared" si="22"/>
        <v>0</v>
      </c>
      <c r="AA61" s="147" t="b">
        <f t="shared" si="22"/>
        <v>1</v>
      </c>
      <c r="AB61" s="147" t="b">
        <f t="shared" si="22"/>
        <v>1</v>
      </c>
      <c r="AC61" s="146" t="b">
        <f t="shared" si="22"/>
        <v>0</v>
      </c>
      <c r="AD61" s="146" t="b">
        <f t="shared" si="22"/>
        <v>0</v>
      </c>
      <c r="AE61" s="146" t="b">
        <f t="shared" si="22"/>
        <v>0</v>
      </c>
      <c r="AF61" s="147" t="b">
        <f t="shared" si="22"/>
        <v>1</v>
      </c>
    </row>
    <row r="62" spans="17:32" ht="14.25" customHeight="1">
      <c r="V62" s="135" t="s">
        <v>571</v>
      </c>
      <c r="W62" s="147" t="b">
        <f t="shared" si="22"/>
        <v>1</v>
      </c>
      <c r="X62" s="146" t="b">
        <f t="shared" si="22"/>
        <v>0</v>
      </c>
      <c r="Y62" s="146" t="b">
        <f t="shared" si="22"/>
        <v>0</v>
      </c>
      <c r="Z62" s="146" t="b">
        <f t="shared" si="22"/>
        <v>0</v>
      </c>
      <c r="AA62" s="147" t="b">
        <f t="shared" si="22"/>
        <v>1</v>
      </c>
      <c r="AB62" s="146" t="b">
        <f t="shared" si="22"/>
        <v>0</v>
      </c>
      <c r="AC62" s="146" t="b">
        <f t="shared" si="22"/>
        <v>0</v>
      </c>
      <c r="AD62" s="147" t="b">
        <f t="shared" si="22"/>
        <v>1</v>
      </c>
      <c r="AE62" s="146" t="b">
        <f t="shared" si="22"/>
        <v>0</v>
      </c>
      <c r="AF62" s="147" t="b">
        <f t="shared" si="22"/>
        <v>1</v>
      </c>
    </row>
    <row r="63" spans="17:32" ht="14.25" customHeight="1"/>
    <row r="64" spans="17:3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Q41:R41"/>
    <mergeCell ref="T41:U41"/>
    <mergeCell ref="V41:AF41"/>
    <mergeCell ref="Q1:AA1"/>
    <mergeCell ref="M7:N7"/>
    <mergeCell ref="A10:K10"/>
    <mergeCell ref="Q13:AA13"/>
    <mergeCell ref="A22:K22"/>
    <mergeCell ref="Q26:AA26"/>
  </mergeCells>
  <pageMargins left="0.7" right="0.7" top="0.75" bottom="0.75" header="0" footer="0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C137-4CCE-4A62-A3B4-7DF4815B1CC6}">
  <dimension ref="A1:AE1000"/>
  <sheetViews>
    <sheetView workbookViewId="0">
      <selection sqref="A1:K1"/>
    </sheetView>
  </sheetViews>
  <sheetFormatPr defaultColWidth="12.6640625" defaultRowHeight="15" customHeight="1"/>
  <cols>
    <col min="1" max="4" width="8.6640625" style="131" customWidth="1"/>
    <col min="5" max="5" width="9" style="131" customWidth="1"/>
    <col min="6" max="33" width="8.6640625" style="131" customWidth="1"/>
    <col min="34" max="16384" width="12.6640625" style="131"/>
  </cols>
  <sheetData>
    <row r="1" spans="1:26" ht="14.25" customHeight="1">
      <c r="A1" s="131" t="s">
        <v>572</v>
      </c>
      <c r="M1" s="131" t="s">
        <v>332</v>
      </c>
      <c r="N1" s="131" t="s">
        <v>579</v>
      </c>
    </row>
    <row r="2" spans="1:26" ht="14.25" customHeight="1">
      <c r="A2" s="131" t="s">
        <v>557</v>
      </c>
      <c r="B2" s="131" t="s">
        <v>558</v>
      </c>
      <c r="C2" s="131" t="s">
        <v>559</v>
      </c>
      <c r="D2" s="131" t="s">
        <v>560</v>
      </c>
      <c r="E2" s="131" t="s">
        <v>561</v>
      </c>
      <c r="F2" s="131" t="s">
        <v>562</v>
      </c>
      <c r="G2" s="131" t="s">
        <v>563</v>
      </c>
      <c r="H2" s="131" t="s">
        <v>564</v>
      </c>
      <c r="I2" s="131" t="s">
        <v>565</v>
      </c>
      <c r="J2" s="131" t="s">
        <v>566</v>
      </c>
      <c r="L2" s="131" t="s">
        <v>36</v>
      </c>
      <c r="M2" s="131">
        <v>0.75</v>
      </c>
      <c r="N2" s="131">
        <v>-0.49999478000000003</v>
      </c>
    </row>
    <row r="3" spans="1:26" ht="14.25" customHeight="1">
      <c r="A3" s="131">
        <v>3.715E-3</v>
      </c>
      <c r="B3" s="131">
        <v>3.9319999999999997E-3</v>
      </c>
      <c r="C3" s="131">
        <v>4.0829999999999998E-3</v>
      </c>
      <c r="D3" s="131">
        <v>4.032E-3</v>
      </c>
      <c r="E3" s="131">
        <v>4.0689999999999997E-3</v>
      </c>
      <c r="F3" s="131">
        <v>4.1770000000000002E-3</v>
      </c>
      <c r="G3" s="131">
        <v>4.2160000000000001E-3</v>
      </c>
      <c r="H3" s="131">
        <v>4.3290000000000004E-3</v>
      </c>
      <c r="I3" s="131">
        <v>3.859E-3</v>
      </c>
      <c r="J3" s="131">
        <v>4.2220000000000001E-3</v>
      </c>
      <c r="L3" s="131" t="s">
        <v>567</v>
      </c>
      <c r="M3" s="131">
        <v>0.75</v>
      </c>
      <c r="N3" s="131">
        <v>-0.49790802000000001</v>
      </c>
      <c r="P3" s="139" t="s">
        <v>573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spans="1:26" ht="14.25" customHeight="1">
      <c r="A4" s="131" t="s">
        <v>574</v>
      </c>
      <c r="L4" s="131" t="s">
        <v>38</v>
      </c>
      <c r="M4" s="131">
        <v>0.75</v>
      </c>
      <c r="N4" s="131">
        <v>-0.50243766000000001</v>
      </c>
      <c r="Q4" s="131" t="s">
        <v>557</v>
      </c>
      <c r="R4" s="131" t="s">
        <v>558</v>
      </c>
      <c r="S4" s="148" t="s">
        <v>559</v>
      </c>
      <c r="T4" s="148" t="s">
        <v>560</v>
      </c>
      <c r="U4" s="131" t="s">
        <v>561</v>
      </c>
      <c r="V4" s="131" t="s">
        <v>562</v>
      </c>
      <c r="W4" s="131" t="s">
        <v>563</v>
      </c>
      <c r="X4" s="131" t="s">
        <v>564</v>
      </c>
      <c r="Y4" s="131" t="s">
        <v>565</v>
      </c>
      <c r="Z4" s="131" t="s">
        <v>566</v>
      </c>
    </row>
    <row r="5" spans="1:26" ht="14.25" customHeight="1">
      <c r="A5" s="131" t="s">
        <v>557</v>
      </c>
      <c r="B5" s="131" t="s">
        <v>558</v>
      </c>
      <c r="C5" s="131" t="s">
        <v>559</v>
      </c>
      <c r="D5" s="131" t="s">
        <v>560</v>
      </c>
      <c r="E5" s="131" t="s">
        <v>561</v>
      </c>
      <c r="F5" s="131" t="s">
        <v>562</v>
      </c>
      <c r="G5" s="131" t="s">
        <v>563</v>
      </c>
      <c r="H5" s="131" t="s">
        <v>564</v>
      </c>
      <c r="I5" s="131" t="s">
        <v>565</v>
      </c>
      <c r="J5" s="131" t="s">
        <v>566</v>
      </c>
      <c r="L5" s="131" t="s">
        <v>568</v>
      </c>
      <c r="M5" s="131">
        <v>0.75</v>
      </c>
      <c r="N5" s="131">
        <v>-0.49877761999999998</v>
      </c>
      <c r="P5" s="131" t="s">
        <v>36</v>
      </c>
      <c r="Q5" s="131">
        <f t="shared" ref="Q5:Q13" si="0">(B24*2625.5)+(N2*2625.5)-(B12*2625.5)-(A$3*2625.5)+A$6+A$9+3.7</f>
        <v>241.79984702490447</v>
      </c>
      <c r="R5" s="131">
        <f t="shared" ref="R5:R13" si="1">(C24*2625.5)+(N2*2625.5)-(C12*2625.5)-(B$3*2625.5)+B$6+B$9+3.7</f>
        <v>232.15643294505591</v>
      </c>
      <c r="S5" s="148">
        <f t="shared" ref="S5:S13" si="2">(D24*2625.5)+(N2*2625.5)-(D12*2625.5)-(C$3*2625.5)+C$6+C$9+3.7</f>
        <v>266.64966973044193</v>
      </c>
      <c r="T5" s="148">
        <f t="shared" ref="T5:T13" si="3">(E24*2625.5)+(N2*2625.5)-(E12*2625.5)-(D$3*2625.5)+D$6+D$9+3.7</f>
        <v>306.67620444015301</v>
      </c>
      <c r="U5" s="131">
        <f t="shared" ref="U5:U13" si="4">(F24*2625.5)+(N2*2625.5)-(F12*2625.5)-(E$3*2625.5)+E$6+E$9+3.7</f>
        <v>192.9667927002414</v>
      </c>
      <c r="V5" s="131">
        <f t="shared" ref="V5:V13" si="5">(G24*2625.5)+(N2*2625.5)-(G12*2625.5)-(F$3*2625.5)+F$6+F$9+3.7</f>
        <v>227.8272054103432</v>
      </c>
      <c r="W5" s="131">
        <f t="shared" ref="W5:W13" si="6">(H24*2625.5)+(N2*2625.5)-(H12*2625.5)-(G$3*2625.5)+G$6+G$9+3.7</f>
        <v>192.30599185519574</v>
      </c>
      <c r="X5" s="131">
        <f t="shared" ref="X5:X13" si="7">(I24*2625.5)+(N2*2625.5)-(I12*2625.5)-(H$3*2625.5)+H$6+H$9+3.7</f>
        <v>149.96254649057047</v>
      </c>
      <c r="Y5" s="131">
        <f t="shared" ref="Y5:Y13" si="8">(J24*2625.5)+(N2*2625.5)-(J12*2625.5)-(I$3*2625.5)+I$6+I$9+3.7</f>
        <v>105.7010154647367</v>
      </c>
      <c r="Z5" s="131">
        <f t="shared" ref="Z5:Z13" si="9">(K24*2625.5)+(N2*2625.5)-(K12*2625.5)-(J$3*2625.5)+J$6+J$9+3.7</f>
        <v>242.18851259506636</v>
      </c>
    </row>
    <row r="6" spans="1:26" ht="14.25" customHeight="1">
      <c r="A6" s="131">
        <v>0.8</v>
      </c>
      <c r="B6" s="131">
        <v>-11.6</v>
      </c>
      <c r="C6" s="131">
        <v>10.8</v>
      </c>
      <c r="D6" s="131">
        <v>11.9</v>
      </c>
      <c r="E6" s="131">
        <v>-2.1</v>
      </c>
      <c r="F6" s="131">
        <v>-3.4</v>
      </c>
      <c r="G6" s="131">
        <v>-3.7</v>
      </c>
      <c r="H6" s="131">
        <v>-10.9</v>
      </c>
      <c r="I6" s="131">
        <v>23.3</v>
      </c>
      <c r="J6" s="131">
        <v>7.1</v>
      </c>
      <c r="L6" s="131" t="s">
        <v>569</v>
      </c>
      <c r="M6" s="131">
        <v>0.75</v>
      </c>
      <c r="N6" s="131">
        <v>-0.49908947999999997</v>
      </c>
      <c r="P6" s="131" t="s">
        <v>567</v>
      </c>
      <c r="Q6" s="131">
        <f t="shared" si="0"/>
        <v>250.89772962493998</v>
      </c>
      <c r="R6" s="131">
        <f t="shared" si="1"/>
        <v>245.08597024507637</v>
      </c>
      <c r="S6" s="148">
        <f t="shared" si="2"/>
        <v>230.23340712009212</v>
      </c>
      <c r="T6" s="148">
        <f t="shared" si="3"/>
        <v>149.10592926989011</v>
      </c>
      <c r="U6" s="131">
        <f t="shared" si="4"/>
        <v>198.05855612539415</v>
      </c>
      <c r="V6" s="131">
        <f t="shared" si="5"/>
        <v>233.29958757024684</v>
      </c>
      <c r="W6" s="131">
        <f t="shared" si="6"/>
        <v>196.17416726027338</v>
      </c>
      <c r="X6" s="131">
        <f t="shared" si="7"/>
        <v>156.25980824089604</v>
      </c>
      <c r="Y6" s="131">
        <f t="shared" si="8"/>
        <v>115.36301299534607</v>
      </c>
      <c r="Z6" s="131">
        <f t="shared" si="9"/>
        <v>248.48304382494979</v>
      </c>
    </row>
    <row r="7" spans="1:26" ht="14.25" customHeight="1">
      <c r="A7" s="131" t="s">
        <v>575</v>
      </c>
      <c r="L7" s="131" t="s">
        <v>590</v>
      </c>
      <c r="M7" s="131">
        <v>0.75</v>
      </c>
      <c r="N7" s="131">
        <v>-0.50385223999999995</v>
      </c>
      <c r="P7" s="131" t="s">
        <v>38</v>
      </c>
      <c r="Q7" s="131">
        <f t="shared" si="0"/>
        <v>238.93923349999068</v>
      </c>
      <c r="R7" s="131">
        <f t="shared" si="1"/>
        <v>233.07118340000326</v>
      </c>
      <c r="S7" s="148">
        <f t="shared" si="2"/>
        <v>217.17763577947608</v>
      </c>
      <c r="T7" s="148">
        <f t="shared" si="3"/>
        <v>137.18132834971584</v>
      </c>
      <c r="U7" s="131">
        <f t="shared" si="4"/>
        <v>186.33433336428095</v>
      </c>
      <c r="V7" s="131">
        <f t="shared" si="5"/>
        <v>221.42728660965764</v>
      </c>
      <c r="W7" s="131">
        <f t="shared" si="6"/>
        <v>184.88816670442654</v>
      </c>
      <c r="X7" s="131">
        <f t="shared" si="7"/>
        <v>144.67331921027036</v>
      </c>
      <c r="Y7" s="131">
        <f t="shared" si="8"/>
        <v>103.34927635058629</v>
      </c>
      <c r="Z7" s="131">
        <f t="shared" si="9"/>
        <v>236.24713737021528</v>
      </c>
    </row>
    <row r="8" spans="1:26" ht="14.25" customHeight="1">
      <c r="A8" s="131" t="s">
        <v>557</v>
      </c>
      <c r="B8" s="131" t="s">
        <v>558</v>
      </c>
      <c r="C8" s="131" t="s">
        <v>559</v>
      </c>
      <c r="D8" s="131" t="s">
        <v>560</v>
      </c>
      <c r="E8" s="131" t="s">
        <v>561</v>
      </c>
      <c r="F8" s="131" t="s">
        <v>562</v>
      </c>
      <c r="G8" s="131" t="s">
        <v>563</v>
      </c>
      <c r="H8" s="131" t="s">
        <v>564</v>
      </c>
      <c r="I8" s="131" t="s">
        <v>565</v>
      </c>
      <c r="J8" s="131" t="s">
        <v>566</v>
      </c>
      <c r="L8" s="131" t="s">
        <v>592</v>
      </c>
      <c r="M8" s="131">
        <v>0.75</v>
      </c>
      <c r="N8" s="131">
        <v>-0.50242244999999996</v>
      </c>
      <c r="P8" s="131" t="s">
        <v>568</v>
      </c>
      <c r="Q8" s="131">
        <f t="shared" si="0"/>
        <v>245.21297077014287</v>
      </c>
      <c r="R8" s="131">
        <f t="shared" si="1"/>
        <v>241.29679613491336</v>
      </c>
      <c r="S8" s="148">
        <f t="shared" si="2"/>
        <v>226.49180706996685</v>
      </c>
      <c r="T8" s="148">
        <f t="shared" si="3"/>
        <v>146.74471209986768</v>
      </c>
      <c r="U8" s="131">
        <f t="shared" si="4"/>
        <v>196.12676573487659</v>
      </c>
      <c r="V8" s="131">
        <f t="shared" si="5"/>
        <v>231.19797983963468</v>
      </c>
      <c r="W8" s="131">
        <f t="shared" si="6"/>
        <v>173.84250441913215</v>
      </c>
      <c r="X8" s="131">
        <f t="shared" si="7"/>
        <v>154.43923402947368</v>
      </c>
      <c r="Y8" s="131">
        <f t="shared" si="8"/>
        <v>112.52014784958082</v>
      </c>
      <c r="Z8" s="131">
        <f t="shared" si="9"/>
        <v>245.4941746254205</v>
      </c>
    </row>
    <row r="9" spans="1:26" ht="14.25" customHeight="1">
      <c r="A9" s="131">
        <v>0.2</v>
      </c>
      <c r="B9" s="131">
        <v>0.3</v>
      </c>
      <c r="C9" s="131">
        <v>0.3</v>
      </c>
      <c r="D9" s="131">
        <v>0.2</v>
      </c>
      <c r="E9" s="131">
        <v>0.4</v>
      </c>
      <c r="F9" s="131">
        <v>0.8</v>
      </c>
      <c r="G9" s="131">
        <v>0.3</v>
      </c>
      <c r="H9" s="131">
        <v>-2.2000000000000002</v>
      </c>
      <c r="I9" s="131">
        <v>2.5</v>
      </c>
      <c r="J9" s="131">
        <v>0.6</v>
      </c>
      <c r="L9" s="131" t="s">
        <v>63</v>
      </c>
      <c r="M9" s="131">
        <v>0.75</v>
      </c>
      <c r="N9" s="131">
        <v>-0.50008905999999997</v>
      </c>
      <c r="P9" s="131" t="s">
        <v>569</v>
      </c>
      <c r="Q9" s="131">
        <f t="shared" si="0"/>
        <v>246.70178680000072</v>
      </c>
      <c r="R9" s="131">
        <f t="shared" si="1"/>
        <v>241.13309621043319</v>
      </c>
      <c r="S9" s="148">
        <f t="shared" si="2"/>
        <v>225.6952566251739</v>
      </c>
      <c r="T9" s="148">
        <f t="shared" si="3"/>
        <v>145.92371825032569</v>
      </c>
      <c r="U9" s="131">
        <f t="shared" si="4"/>
        <v>195.174286845035</v>
      </c>
      <c r="V9" s="131">
        <f t="shared" si="5"/>
        <v>230.25224848522299</v>
      </c>
      <c r="W9" s="131">
        <f t="shared" si="6"/>
        <v>193.94837338032855</v>
      </c>
      <c r="X9" s="131">
        <f t="shared" si="7"/>
        <v>153.36041608030902</v>
      </c>
      <c r="Y9" s="131">
        <f t="shared" si="8"/>
        <v>112.1423121446358</v>
      </c>
      <c r="Z9" s="131">
        <f t="shared" si="9"/>
        <v>244.99488328925662</v>
      </c>
    </row>
    <row r="10" spans="1:26" ht="14.25" customHeight="1">
      <c r="A10" s="139" t="s">
        <v>578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31" t="s">
        <v>265</v>
      </c>
      <c r="M10" s="131">
        <v>0.75</v>
      </c>
      <c r="N10" s="131">
        <v>-0.50016731999999997</v>
      </c>
      <c r="P10" s="131" t="s">
        <v>63</v>
      </c>
      <c r="Q10" s="131">
        <f t="shared" si="0"/>
        <v>236.86015255999928</v>
      </c>
      <c r="R10" s="131">
        <f t="shared" si="1"/>
        <v>229.47264684481362</v>
      </c>
      <c r="S10" s="148">
        <f t="shared" si="2"/>
        <v>215.85992358472413</v>
      </c>
      <c r="T10" s="148">
        <f t="shared" si="3"/>
        <v>133.49772559522353</v>
      </c>
      <c r="U10" s="131">
        <f t="shared" si="4"/>
        <v>182.26564852510307</v>
      </c>
      <c r="V10" s="131">
        <f t="shared" si="5"/>
        <v>217.30611802462914</v>
      </c>
      <c r="W10" s="131">
        <f t="shared" si="6"/>
        <v>180.86881500922797</v>
      </c>
      <c r="X10" s="131">
        <f t="shared" si="7"/>
        <v>141.26142944951536</v>
      </c>
      <c r="Y10" s="131">
        <f t="shared" si="8"/>
        <v>99.649973105414389</v>
      </c>
      <c r="Z10" s="131">
        <f t="shared" si="9"/>
        <v>232.85593655023121</v>
      </c>
    </row>
    <row r="11" spans="1:26" ht="14.25" customHeight="1">
      <c r="B11" s="131" t="s">
        <v>557</v>
      </c>
      <c r="C11" s="131" t="s">
        <v>558</v>
      </c>
      <c r="D11" s="131" t="s">
        <v>559</v>
      </c>
      <c r="E11" s="131" t="s">
        <v>560</v>
      </c>
      <c r="F11" s="131" t="s">
        <v>561</v>
      </c>
      <c r="G11" s="131" t="s">
        <v>562</v>
      </c>
      <c r="H11" s="131" t="s">
        <v>563</v>
      </c>
      <c r="I11" s="131" t="s">
        <v>564</v>
      </c>
      <c r="J11" s="131" t="s">
        <v>565</v>
      </c>
      <c r="K11" s="131" t="s">
        <v>566</v>
      </c>
      <c r="L11" s="131" t="s">
        <v>570</v>
      </c>
      <c r="M11" s="131">
        <v>0.75</v>
      </c>
      <c r="N11" s="131">
        <v>-0.50150773999999998</v>
      </c>
      <c r="P11" s="131" t="s">
        <v>265</v>
      </c>
      <c r="Q11" s="131">
        <f t="shared" si="0"/>
        <v>239.32470940979374</v>
      </c>
      <c r="R11" s="131">
        <f t="shared" si="1"/>
        <v>232.75638595014627</v>
      </c>
      <c r="S11" s="148">
        <f t="shared" si="2"/>
        <v>217.82182846019259</v>
      </c>
      <c r="T11" s="148">
        <f t="shared" si="3"/>
        <v>137.2346522551652</v>
      </c>
      <c r="U11" s="131">
        <f t="shared" si="4"/>
        <v>186.30474397995238</v>
      </c>
      <c r="V11" s="131">
        <f t="shared" si="5"/>
        <v>221.32715003995651</v>
      </c>
      <c r="W11" s="131">
        <f t="shared" si="6"/>
        <v>185.54341274008809</v>
      </c>
      <c r="X11" s="131">
        <f t="shared" si="7"/>
        <v>145.23562254567625</v>
      </c>
      <c r="Y11" s="131">
        <f t="shared" si="8"/>
        <v>103.21453568968791</v>
      </c>
      <c r="Z11" s="131">
        <f t="shared" si="9"/>
        <v>236.23674039046608</v>
      </c>
    </row>
    <row r="12" spans="1:26" ht="14.25" customHeight="1">
      <c r="A12" s="131" t="s">
        <v>36</v>
      </c>
      <c r="B12" s="131">
        <v>-760.45333989000005</v>
      </c>
      <c r="C12" s="131">
        <v>-849.16339588999995</v>
      </c>
      <c r="D12" s="131">
        <v>-943.69065892000003</v>
      </c>
      <c r="E12" s="143">
        <v>-1044.17345656</v>
      </c>
      <c r="F12" s="131">
        <v>-1150.7104925000001</v>
      </c>
      <c r="G12" s="131">
        <v>-1263.35856018</v>
      </c>
      <c r="H12" s="131">
        <v>-1382.3861091399999</v>
      </c>
      <c r="I12" s="131">
        <v>-1507.90713175</v>
      </c>
      <c r="J12" s="131">
        <v>-1640.04968132</v>
      </c>
      <c r="K12" s="131">
        <v>-1778.96854334</v>
      </c>
      <c r="L12" s="131" t="s">
        <v>571</v>
      </c>
      <c r="M12" s="131">
        <v>0.75</v>
      </c>
      <c r="N12" s="131">
        <v>-0.49465429999999999</v>
      </c>
      <c r="P12" s="131" t="s">
        <v>570</v>
      </c>
      <c r="Q12" s="131">
        <f t="shared" si="0"/>
        <v>246.44028699997989</v>
      </c>
      <c r="R12" s="131">
        <f t="shared" si="1"/>
        <v>239.42213662504966</v>
      </c>
      <c r="S12" s="148">
        <f t="shared" si="2"/>
        <v>225.22615854010201</v>
      </c>
      <c r="T12" s="148">
        <f t="shared" si="3"/>
        <v>143.28532704475037</v>
      </c>
      <c r="U12" s="131">
        <f t="shared" si="4"/>
        <v>192.40257275047441</v>
      </c>
      <c r="V12" s="131">
        <f t="shared" si="5"/>
        <v>227.29753704054707</v>
      </c>
      <c r="W12" s="131">
        <f t="shared" si="6"/>
        <v>191.16400437543822</v>
      </c>
      <c r="X12" s="131">
        <f t="shared" si="7"/>
        <v>150.96790295044886</v>
      </c>
      <c r="Y12" s="131">
        <f t="shared" si="8"/>
        <v>109.36820884398985</v>
      </c>
      <c r="Z12" s="131">
        <f t="shared" si="9"/>
        <v>242.64831641006612</v>
      </c>
    </row>
    <row r="13" spans="1:26" ht="14.25" customHeight="1">
      <c r="A13" s="131" t="s">
        <v>567</v>
      </c>
      <c r="B13" s="131">
        <v>-760.45340578000003</v>
      </c>
      <c r="C13" s="131">
        <v>-849.16349106999996</v>
      </c>
      <c r="D13" s="131">
        <v>-943.69079212999998</v>
      </c>
      <c r="E13" s="143">
        <v>-1044.1736267900001</v>
      </c>
      <c r="F13" s="131">
        <v>-1150.7105663100001</v>
      </c>
      <c r="G13" s="131">
        <v>-1263.3589861099999</v>
      </c>
      <c r="H13" s="131">
        <v>-1382.38726053</v>
      </c>
      <c r="I13" s="131">
        <v>-1507.9100732300001</v>
      </c>
      <c r="J13" s="131">
        <v>-1640.05507003</v>
      </c>
      <c r="K13" s="131">
        <v>-1778.97120541</v>
      </c>
      <c r="P13" s="131" t="s">
        <v>571</v>
      </c>
      <c r="Q13" s="131">
        <f t="shared" si="0"/>
        <v>244.54480727523742</v>
      </c>
      <c r="R13" s="131">
        <f t="shared" si="1"/>
        <v>238.87298704474981</v>
      </c>
      <c r="S13" s="148">
        <f t="shared" si="2"/>
        <v>222.92267611470288</v>
      </c>
      <c r="T13" s="148">
        <f t="shared" si="3"/>
        <v>143.05753866486884</v>
      </c>
      <c r="U13" s="131">
        <f t="shared" si="4"/>
        <v>192.41562148545597</v>
      </c>
      <c r="V13" s="131">
        <f t="shared" si="5"/>
        <v>227.42975722032094</v>
      </c>
      <c r="W13" s="131">
        <f t="shared" si="6"/>
        <v>190.85498302451057</v>
      </c>
      <c r="X13" s="131">
        <f t="shared" si="7"/>
        <v>150.37971218486311</v>
      </c>
      <c r="Y13" s="131">
        <f t="shared" si="8"/>
        <v>109.12899953942615</v>
      </c>
      <c r="Z13" s="131">
        <f t="shared" si="9"/>
        <v>241.94680906615548</v>
      </c>
    </row>
    <row r="14" spans="1:26" ht="14.25" customHeight="1">
      <c r="A14" s="131" t="s">
        <v>38</v>
      </c>
      <c r="B14" s="131">
        <v>-760.45340657999998</v>
      </c>
      <c r="C14" s="131">
        <v>-849.16347017999999</v>
      </c>
      <c r="D14" s="131">
        <v>-943.69073380999998</v>
      </c>
      <c r="E14" s="143">
        <v>-1044.1735242100001</v>
      </c>
      <c r="F14" s="131">
        <v>-1150.7105653199999</v>
      </c>
      <c r="G14" s="131">
        <v>-1263.35886822</v>
      </c>
      <c r="H14" s="131">
        <v>-1382.38699086</v>
      </c>
      <c r="I14" s="131">
        <v>-1507.9094651400001</v>
      </c>
      <c r="J14" s="131">
        <v>-1640.0540045499999</v>
      </c>
      <c r="K14" s="131">
        <v>-1778.9704533300001</v>
      </c>
    </row>
    <row r="15" spans="1:26" ht="14.25" customHeight="1">
      <c r="A15" s="131" t="s">
        <v>568</v>
      </c>
      <c r="B15" s="131">
        <v>-760.4533725</v>
      </c>
      <c r="C15" s="131">
        <v>-849.16343204999998</v>
      </c>
      <c r="D15" s="131">
        <v>-943.69066249000002</v>
      </c>
      <c r="E15" s="143">
        <v>-1044.1734003700001</v>
      </c>
      <c r="F15" s="131">
        <v>-1150.7105551300001</v>
      </c>
      <c r="G15" s="131">
        <v>-1263.3587792599999</v>
      </c>
      <c r="H15" s="131">
        <v>-1382.38672544</v>
      </c>
      <c r="I15" s="131">
        <v>-1507.90867766</v>
      </c>
      <c r="J15" s="131">
        <v>-1640.0526313099999</v>
      </c>
      <c r="K15" s="131">
        <v>-1778.96955888</v>
      </c>
      <c r="P15" s="128" t="s">
        <v>295</v>
      </c>
      <c r="Q15" s="129"/>
      <c r="R15" s="129"/>
      <c r="S15" s="129"/>
      <c r="T15" s="129"/>
      <c r="U15" s="129"/>
      <c r="V15" s="129"/>
      <c r="W15" s="129"/>
      <c r="X15" s="129"/>
      <c r="Y15" s="129"/>
      <c r="Z15" s="130"/>
    </row>
    <row r="16" spans="1:26" ht="14.25" customHeight="1">
      <c r="A16" s="131" t="s">
        <v>569</v>
      </c>
      <c r="B16" s="131">
        <v>-760.45339310999998</v>
      </c>
      <c r="C16" s="131">
        <v>-849.16345733000003</v>
      </c>
      <c r="D16" s="131">
        <v>-943.69071888999997</v>
      </c>
      <c r="E16" s="143">
        <v>-1044.1735051200001</v>
      </c>
      <c r="F16" s="131">
        <v>-1150.7105835699999</v>
      </c>
      <c r="G16" s="131">
        <v>-1263.3588794299999</v>
      </c>
      <c r="H16" s="131">
        <v>-1382.3869805700001</v>
      </c>
      <c r="I16" s="131">
        <v>-1507.9094375</v>
      </c>
      <c r="J16" s="131">
        <v>-1640.05403611</v>
      </c>
      <c r="K16" s="131">
        <v>-1778.9704562300001</v>
      </c>
      <c r="P16" s="132"/>
      <c r="Q16" s="132" t="s">
        <v>557</v>
      </c>
      <c r="R16" s="132" t="s">
        <v>558</v>
      </c>
      <c r="S16" s="132" t="s">
        <v>559</v>
      </c>
      <c r="T16" s="133" t="s">
        <v>560</v>
      </c>
      <c r="U16" s="132" t="s">
        <v>561</v>
      </c>
      <c r="V16" s="132" t="s">
        <v>562</v>
      </c>
      <c r="W16" s="132" t="s">
        <v>563</v>
      </c>
      <c r="X16" s="132" t="s">
        <v>564</v>
      </c>
      <c r="Y16" s="132" t="s">
        <v>565</v>
      </c>
      <c r="Z16" s="132" t="s">
        <v>566</v>
      </c>
    </row>
    <row r="17" spans="1:26" ht="14.25" customHeight="1">
      <c r="A17" s="131" t="s">
        <v>63</v>
      </c>
      <c r="B17" s="131">
        <v>-760.45339535999994</v>
      </c>
      <c r="C17" s="131">
        <v>-849.16345605000004</v>
      </c>
      <c r="D17" s="131">
        <v>-943.69072136</v>
      </c>
      <c r="E17" s="143">
        <v>-1044.1735140400001</v>
      </c>
      <c r="F17" s="131">
        <v>-1150.7104319299999</v>
      </c>
      <c r="G17" s="144">
        <v>-1263.3587265199999</v>
      </c>
      <c r="H17" s="131">
        <v>-1382.3867260699999</v>
      </c>
      <c r="I17" s="131">
        <v>-1507.90943025</v>
      </c>
      <c r="J17" s="131">
        <v>-1640.0538391600001</v>
      </c>
      <c r="K17" s="131">
        <v>-1778.970499</v>
      </c>
      <c r="P17" s="132" t="s">
        <v>36</v>
      </c>
      <c r="Q17" s="132">
        <v>7.1000000000000004E-3</v>
      </c>
      <c r="R17" s="132">
        <v>1.78E-2</v>
      </c>
      <c r="S17" s="132">
        <v>3.7100000000000001E-2</v>
      </c>
      <c r="T17" s="133">
        <v>9.8100000000000007E-2</v>
      </c>
      <c r="U17" s="132">
        <v>5.6399999999999999E-2</v>
      </c>
      <c r="V17" s="132">
        <v>7.7600000000000002E-2</v>
      </c>
      <c r="W17" s="132">
        <v>0.11169999999999999</v>
      </c>
      <c r="X17" s="132">
        <v>0.18479999999999999</v>
      </c>
      <c r="Y17" s="132">
        <v>0.15129999999999999</v>
      </c>
      <c r="Z17" s="132">
        <v>1.6299999999999999E-2</v>
      </c>
    </row>
    <row r="18" spans="1:26" ht="14.25" customHeight="1">
      <c r="A18" s="131" t="s">
        <v>265</v>
      </c>
      <c r="B18" s="131">
        <v>-760.45337763999999</v>
      </c>
      <c r="C18" s="131">
        <v>-849.1634401</v>
      </c>
      <c r="D18" s="131">
        <v>-943.69067955000003</v>
      </c>
      <c r="E18" s="143">
        <v>-1044.17343622</v>
      </c>
      <c r="F18" s="131">
        <v>-1150.71048473</v>
      </c>
      <c r="G18" s="131">
        <v>-1263.3587148500001</v>
      </c>
      <c r="H18" s="131">
        <v>-1382.3866728</v>
      </c>
      <c r="I18" s="131">
        <v>-1507.90890132</v>
      </c>
      <c r="J18" s="131">
        <v>-1640.0528901099999</v>
      </c>
      <c r="K18" s="131">
        <v>-1778.9698163800001</v>
      </c>
      <c r="M18" s="139" t="s">
        <v>576</v>
      </c>
      <c r="N18" s="140"/>
      <c r="O18" s="131" t="s">
        <v>577</v>
      </c>
      <c r="P18" s="132" t="s">
        <v>567</v>
      </c>
      <c r="Q18" s="132">
        <v>3.4500000000000003E-2</v>
      </c>
      <c r="R18" s="132">
        <v>2.8400000000000002E-2</v>
      </c>
      <c r="S18" s="131">
        <v>2.4899999999999999E-2</v>
      </c>
      <c r="T18" s="133">
        <v>4.2599999999999999E-2</v>
      </c>
      <c r="U18" s="132">
        <v>5.0500000000000003E-2</v>
      </c>
      <c r="V18" s="132">
        <v>4.3099999999999999E-2</v>
      </c>
      <c r="W18" s="132">
        <v>4.1200000000000001E-2</v>
      </c>
      <c r="X18" s="132">
        <v>1.95E-2</v>
      </c>
      <c r="Y18" s="132">
        <v>1.1599999999999999E-2</v>
      </c>
      <c r="Z18" s="132">
        <v>1.35E-2</v>
      </c>
    </row>
    <row r="19" spans="1:26" ht="14.25" customHeight="1">
      <c r="A19" s="131" t="s">
        <v>570</v>
      </c>
      <c r="B19" s="131">
        <v>-760.45339476000004</v>
      </c>
      <c r="C19" s="131">
        <v>-849.16346251000004</v>
      </c>
      <c r="D19" s="131">
        <v>-943.69070910999994</v>
      </c>
      <c r="E19" s="143">
        <v>-1044.1735021</v>
      </c>
      <c r="F19" s="131">
        <v>-1150.7104871900001</v>
      </c>
      <c r="G19" s="131">
        <v>-1263.35868426</v>
      </c>
      <c r="H19" s="131">
        <v>-1382.38685678</v>
      </c>
      <c r="I19" s="131">
        <v>-1507.90927158</v>
      </c>
      <c r="J19" s="131">
        <v>-1640.05357168</v>
      </c>
      <c r="K19" s="131">
        <v>-1778.97020849</v>
      </c>
      <c r="M19" s="131" t="s">
        <v>557</v>
      </c>
      <c r="N19" s="131">
        <v>235</v>
      </c>
      <c r="O19" s="131">
        <v>8</v>
      </c>
      <c r="P19" s="132" t="s">
        <v>38</v>
      </c>
      <c r="Q19" s="131">
        <v>1.17E-2</v>
      </c>
      <c r="R19" s="132">
        <v>1.3100000000000001E-2</v>
      </c>
      <c r="S19" s="132">
        <v>1.21E-2</v>
      </c>
      <c r="T19" s="133">
        <v>3.27E-2</v>
      </c>
      <c r="U19" s="132">
        <v>2.4400000000000002E-2</v>
      </c>
      <c r="V19" s="132">
        <v>1.9099999999999999E-2</v>
      </c>
      <c r="W19" s="132">
        <v>1.89E-2</v>
      </c>
      <c r="X19" s="132">
        <v>6.6E-3</v>
      </c>
      <c r="Y19" s="132">
        <v>5.5999999999999999E-3</v>
      </c>
      <c r="Z19" s="132">
        <v>4.4000000000000003E-3</v>
      </c>
    </row>
    <row r="20" spans="1:26" ht="14.25" customHeight="1">
      <c r="A20" s="131" t="s">
        <v>571</v>
      </c>
      <c r="B20" s="131">
        <v>-760.45339016000003</v>
      </c>
      <c r="C20" s="131">
        <v>-849.16345793999994</v>
      </c>
      <c r="D20" s="131">
        <v>-943.69071629999996</v>
      </c>
      <c r="E20" s="143">
        <v>-1044.1734939299999</v>
      </c>
      <c r="F20" s="131">
        <v>-1150.7106010800001</v>
      </c>
      <c r="G20" s="131">
        <v>-1263.3588570100001</v>
      </c>
      <c r="H20" s="131">
        <v>-1382.3869217399999</v>
      </c>
      <c r="I20" s="131">
        <v>-1507.9092908699999</v>
      </c>
      <c r="J20" s="131">
        <v>-1640.05383274</v>
      </c>
      <c r="K20" s="131">
        <v>-1778.97027404</v>
      </c>
      <c r="M20" s="131" t="s">
        <v>558</v>
      </c>
      <c r="N20" s="131">
        <v>227</v>
      </c>
      <c r="O20" s="131">
        <v>11</v>
      </c>
      <c r="P20" s="132" t="s">
        <v>568</v>
      </c>
      <c r="Q20" s="132">
        <v>2.3E-3</v>
      </c>
      <c r="R20" s="132">
        <v>3.0999999999999999E-3</v>
      </c>
      <c r="S20" s="132">
        <v>7.9000000000000008E-3</v>
      </c>
      <c r="T20" s="133">
        <v>3.8100000000000002E-2</v>
      </c>
      <c r="U20" s="132">
        <v>2.0299999999999999E-2</v>
      </c>
      <c r="V20" s="132">
        <v>1.47E-2</v>
      </c>
      <c r="W20" s="132">
        <v>2.0299999999999999E-2</v>
      </c>
      <c r="X20" s="132">
        <v>2.5899999999999999E-2</v>
      </c>
      <c r="Y20" s="132">
        <v>9.9000000000000008E-3</v>
      </c>
      <c r="Z20" s="132">
        <v>4.0000000000000002E-4</v>
      </c>
    </row>
    <row r="21" spans="1:26" ht="14.25" customHeight="1">
      <c r="M21" s="131" t="s">
        <v>559</v>
      </c>
      <c r="N21" s="131">
        <v>202</v>
      </c>
      <c r="O21" s="131">
        <v>6</v>
      </c>
      <c r="P21" s="132" t="s">
        <v>569</v>
      </c>
      <c r="Q21" s="132">
        <v>6.3E-3</v>
      </c>
      <c r="R21" s="132">
        <v>8.6E-3</v>
      </c>
      <c r="S21" s="132">
        <v>8.8999999999999999E-3</v>
      </c>
      <c r="T21" s="133">
        <v>3.1699999999999999E-2</v>
      </c>
      <c r="U21" s="132">
        <v>0.02</v>
      </c>
      <c r="V21" s="132">
        <v>1.4999999999999999E-2</v>
      </c>
      <c r="W21" s="132">
        <v>1.6899999999999998E-2</v>
      </c>
      <c r="X21" s="132">
        <v>5.8999999999999999E-3</v>
      </c>
      <c r="Y21" s="132">
        <v>4.7999999999999996E-3</v>
      </c>
      <c r="Z21" s="132">
        <v>2.3999999999999998E-3</v>
      </c>
    </row>
    <row r="22" spans="1:26" ht="14.25" customHeight="1">
      <c r="A22" s="149" t="s">
        <v>578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M22" s="131" t="s">
        <v>560</v>
      </c>
      <c r="N22" s="131">
        <v>136</v>
      </c>
      <c r="O22" s="131">
        <v>9</v>
      </c>
      <c r="P22" s="132" t="s">
        <v>63</v>
      </c>
      <c r="Q22" s="132">
        <v>2.01E-2</v>
      </c>
      <c r="R22" s="132">
        <v>2.3900000000000001E-2</v>
      </c>
      <c r="S22" s="132">
        <v>1.5800000000000002E-2</v>
      </c>
      <c r="T22" s="133">
        <v>3.4500000000000003E-2</v>
      </c>
      <c r="U22" s="132">
        <v>4.3299999999999998E-2</v>
      </c>
      <c r="V22" s="132">
        <v>3.6700000000000003E-2</v>
      </c>
      <c r="W22" s="132">
        <v>4.4299999999999999E-2</v>
      </c>
      <c r="X22" s="132">
        <v>5.0000000000000001E-3</v>
      </c>
      <c r="Y22" s="132">
        <v>1.0500000000000001E-2</v>
      </c>
      <c r="Z22" s="132">
        <v>5.7999999999999996E-3</v>
      </c>
    </row>
    <row r="23" spans="1:26" ht="14.25" customHeight="1">
      <c r="B23" s="131" t="s">
        <v>594</v>
      </c>
      <c r="C23" s="131" t="s">
        <v>595</v>
      </c>
      <c r="D23" s="131" t="s">
        <v>596</v>
      </c>
      <c r="E23" s="131" t="s">
        <v>597</v>
      </c>
      <c r="F23" s="131" t="s">
        <v>598</v>
      </c>
      <c r="G23" s="131" t="s">
        <v>599</v>
      </c>
      <c r="H23" s="131" t="s">
        <v>600</v>
      </c>
      <c r="I23" s="131" t="s">
        <v>601</v>
      </c>
      <c r="J23" s="131" t="s">
        <v>602</v>
      </c>
      <c r="K23" s="131" t="s">
        <v>603</v>
      </c>
      <c r="M23" s="131" t="s">
        <v>561</v>
      </c>
      <c r="N23" s="131">
        <v>203</v>
      </c>
      <c r="O23" s="131">
        <v>6</v>
      </c>
      <c r="P23" s="132" t="s">
        <v>265</v>
      </c>
      <c r="Q23" s="132">
        <v>9.4000000000000004E-3</v>
      </c>
      <c r="R23" s="132">
        <v>9.5999999999999992E-3</v>
      </c>
      <c r="S23" s="132">
        <v>8.0999999999999996E-3</v>
      </c>
      <c r="T23" s="133">
        <v>3.0099999999999998E-2</v>
      </c>
      <c r="U23" s="132">
        <v>1.95E-2</v>
      </c>
      <c r="V23" s="132">
        <v>1.2999999999999999E-2</v>
      </c>
      <c r="W23" s="132">
        <v>1.83E-2</v>
      </c>
      <c r="X23" s="132">
        <v>1.09E-2</v>
      </c>
      <c r="Y23" s="132">
        <v>1.04E-2</v>
      </c>
      <c r="Z23" s="132">
        <v>1E-3</v>
      </c>
    </row>
    <row r="24" spans="1:26" ht="14.25" customHeight="1">
      <c r="A24" s="131" t="s">
        <v>36</v>
      </c>
      <c r="B24" s="131">
        <v>-759.85932356000001</v>
      </c>
      <c r="C24" s="131">
        <v>-848.56815071999995</v>
      </c>
      <c r="D24" s="131">
        <v>-943.09065668000005</v>
      </c>
      <c r="E24" s="143">
        <v>-1043.5586409</v>
      </c>
      <c r="F24" s="131">
        <v>-1150.13369332</v>
      </c>
      <c r="G24" s="131">
        <v>-1262.76803258</v>
      </c>
      <c r="H24" s="131">
        <v>-1381.80876715</v>
      </c>
      <c r="I24" s="131">
        <v>-1507.3421099899999</v>
      </c>
      <c r="J24" s="131">
        <v>-1639.5168041100001</v>
      </c>
      <c r="K24" s="131">
        <v>-1778.3764238700001</v>
      </c>
      <c r="M24" s="131" t="s">
        <v>562</v>
      </c>
      <c r="N24" s="131">
        <v>211</v>
      </c>
      <c r="O24" s="131">
        <v>10</v>
      </c>
      <c r="P24" s="132" t="s">
        <v>570</v>
      </c>
      <c r="Q24" s="132">
        <v>1.6899999999999998E-2</v>
      </c>
      <c r="R24" s="132">
        <v>1.4999999999999999E-2</v>
      </c>
      <c r="S24" s="132">
        <v>1.3299999999999999E-2</v>
      </c>
      <c r="T24" s="133">
        <v>3.4299999999999997E-2</v>
      </c>
      <c r="U24" s="132">
        <v>2.9100000000000001E-2</v>
      </c>
      <c r="V24" s="132">
        <v>3.1E-2</v>
      </c>
      <c r="W24" s="132">
        <v>1.9199999999999998E-2</v>
      </c>
      <c r="X24" s="132">
        <v>5.1999999999999998E-3</v>
      </c>
      <c r="Y24" s="132">
        <v>1.0500000000000001E-2</v>
      </c>
      <c r="Z24" s="132">
        <v>4.7999999999999996E-3</v>
      </c>
    </row>
    <row r="25" spans="1:26" ht="14.25" customHeight="1">
      <c r="A25" s="131" t="s">
        <v>567</v>
      </c>
      <c r="B25" s="131">
        <v>-759.85801101000004</v>
      </c>
      <c r="C25" s="131">
        <v>-848.56540805999998</v>
      </c>
      <c r="D25" s="131">
        <v>-943.10674687000005</v>
      </c>
      <c r="E25" s="143">
        <v>-1043.62091323</v>
      </c>
      <c r="F25" s="131">
        <v>-1150.13391454</v>
      </c>
      <c r="G25" s="131">
        <v>-1262.76846095</v>
      </c>
      <c r="H25" s="131">
        <v>-1381.8105319900001</v>
      </c>
      <c r="I25" s="131">
        <v>-1507.3447397299999</v>
      </c>
      <c r="J25" s="131">
        <v>-1639.5205995199999</v>
      </c>
      <c r="K25" s="131">
        <v>-1778.3787752400001</v>
      </c>
      <c r="M25" s="131" t="s">
        <v>563</v>
      </c>
      <c r="N25" s="131">
        <v>195</v>
      </c>
      <c r="O25" s="131">
        <v>6</v>
      </c>
      <c r="P25" s="135" t="s">
        <v>571</v>
      </c>
      <c r="Q25" s="135">
        <v>5.1000000000000004E-3</v>
      </c>
      <c r="R25" s="135">
        <v>7.3000000000000001E-3</v>
      </c>
      <c r="S25" s="135">
        <v>8.3000000000000001E-3</v>
      </c>
      <c r="T25" s="136">
        <v>3.2199999999999999E-2</v>
      </c>
      <c r="U25" s="135">
        <v>1.7999999999999999E-2</v>
      </c>
      <c r="V25" s="135">
        <v>1.2800000000000001E-2</v>
      </c>
      <c r="W25" s="135">
        <v>1.4999999999999999E-2</v>
      </c>
      <c r="X25" s="135">
        <v>4.8999999999999998E-3</v>
      </c>
      <c r="Y25" s="135">
        <v>5.4999999999999997E-3</v>
      </c>
      <c r="Z25" s="135">
        <v>1.1999999999999999E-3</v>
      </c>
    </row>
    <row r="26" spans="1:26" ht="14.25" customHeight="1">
      <c r="A26" s="131" t="s">
        <v>38</v>
      </c>
      <c r="B26" s="131">
        <v>-759.85803692000002</v>
      </c>
      <c r="C26" s="131">
        <v>-848.56543371999999</v>
      </c>
      <c r="D26" s="131">
        <v>-943.10713158999999</v>
      </c>
      <c r="E26" s="143">
        <v>-1043.62082285</v>
      </c>
      <c r="F26" s="131">
        <v>-1150.1338494300001</v>
      </c>
      <c r="G26" s="131">
        <v>-1262.76833534</v>
      </c>
      <c r="H26" s="131">
        <v>-1381.8100312900001</v>
      </c>
      <c r="I26" s="131">
        <v>-1507.3440150599999</v>
      </c>
      <c r="J26" s="131">
        <v>-1639.5195801899999</v>
      </c>
      <c r="K26" s="131">
        <v>-1778.3781539300001</v>
      </c>
      <c r="M26" s="131" t="s">
        <v>564</v>
      </c>
      <c r="N26" s="131">
        <v>158</v>
      </c>
      <c r="O26" s="131">
        <v>8</v>
      </c>
    </row>
    <row r="27" spans="1:26" ht="14.25" customHeight="1">
      <c r="A27" s="131" t="s">
        <v>568</v>
      </c>
      <c r="B27" s="131">
        <v>-759.85927333999996</v>
      </c>
      <c r="C27" s="131">
        <v>-848.56592265999996</v>
      </c>
      <c r="D27" s="131">
        <v>-943.10717273</v>
      </c>
      <c r="E27" s="143">
        <v>-1043.62071655</v>
      </c>
      <c r="F27" s="131">
        <v>-1150.13376954</v>
      </c>
      <c r="G27" s="131">
        <v>-1262.7681849600001</v>
      </c>
      <c r="H27" s="131">
        <v>-1381.8176329800001</v>
      </c>
      <c r="I27" s="131">
        <v>-1507.3431679800001</v>
      </c>
      <c r="J27" s="131">
        <v>-1639.5183739900001</v>
      </c>
      <c r="K27" s="131">
        <v>-1778.37739751</v>
      </c>
      <c r="M27" s="131" t="s">
        <v>565</v>
      </c>
      <c r="N27" s="131">
        <v>86</v>
      </c>
      <c r="O27" s="131">
        <v>13</v>
      </c>
    </row>
    <row r="28" spans="1:26" ht="14.25" customHeight="1">
      <c r="A28" s="131" t="s">
        <v>569</v>
      </c>
      <c r="B28" s="131">
        <v>-759.85841502999995</v>
      </c>
      <c r="C28" s="131">
        <v>-848.56569843</v>
      </c>
      <c r="D28" s="131">
        <v>-943.10722066000005</v>
      </c>
      <c r="E28" s="143">
        <v>-1043.62082214</v>
      </c>
      <c r="F28" s="131">
        <v>-1150.1338489</v>
      </c>
      <c r="G28" s="131">
        <v>-1262.7683334799999</v>
      </c>
      <c r="H28" s="131">
        <v>-1381.8099183300001</v>
      </c>
      <c r="I28" s="131">
        <v>-1507.34402686</v>
      </c>
      <c r="J28" s="131">
        <v>-1639.51961084</v>
      </c>
      <c r="K28" s="131">
        <v>-1778.3781731700001</v>
      </c>
      <c r="M28" s="131" t="s">
        <v>566</v>
      </c>
      <c r="N28" s="131">
        <v>216</v>
      </c>
      <c r="O28" s="131">
        <v>15</v>
      </c>
      <c r="P28" s="128" t="s">
        <v>604</v>
      </c>
      <c r="Q28" s="129"/>
      <c r="R28" s="129"/>
      <c r="S28" s="129"/>
      <c r="T28" s="129"/>
      <c r="U28" s="129"/>
      <c r="V28" s="129"/>
      <c r="W28" s="129"/>
      <c r="X28" s="129"/>
      <c r="Y28" s="129"/>
      <c r="Z28" s="130"/>
    </row>
    <row r="29" spans="1:26" ht="14.25" customHeight="1">
      <c r="A29" s="131" t="s">
        <v>63</v>
      </c>
      <c r="B29" s="131">
        <v>-759.85740299999998</v>
      </c>
      <c r="C29" s="131">
        <v>-848.56537562000005</v>
      </c>
      <c r="D29" s="131">
        <v>-943.10620644999995</v>
      </c>
      <c r="E29" s="143">
        <v>-1043.62080111</v>
      </c>
      <c r="F29" s="131">
        <v>-1150.1338511399999</v>
      </c>
      <c r="G29" s="131">
        <v>-1262.7683487300001</v>
      </c>
      <c r="H29" s="131">
        <v>-1381.8098828100001</v>
      </c>
      <c r="I29" s="131">
        <v>-1507.34386511</v>
      </c>
      <c r="J29" s="131">
        <v>-1639.51940921</v>
      </c>
      <c r="K29" s="131">
        <v>-1778.37807666</v>
      </c>
      <c r="P29" s="132"/>
      <c r="Q29" s="132" t="s">
        <v>557</v>
      </c>
      <c r="R29" s="132" t="s">
        <v>558</v>
      </c>
      <c r="S29" s="132" t="s">
        <v>559</v>
      </c>
      <c r="T29" s="133" t="s">
        <v>560</v>
      </c>
      <c r="U29" s="132" t="s">
        <v>561</v>
      </c>
      <c r="V29" s="132" t="s">
        <v>562</v>
      </c>
      <c r="W29" s="132" t="s">
        <v>563</v>
      </c>
      <c r="X29" s="132" t="s">
        <v>564</v>
      </c>
      <c r="Y29" s="132" t="s">
        <v>565</v>
      </c>
      <c r="Z29" s="132" t="s">
        <v>566</v>
      </c>
    </row>
    <row r="30" spans="1:26" ht="14.25" customHeight="1">
      <c r="A30" s="131" t="s">
        <v>265</v>
      </c>
      <c r="B30" s="131">
        <v>-759.85787636999999</v>
      </c>
      <c r="C30" s="131">
        <v>-848.56553874999997</v>
      </c>
      <c r="D30" s="131">
        <v>-943.10684718000005</v>
      </c>
      <c r="E30" s="143">
        <v>-1043.6207297599999</v>
      </c>
      <c r="F30" s="131">
        <v>-1150.13379532</v>
      </c>
      <c r="G30" s="131">
        <v>-1262.76823532</v>
      </c>
      <c r="H30" s="131">
        <v>-1381.80947887</v>
      </c>
      <c r="I30" s="131">
        <v>-1507.3432522799999</v>
      </c>
      <c r="J30" s="131">
        <v>-1639.51853228</v>
      </c>
      <c r="K30" s="131">
        <v>-1778.37753615</v>
      </c>
      <c r="P30" s="132" t="s">
        <v>36</v>
      </c>
      <c r="Q30" s="132">
        <f t="shared" ref="Q30:R38" si="10">(Q5-$N$20)</f>
        <v>14.799847024904466</v>
      </c>
      <c r="R30" s="132">
        <f t="shared" si="10"/>
        <v>5.1564329450559114</v>
      </c>
      <c r="S30" s="132">
        <f t="shared" ref="S30:S38" si="11">(S5-$N$21)</f>
        <v>64.649669730441929</v>
      </c>
      <c r="T30" s="132">
        <f t="shared" ref="T30:T38" si="12">(T5-$N$22)</f>
        <v>170.67620444015301</v>
      </c>
      <c r="U30" s="132">
        <f t="shared" ref="U30:U38" si="13">(U5-$N$23)</f>
        <v>-10.033207299758601</v>
      </c>
      <c r="V30" s="132">
        <f t="shared" ref="V30:V38" si="14">(V5-$N$24)</f>
        <v>16.827205410343197</v>
      </c>
      <c r="W30" s="132">
        <f t="shared" ref="W30:W38" si="15">(W5-$N$25)</f>
        <v>-2.6940081448042577</v>
      </c>
      <c r="X30" s="132">
        <f t="shared" ref="X30:X38" si="16">(X5-$N$26)</f>
        <v>-8.0374535094295254</v>
      </c>
      <c r="Y30" s="132">
        <f t="shared" ref="Y30:Y38" si="17">(Y5-$N$27)</f>
        <v>19.701015464736699</v>
      </c>
      <c r="Z30" s="132">
        <f t="shared" ref="Z30:Z38" si="18">(Z5-$N$28)</f>
        <v>26.188512595066356</v>
      </c>
    </row>
    <row r="31" spans="1:26" ht="14.25" customHeight="1">
      <c r="A31" s="131" t="s">
        <v>570</v>
      </c>
      <c r="B31" s="131">
        <v>-759.85751670000002</v>
      </c>
      <c r="C31" s="131">
        <v>-848.56535570000005</v>
      </c>
      <c r="D31" s="131">
        <v>-943.10638997000001</v>
      </c>
      <c r="E31" s="143">
        <v>-1043.6208244500001</v>
      </c>
      <c r="F31" s="131">
        <v>-1150.13380863</v>
      </c>
      <c r="G31" s="131">
        <v>-1262.7682641199999</v>
      </c>
      <c r="H31" s="131">
        <v>-1381.80985547</v>
      </c>
      <c r="I31" s="131">
        <v>-1507.34377262</v>
      </c>
      <c r="J31" s="131">
        <v>-1639.5192034300001</v>
      </c>
      <c r="K31" s="131">
        <v>-1778.37781961</v>
      </c>
      <c r="P31" s="132" t="s">
        <v>567</v>
      </c>
      <c r="Q31" s="132">
        <f t="shared" si="10"/>
        <v>23.897729624939984</v>
      </c>
      <c r="R31" s="132">
        <f t="shared" si="10"/>
        <v>18.085970245076368</v>
      </c>
      <c r="S31" s="132">
        <f t="shared" si="11"/>
        <v>28.233407120092124</v>
      </c>
      <c r="T31" s="132">
        <f t="shared" si="12"/>
        <v>13.105929269890112</v>
      </c>
      <c r="U31" s="132">
        <f t="shared" si="13"/>
        <v>-4.9414438746058522</v>
      </c>
      <c r="V31" s="132">
        <f t="shared" si="14"/>
        <v>22.299587570246842</v>
      </c>
      <c r="W31" s="132">
        <f t="shared" si="15"/>
        <v>1.1741672602733786</v>
      </c>
      <c r="X31" s="132">
        <f t="shared" si="16"/>
        <v>-1.7401917591039648</v>
      </c>
      <c r="Y31" s="132">
        <f t="shared" si="17"/>
        <v>29.363012995346068</v>
      </c>
      <c r="Z31" s="132">
        <f t="shared" si="18"/>
        <v>32.483043824949789</v>
      </c>
    </row>
    <row r="32" spans="1:26" ht="14.25" customHeight="1">
      <c r="A32" s="131" t="s">
        <v>571</v>
      </c>
      <c r="B32" s="131">
        <v>-759.85815578999996</v>
      </c>
      <c r="C32" s="131">
        <v>-848.56548203</v>
      </c>
      <c r="D32" s="131">
        <v>-943.10719625000002</v>
      </c>
      <c r="E32" s="143">
        <v>-1043.62082478</v>
      </c>
      <c r="F32" s="131">
        <v>-1150.13383929</v>
      </c>
      <c r="G32" s="131">
        <v>-1262.76830825</v>
      </c>
      <c r="H32" s="131">
        <v>-1381.8099598700001</v>
      </c>
      <c r="I32" s="131">
        <v>-1507.34393768</v>
      </c>
      <c r="J32" s="131">
        <v>-1639.5194773400001</v>
      </c>
      <c r="K32" s="131">
        <v>-1778.3780740899999</v>
      </c>
      <c r="P32" s="132" t="s">
        <v>38</v>
      </c>
      <c r="Q32" s="132">
        <f t="shared" si="10"/>
        <v>11.939233499990678</v>
      </c>
      <c r="R32" s="132">
        <f t="shared" si="10"/>
        <v>6.0711834000032638</v>
      </c>
      <c r="S32" s="132">
        <f t="shared" si="11"/>
        <v>15.177635779476077</v>
      </c>
      <c r="T32" s="132">
        <f t="shared" si="12"/>
        <v>1.1813283497158409</v>
      </c>
      <c r="U32" s="132">
        <f t="shared" si="13"/>
        <v>-16.665666635719049</v>
      </c>
      <c r="V32" s="132">
        <f t="shared" si="14"/>
        <v>10.427286609657642</v>
      </c>
      <c r="W32" s="132">
        <f t="shared" si="15"/>
        <v>-10.111833295573462</v>
      </c>
      <c r="X32" s="132">
        <f t="shared" si="16"/>
        <v>-13.326680789729636</v>
      </c>
      <c r="Y32" s="132">
        <f t="shared" si="17"/>
        <v>17.349276350586294</v>
      </c>
      <c r="Z32" s="132">
        <f t="shared" si="18"/>
        <v>20.247137370215285</v>
      </c>
    </row>
    <row r="33" spans="16:31" ht="14.25" customHeight="1">
      <c r="P33" s="132" t="s">
        <v>568</v>
      </c>
      <c r="Q33" s="132">
        <f t="shared" si="10"/>
        <v>18.212970770142874</v>
      </c>
      <c r="R33" s="132">
        <f t="shared" si="10"/>
        <v>14.296796134913365</v>
      </c>
      <c r="S33" s="132">
        <f t="shared" si="11"/>
        <v>24.491807069966853</v>
      </c>
      <c r="T33" s="132">
        <f t="shared" si="12"/>
        <v>10.744712099867684</v>
      </c>
      <c r="U33" s="132">
        <f t="shared" si="13"/>
        <v>-6.8732342651234148</v>
      </c>
      <c r="V33" s="132">
        <f t="shared" si="14"/>
        <v>20.197979839634684</v>
      </c>
      <c r="W33" s="132">
        <f t="shared" si="15"/>
        <v>-21.157495580867845</v>
      </c>
      <c r="X33" s="132">
        <f t="shared" si="16"/>
        <v>-3.5607659705263188</v>
      </c>
      <c r="Y33" s="132">
        <f t="shared" si="17"/>
        <v>26.520147849580823</v>
      </c>
      <c r="Z33" s="132">
        <f t="shared" si="18"/>
        <v>29.494174625420499</v>
      </c>
    </row>
    <row r="34" spans="16:31" ht="14.25" customHeight="1">
      <c r="P34" s="132" t="s">
        <v>569</v>
      </c>
      <c r="Q34" s="132">
        <f t="shared" si="10"/>
        <v>19.701786800000718</v>
      </c>
      <c r="R34" s="132">
        <f t="shared" si="10"/>
        <v>14.133096210433195</v>
      </c>
      <c r="S34" s="132">
        <f t="shared" si="11"/>
        <v>23.695256625173897</v>
      </c>
      <c r="T34" s="132">
        <f t="shared" si="12"/>
        <v>9.9237182503256918</v>
      </c>
      <c r="U34" s="132">
        <f t="shared" si="13"/>
        <v>-7.8257131549650012</v>
      </c>
      <c r="V34" s="132">
        <f t="shared" si="14"/>
        <v>19.252248485222992</v>
      </c>
      <c r="W34" s="132">
        <f t="shared" si="15"/>
        <v>-1.0516266196714525</v>
      </c>
      <c r="X34" s="132">
        <f t="shared" si="16"/>
        <v>-4.6395839196909776</v>
      </c>
      <c r="Y34" s="132">
        <f t="shared" si="17"/>
        <v>26.142312144635795</v>
      </c>
      <c r="Z34" s="132">
        <f t="shared" si="18"/>
        <v>28.99488328925662</v>
      </c>
    </row>
    <row r="35" spans="16:31" ht="14.25" customHeight="1">
      <c r="P35" s="132" t="s">
        <v>63</v>
      </c>
      <c r="Q35" s="132">
        <f t="shared" si="10"/>
        <v>9.8601525599992783</v>
      </c>
      <c r="R35" s="132">
        <f t="shared" si="10"/>
        <v>2.4726468448136245</v>
      </c>
      <c r="S35" s="132">
        <f t="shared" si="11"/>
        <v>13.859923584724129</v>
      </c>
      <c r="T35" s="132">
        <f t="shared" si="12"/>
        <v>-2.5022744047764718</v>
      </c>
      <c r="U35" s="132">
        <f t="shared" si="13"/>
        <v>-20.734351474896926</v>
      </c>
      <c r="V35" s="132">
        <f t="shared" si="14"/>
        <v>6.3061180246291428</v>
      </c>
      <c r="W35" s="132">
        <f t="shared" si="15"/>
        <v>-14.131184990772027</v>
      </c>
      <c r="X35" s="132">
        <f t="shared" si="16"/>
        <v>-16.738570550484638</v>
      </c>
      <c r="Y35" s="132">
        <f t="shared" si="17"/>
        <v>13.649973105414389</v>
      </c>
      <c r="Z35" s="132">
        <f t="shared" si="18"/>
        <v>16.855936550231206</v>
      </c>
    </row>
    <row r="36" spans="16:31" ht="14.25" customHeight="1">
      <c r="P36" s="132" t="s">
        <v>265</v>
      </c>
      <c r="Q36" s="132">
        <f t="shared" si="10"/>
        <v>12.324709409793741</v>
      </c>
      <c r="R36" s="132">
        <f t="shared" si="10"/>
        <v>5.7563859501462673</v>
      </c>
      <c r="S36" s="132">
        <f t="shared" si="11"/>
        <v>15.821828460192592</v>
      </c>
      <c r="T36" s="132">
        <f t="shared" si="12"/>
        <v>1.2346522551652015</v>
      </c>
      <c r="U36" s="132">
        <f t="shared" si="13"/>
        <v>-16.695256020047623</v>
      </c>
      <c r="V36" s="132">
        <f t="shared" si="14"/>
        <v>10.327150039956507</v>
      </c>
      <c r="W36" s="132">
        <f t="shared" si="15"/>
        <v>-9.4565872599119132</v>
      </c>
      <c r="X36" s="132">
        <f t="shared" si="16"/>
        <v>-12.76437745432375</v>
      </c>
      <c r="Y36" s="132">
        <f t="shared" si="17"/>
        <v>17.214535689687906</v>
      </c>
      <c r="Z36" s="132">
        <f t="shared" si="18"/>
        <v>20.236740390466082</v>
      </c>
    </row>
    <row r="37" spans="16:31" ht="14.25" customHeight="1">
      <c r="P37" s="132" t="s">
        <v>570</v>
      </c>
      <c r="Q37" s="132">
        <f t="shared" si="10"/>
        <v>19.44028699997989</v>
      </c>
      <c r="R37" s="132">
        <f t="shared" si="10"/>
        <v>12.42213662504966</v>
      </c>
      <c r="S37" s="132">
        <f t="shared" si="11"/>
        <v>23.226158540102006</v>
      </c>
      <c r="T37" s="132">
        <f t="shared" si="12"/>
        <v>7.2853270447503746</v>
      </c>
      <c r="U37" s="132">
        <f t="shared" si="13"/>
        <v>-10.597427249525595</v>
      </c>
      <c r="V37" s="132">
        <f t="shared" si="14"/>
        <v>16.29753704054707</v>
      </c>
      <c r="W37" s="132">
        <f t="shared" si="15"/>
        <v>-3.8359956245617752</v>
      </c>
      <c r="X37" s="132">
        <f t="shared" si="16"/>
        <v>-7.0320970495511403</v>
      </c>
      <c r="Y37" s="132">
        <f t="shared" si="17"/>
        <v>23.368208843989848</v>
      </c>
      <c r="Z37" s="132">
        <f t="shared" si="18"/>
        <v>26.648316410066116</v>
      </c>
    </row>
    <row r="38" spans="16:31" ht="14.25" customHeight="1">
      <c r="P38" s="135" t="s">
        <v>571</v>
      </c>
      <c r="Q38" s="132">
        <f t="shared" si="10"/>
        <v>17.544807275237417</v>
      </c>
      <c r="R38" s="132">
        <f t="shared" si="10"/>
        <v>11.872987044749806</v>
      </c>
      <c r="S38" s="132">
        <f t="shared" si="11"/>
        <v>20.922676114702881</v>
      </c>
      <c r="T38" s="132">
        <f t="shared" si="12"/>
        <v>7.0575386648688436</v>
      </c>
      <c r="U38" s="132">
        <f t="shared" si="13"/>
        <v>-10.584378514544028</v>
      </c>
      <c r="V38" s="132">
        <f t="shared" si="14"/>
        <v>16.429757220320937</v>
      </c>
      <c r="W38" s="132">
        <f t="shared" si="15"/>
        <v>-4.1450169754894262</v>
      </c>
      <c r="X38" s="132">
        <f t="shared" si="16"/>
        <v>-7.6202878151368907</v>
      </c>
      <c r="Y38" s="132">
        <f t="shared" si="17"/>
        <v>23.128999539426147</v>
      </c>
      <c r="Z38" s="132">
        <f t="shared" si="18"/>
        <v>25.946809066155481</v>
      </c>
    </row>
    <row r="39" spans="16:31" ht="14.25" customHeight="1"/>
    <row r="40" spans="16:31" ht="14.25" customHeight="1"/>
    <row r="41" spans="16:31" ht="14.25" customHeight="1">
      <c r="U41" s="128" t="s">
        <v>593</v>
      </c>
      <c r="V41" s="129"/>
      <c r="W41" s="129"/>
      <c r="X41" s="129"/>
      <c r="Y41" s="129"/>
      <c r="Z41" s="129"/>
      <c r="AA41" s="129"/>
      <c r="AB41" s="129"/>
      <c r="AC41" s="129"/>
      <c r="AD41" s="129"/>
      <c r="AE41" s="130"/>
    </row>
    <row r="42" spans="16:31" ht="14.25" customHeight="1">
      <c r="P42" s="139" t="s">
        <v>532</v>
      </c>
      <c r="Q42" s="140"/>
      <c r="S42" s="139" t="s">
        <v>6</v>
      </c>
      <c r="T42" s="140"/>
      <c r="U42" s="132"/>
      <c r="V42" s="132" t="s">
        <v>557</v>
      </c>
      <c r="W42" s="132" t="s">
        <v>558</v>
      </c>
      <c r="X42" s="132" t="s">
        <v>559</v>
      </c>
      <c r="Y42" s="133" t="s">
        <v>560</v>
      </c>
      <c r="Z42" s="132" t="s">
        <v>561</v>
      </c>
      <c r="AA42" s="132" t="s">
        <v>562</v>
      </c>
      <c r="AB42" s="132" t="s">
        <v>563</v>
      </c>
      <c r="AC42" s="132" t="s">
        <v>564</v>
      </c>
      <c r="AD42" s="132" t="s">
        <v>565</v>
      </c>
      <c r="AE42" s="132" t="s">
        <v>566</v>
      </c>
    </row>
    <row r="43" spans="16:31" ht="14.25" customHeight="1">
      <c r="P43" s="150" t="s">
        <v>36</v>
      </c>
      <c r="Q43" s="131">
        <f t="shared" ref="Q43:Q51" si="19">SUM(Q30:Z30)/10</f>
        <v>29.723421865670918</v>
      </c>
      <c r="S43" s="150" t="s">
        <v>36</v>
      </c>
      <c r="T43" s="131">
        <f t="shared" ref="T43:T51" si="20">SUM(V43:AE43)/10</f>
        <v>33.076355656469403</v>
      </c>
      <c r="U43" s="132" t="s">
        <v>36</v>
      </c>
      <c r="V43" s="132">
        <f>ABS(Q5-N$19)</f>
        <v>6.7998470249044658</v>
      </c>
      <c r="W43" s="132">
        <f>ABS(R5-$N$20)</f>
        <v>5.1564329450559114</v>
      </c>
      <c r="X43" s="132">
        <f t="shared" ref="X43:X51" si="21">ABS(S5-$N$21)</f>
        <v>64.649669730441929</v>
      </c>
      <c r="Y43" s="133">
        <f t="shared" ref="Y43:Y51" si="22">ABS(T5-$N$22)</f>
        <v>170.67620444015301</v>
      </c>
      <c r="Z43" s="132">
        <f t="shared" ref="Z43:Z51" si="23">ABS(U5-$N$23)</f>
        <v>10.033207299758601</v>
      </c>
      <c r="AA43" s="132">
        <f t="shared" ref="AA43:AA51" si="24">ABS(V5-$N$24)</f>
        <v>16.827205410343197</v>
      </c>
      <c r="AB43" s="132">
        <f t="shared" ref="AB43:AB51" si="25">ABS(W5-$N$25)</f>
        <v>2.6940081448042577</v>
      </c>
      <c r="AC43" s="132">
        <f t="shared" ref="AC43:AC51" si="26">ABS(X5-$N$26)</f>
        <v>8.0374535094295254</v>
      </c>
      <c r="AD43" s="132">
        <f t="shared" ref="AD43:AD51" si="27">ABS(Y5-$N$27)</f>
        <v>19.701015464736699</v>
      </c>
      <c r="AE43" s="132">
        <f t="shared" ref="AE43:AE51" si="28">ABS(Z5-$N$28)</f>
        <v>26.188512595066356</v>
      </c>
    </row>
    <row r="44" spans="16:31" ht="14.25" customHeight="1">
      <c r="P44" s="132" t="s">
        <v>567</v>
      </c>
      <c r="Q44" s="131">
        <f t="shared" si="19"/>
        <v>16.196121227710485</v>
      </c>
      <c r="S44" s="132" t="s">
        <v>567</v>
      </c>
      <c r="T44" s="131">
        <f t="shared" si="20"/>
        <v>15.932448354452447</v>
      </c>
      <c r="U44" s="132" t="s">
        <v>567</v>
      </c>
      <c r="V44" s="132">
        <f t="shared" ref="V44:W51" si="29">ABS(Q6-$N$19)</f>
        <v>15.897729624939984</v>
      </c>
      <c r="W44" s="132">
        <f t="shared" si="29"/>
        <v>10.085970245076368</v>
      </c>
      <c r="X44" s="132">
        <f t="shared" si="21"/>
        <v>28.233407120092124</v>
      </c>
      <c r="Y44" s="133">
        <f t="shared" si="22"/>
        <v>13.105929269890112</v>
      </c>
      <c r="Z44" s="132">
        <f t="shared" si="23"/>
        <v>4.9414438746058522</v>
      </c>
      <c r="AA44" s="132">
        <f t="shared" si="24"/>
        <v>22.299587570246842</v>
      </c>
      <c r="AB44" s="132">
        <f t="shared" si="25"/>
        <v>1.1741672602733786</v>
      </c>
      <c r="AC44" s="132">
        <f t="shared" si="26"/>
        <v>1.7401917591039648</v>
      </c>
      <c r="AD44" s="132">
        <f t="shared" si="27"/>
        <v>29.363012995346068</v>
      </c>
      <c r="AE44" s="132">
        <f t="shared" si="28"/>
        <v>32.483043824949789</v>
      </c>
    </row>
    <row r="45" spans="16:31" ht="14.25" customHeight="1">
      <c r="P45" s="132" t="s">
        <v>38</v>
      </c>
      <c r="Q45" s="131">
        <f t="shared" si="19"/>
        <v>4.228890063862293</v>
      </c>
      <c r="S45" s="132" t="s">
        <v>38</v>
      </c>
      <c r="T45" s="131">
        <f t="shared" si="20"/>
        <v>11.035489528066069</v>
      </c>
      <c r="U45" s="132" t="s">
        <v>38</v>
      </c>
      <c r="V45" s="132">
        <f t="shared" si="29"/>
        <v>3.939233499990678</v>
      </c>
      <c r="W45" s="132">
        <f t="shared" si="29"/>
        <v>1.9288165999967362</v>
      </c>
      <c r="X45" s="132">
        <f t="shared" si="21"/>
        <v>15.177635779476077</v>
      </c>
      <c r="Y45" s="133">
        <f t="shared" si="22"/>
        <v>1.1813283497158409</v>
      </c>
      <c r="Z45" s="132">
        <f t="shared" si="23"/>
        <v>16.665666635719049</v>
      </c>
      <c r="AA45" s="132">
        <f t="shared" si="24"/>
        <v>10.427286609657642</v>
      </c>
      <c r="AB45" s="132">
        <f t="shared" si="25"/>
        <v>10.111833295573462</v>
      </c>
      <c r="AC45" s="132">
        <f t="shared" si="26"/>
        <v>13.326680789729636</v>
      </c>
      <c r="AD45" s="132">
        <f t="shared" si="27"/>
        <v>17.349276350586294</v>
      </c>
      <c r="AE45" s="132">
        <f t="shared" si="28"/>
        <v>20.247137370215285</v>
      </c>
    </row>
    <row r="46" spans="16:31" ht="14.25" customHeight="1">
      <c r="P46" s="132" t="s">
        <v>568</v>
      </c>
      <c r="Q46" s="131">
        <f t="shared" si="19"/>
        <v>11.23670925730092</v>
      </c>
      <c r="S46" s="132" t="s">
        <v>568</v>
      </c>
      <c r="T46" s="131">
        <f t="shared" si="20"/>
        <v>15.955008420604434</v>
      </c>
      <c r="U46" s="132" t="s">
        <v>568</v>
      </c>
      <c r="V46" s="132">
        <f t="shared" si="29"/>
        <v>10.212970770142874</v>
      </c>
      <c r="W46" s="132">
        <f t="shared" si="29"/>
        <v>6.2967961349133645</v>
      </c>
      <c r="X46" s="132">
        <f t="shared" si="21"/>
        <v>24.491807069966853</v>
      </c>
      <c r="Y46" s="133">
        <f t="shared" si="22"/>
        <v>10.744712099867684</v>
      </c>
      <c r="Z46" s="132">
        <f t="shared" si="23"/>
        <v>6.8732342651234148</v>
      </c>
      <c r="AA46" s="132">
        <f t="shared" si="24"/>
        <v>20.197979839634684</v>
      </c>
      <c r="AB46" s="132">
        <f t="shared" si="25"/>
        <v>21.157495580867845</v>
      </c>
      <c r="AC46" s="132">
        <f t="shared" si="26"/>
        <v>3.5607659705263188</v>
      </c>
      <c r="AD46" s="132">
        <f t="shared" si="27"/>
        <v>26.520147849580823</v>
      </c>
      <c r="AE46" s="132">
        <f t="shared" si="28"/>
        <v>29.494174625420499</v>
      </c>
    </row>
    <row r="47" spans="16:31" ht="14.25" customHeight="1">
      <c r="P47" s="132" t="s">
        <v>569</v>
      </c>
      <c r="Q47" s="131">
        <f t="shared" si="19"/>
        <v>12.832637811072146</v>
      </c>
      <c r="S47" s="132" t="s">
        <v>569</v>
      </c>
      <c r="T47" s="131">
        <f t="shared" si="20"/>
        <v>13.936022549937633</v>
      </c>
      <c r="U47" s="132" t="s">
        <v>569</v>
      </c>
      <c r="V47" s="132">
        <f t="shared" si="29"/>
        <v>11.701786800000718</v>
      </c>
      <c r="W47" s="132">
        <f t="shared" si="29"/>
        <v>6.1330962104331945</v>
      </c>
      <c r="X47" s="132">
        <f t="shared" si="21"/>
        <v>23.695256625173897</v>
      </c>
      <c r="Y47" s="133">
        <f t="shared" si="22"/>
        <v>9.9237182503256918</v>
      </c>
      <c r="Z47" s="132">
        <f t="shared" si="23"/>
        <v>7.8257131549650012</v>
      </c>
      <c r="AA47" s="132">
        <f t="shared" si="24"/>
        <v>19.252248485222992</v>
      </c>
      <c r="AB47" s="132">
        <f t="shared" si="25"/>
        <v>1.0516266196714525</v>
      </c>
      <c r="AC47" s="132">
        <f t="shared" si="26"/>
        <v>4.6395839196909776</v>
      </c>
      <c r="AD47" s="132">
        <f t="shared" si="27"/>
        <v>26.142312144635795</v>
      </c>
      <c r="AE47" s="132">
        <f t="shared" si="28"/>
        <v>28.99488328925662</v>
      </c>
    </row>
    <row r="48" spans="16:31" ht="14.25" customHeight="1">
      <c r="P48" s="132" t="s">
        <v>63</v>
      </c>
      <c r="Q48" s="131">
        <f t="shared" si="19"/>
        <v>0.88983692488817068</v>
      </c>
      <c r="S48" s="132" t="s">
        <v>63</v>
      </c>
      <c r="T48" s="131">
        <f t="shared" si="20"/>
        <v>11.216583840111458</v>
      </c>
      <c r="U48" s="132" t="s">
        <v>63</v>
      </c>
      <c r="V48" s="132">
        <f t="shared" si="29"/>
        <v>1.8601525599992783</v>
      </c>
      <c r="W48" s="132">
        <f t="shared" si="29"/>
        <v>5.5273531551863755</v>
      </c>
      <c r="X48" s="132">
        <f t="shared" si="21"/>
        <v>13.859923584724129</v>
      </c>
      <c r="Y48" s="133">
        <f t="shared" si="22"/>
        <v>2.5022744047764718</v>
      </c>
      <c r="Z48" s="132">
        <f t="shared" si="23"/>
        <v>20.734351474896926</v>
      </c>
      <c r="AA48" s="132">
        <f t="shared" si="24"/>
        <v>6.3061180246291428</v>
      </c>
      <c r="AB48" s="132">
        <f t="shared" si="25"/>
        <v>14.131184990772027</v>
      </c>
      <c r="AC48" s="132">
        <f t="shared" si="26"/>
        <v>16.738570550484638</v>
      </c>
      <c r="AD48" s="132">
        <f t="shared" si="27"/>
        <v>13.649973105414389</v>
      </c>
      <c r="AE48" s="132">
        <f t="shared" si="28"/>
        <v>16.855936550231206</v>
      </c>
    </row>
    <row r="49" spans="16:31" ht="14.25" customHeight="1">
      <c r="P49" s="132" t="s">
        <v>265</v>
      </c>
      <c r="Q49" s="131">
        <f t="shared" si="19"/>
        <v>4.3999781461125007</v>
      </c>
      <c r="S49" s="132" t="s">
        <v>265</v>
      </c>
      <c r="T49" s="131">
        <f t="shared" si="20"/>
        <v>11.031945102939904</v>
      </c>
      <c r="U49" s="132" t="s">
        <v>265</v>
      </c>
      <c r="V49" s="132">
        <f t="shared" si="29"/>
        <v>4.3247094097937406</v>
      </c>
      <c r="W49" s="132">
        <f t="shared" si="29"/>
        <v>2.2436140498537327</v>
      </c>
      <c r="X49" s="132">
        <f t="shared" si="21"/>
        <v>15.821828460192592</v>
      </c>
      <c r="Y49" s="133">
        <f t="shared" si="22"/>
        <v>1.2346522551652015</v>
      </c>
      <c r="Z49" s="132">
        <f t="shared" si="23"/>
        <v>16.695256020047623</v>
      </c>
      <c r="AA49" s="132">
        <f t="shared" si="24"/>
        <v>10.327150039956507</v>
      </c>
      <c r="AB49" s="132">
        <f t="shared" si="25"/>
        <v>9.4565872599119132</v>
      </c>
      <c r="AC49" s="132">
        <f t="shared" si="26"/>
        <v>12.76437745432375</v>
      </c>
      <c r="AD49" s="132">
        <f t="shared" si="27"/>
        <v>17.214535689687906</v>
      </c>
      <c r="AE49" s="132">
        <f t="shared" si="28"/>
        <v>20.236740390466082</v>
      </c>
    </row>
    <row r="50" spans="16:31" ht="14.25" customHeight="1">
      <c r="P50" s="132" t="s">
        <v>570</v>
      </c>
      <c r="Q50" s="131">
        <f t="shared" si="19"/>
        <v>10.722245158084645</v>
      </c>
      <c r="S50" s="132" t="s">
        <v>570</v>
      </c>
      <c r="T50" s="131">
        <f t="shared" si="20"/>
        <v>13.415349142812346</v>
      </c>
      <c r="U50" s="132" t="s">
        <v>570</v>
      </c>
      <c r="V50" s="132">
        <f t="shared" si="29"/>
        <v>11.44028699997989</v>
      </c>
      <c r="W50" s="132">
        <f t="shared" si="29"/>
        <v>4.4221366250496601</v>
      </c>
      <c r="X50" s="132">
        <f t="shared" si="21"/>
        <v>23.226158540102006</v>
      </c>
      <c r="Y50" s="133">
        <f t="shared" si="22"/>
        <v>7.2853270447503746</v>
      </c>
      <c r="Z50" s="132">
        <f t="shared" si="23"/>
        <v>10.597427249525595</v>
      </c>
      <c r="AA50" s="132">
        <f t="shared" si="24"/>
        <v>16.29753704054707</v>
      </c>
      <c r="AB50" s="132">
        <f t="shared" si="25"/>
        <v>3.8359956245617752</v>
      </c>
      <c r="AC50" s="132">
        <f t="shared" si="26"/>
        <v>7.0320970495511403</v>
      </c>
      <c r="AD50" s="132">
        <f t="shared" si="27"/>
        <v>23.368208843989848</v>
      </c>
      <c r="AE50" s="132">
        <f t="shared" si="28"/>
        <v>26.648316410066116</v>
      </c>
    </row>
    <row r="51" spans="16:31" ht="14.25" customHeight="1">
      <c r="P51" s="135" t="s">
        <v>571</v>
      </c>
      <c r="Q51" s="131">
        <f t="shared" si="19"/>
        <v>10.055389162029117</v>
      </c>
      <c r="S51" s="135" t="s">
        <v>571</v>
      </c>
      <c r="T51" s="131">
        <f t="shared" si="20"/>
        <v>12.925325823063185</v>
      </c>
      <c r="U51" s="135" t="s">
        <v>571</v>
      </c>
      <c r="V51" s="132">
        <f t="shared" si="29"/>
        <v>9.5448072752374173</v>
      </c>
      <c r="W51" s="132">
        <f t="shared" si="29"/>
        <v>3.8729870447498058</v>
      </c>
      <c r="X51" s="132">
        <f t="shared" si="21"/>
        <v>20.922676114702881</v>
      </c>
      <c r="Y51" s="133">
        <f t="shared" si="22"/>
        <v>7.0575386648688436</v>
      </c>
      <c r="Z51" s="132">
        <f t="shared" si="23"/>
        <v>10.584378514544028</v>
      </c>
      <c r="AA51" s="132">
        <f t="shared" si="24"/>
        <v>16.429757220320937</v>
      </c>
      <c r="AB51" s="132">
        <f t="shared" si="25"/>
        <v>4.1450169754894262</v>
      </c>
      <c r="AC51" s="132">
        <f t="shared" si="26"/>
        <v>7.6202878151368907</v>
      </c>
      <c r="AD51" s="132">
        <f t="shared" si="27"/>
        <v>23.128999539426147</v>
      </c>
      <c r="AE51" s="132">
        <f t="shared" si="28"/>
        <v>25.946809066155481</v>
      </c>
    </row>
    <row r="52" spans="16:31" ht="14.25" customHeight="1"/>
    <row r="53" spans="16:31" ht="14.25" customHeight="1"/>
    <row r="54" spans="16:31" ht="14.25" customHeight="1">
      <c r="T54" s="131" t="s">
        <v>605</v>
      </c>
      <c r="V54" s="132" t="s">
        <v>557</v>
      </c>
      <c r="W54" s="132" t="s">
        <v>558</v>
      </c>
      <c r="X54" s="132" t="s">
        <v>559</v>
      </c>
      <c r="Y54" s="133" t="s">
        <v>560</v>
      </c>
      <c r="Z54" s="132" t="s">
        <v>561</v>
      </c>
      <c r="AA54" s="132" t="s">
        <v>562</v>
      </c>
      <c r="AB54" s="132" t="s">
        <v>563</v>
      </c>
      <c r="AC54" s="132" t="s">
        <v>564</v>
      </c>
      <c r="AD54" s="132" t="s">
        <v>565</v>
      </c>
      <c r="AE54" s="132" t="s">
        <v>566</v>
      </c>
    </row>
    <row r="55" spans="16:31" ht="14.25" customHeight="1">
      <c r="U55" s="132" t="s">
        <v>567</v>
      </c>
      <c r="V55" s="146" t="b">
        <f t="shared" ref="V55:AE62" si="30">V44 &lt; V$43</f>
        <v>0</v>
      </c>
      <c r="W55" s="146" t="b">
        <f t="shared" si="30"/>
        <v>0</v>
      </c>
      <c r="X55" s="147" t="b">
        <f t="shared" si="30"/>
        <v>1</v>
      </c>
      <c r="Y55" s="147" t="b">
        <f t="shared" si="30"/>
        <v>1</v>
      </c>
      <c r="Z55" s="147" t="b">
        <f t="shared" si="30"/>
        <v>1</v>
      </c>
      <c r="AA55" s="146" t="b">
        <f t="shared" si="30"/>
        <v>0</v>
      </c>
      <c r="AB55" s="147" t="b">
        <f t="shared" si="30"/>
        <v>1</v>
      </c>
      <c r="AC55" s="147" t="b">
        <f t="shared" si="30"/>
        <v>1</v>
      </c>
      <c r="AD55" s="146" t="b">
        <f t="shared" si="30"/>
        <v>0</v>
      </c>
      <c r="AE55" s="146" t="b">
        <f t="shared" si="30"/>
        <v>0</v>
      </c>
    </row>
    <row r="56" spans="16:31" ht="14.25" customHeight="1">
      <c r="U56" s="132" t="s">
        <v>38</v>
      </c>
      <c r="V56" s="147" t="b">
        <f t="shared" si="30"/>
        <v>1</v>
      </c>
      <c r="W56" s="147" t="b">
        <f t="shared" si="30"/>
        <v>1</v>
      </c>
      <c r="X56" s="147" t="b">
        <f t="shared" si="30"/>
        <v>1</v>
      </c>
      <c r="Y56" s="147" t="b">
        <f t="shared" si="30"/>
        <v>1</v>
      </c>
      <c r="Z56" s="146" t="b">
        <f t="shared" si="30"/>
        <v>0</v>
      </c>
      <c r="AA56" s="147" t="b">
        <f t="shared" si="30"/>
        <v>1</v>
      </c>
      <c r="AB56" s="146" t="b">
        <f t="shared" si="30"/>
        <v>0</v>
      </c>
      <c r="AC56" s="146" t="b">
        <f t="shared" si="30"/>
        <v>0</v>
      </c>
      <c r="AD56" s="147" t="b">
        <f t="shared" si="30"/>
        <v>1</v>
      </c>
      <c r="AE56" s="147" t="b">
        <f t="shared" si="30"/>
        <v>1</v>
      </c>
    </row>
    <row r="57" spans="16:31" ht="14.25" customHeight="1">
      <c r="U57" s="132" t="s">
        <v>568</v>
      </c>
      <c r="V57" s="146" t="b">
        <f t="shared" si="30"/>
        <v>0</v>
      </c>
      <c r="W57" s="146" t="b">
        <f t="shared" si="30"/>
        <v>0</v>
      </c>
      <c r="X57" s="147" t="b">
        <f t="shared" si="30"/>
        <v>1</v>
      </c>
      <c r="Y57" s="147" t="b">
        <f t="shared" si="30"/>
        <v>1</v>
      </c>
      <c r="Z57" s="147" t="b">
        <f t="shared" si="30"/>
        <v>1</v>
      </c>
      <c r="AA57" s="146" t="b">
        <f t="shared" si="30"/>
        <v>0</v>
      </c>
      <c r="AB57" s="146" t="b">
        <f t="shared" si="30"/>
        <v>0</v>
      </c>
      <c r="AC57" s="147" t="b">
        <f t="shared" si="30"/>
        <v>1</v>
      </c>
      <c r="AD57" s="146" t="b">
        <f t="shared" si="30"/>
        <v>0</v>
      </c>
      <c r="AE57" s="146" t="b">
        <f t="shared" si="30"/>
        <v>0</v>
      </c>
    </row>
    <row r="58" spans="16:31" ht="14.25" customHeight="1">
      <c r="U58" s="132" t="s">
        <v>569</v>
      </c>
      <c r="V58" s="146" t="b">
        <f t="shared" si="30"/>
        <v>0</v>
      </c>
      <c r="W58" s="146" t="b">
        <f t="shared" si="30"/>
        <v>0</v>
      </c>
      <c r="X58" s="147" t="b">
        <f t="shared" si="30"/>
        <v>1</v>
      </c>
      <c r="Y58" s="147" t="b">
        <f t="shared" si="30"/>
        <v>1</v>
      </c>
      <c r="Z58" s="147" t="b">
        <f t="shared" si="30"/>
        <v>1</v>
      </c>
      <c r="AA58" s="146" t="b">
        <f t="shared" si="30"/>
        <v>0</v>
      </c>
      <c r="AB58" s="147" t="b">
        <f t="shared" si="30"/>
        <v>1</v>
      </c>
      <c r="AC58" s="147" t="b">
        <f t="shared" si="30"/>
        <v>1</v>
      </c>
      <c r="AD58" s="146" t="b">
        <f t="shared" si="30"/>
        <v>0</v>
      </c>
      <c r="AE58" s="146" t="b">
        <f t="shared" si="30"/>
        <v>0</v>
      </c>
    </row>
    <row r="59" spans="16:31" ht="14.25" customHeight="1">
      <c r="U59" s="132" t="s">
        <v>63</v>
      </c>
      <c r="V59" s="147" t="b">
        <f t="shared" si="30"/>
        <v>1</v>
      </c>
      <c r="W59" s="146" t="b">
        <f t="shared" si="30"/>
        <v>0</v>
      </c>
      <c r="X59" s="147" t="b">
        <f t="shared" si="30"/>
        <v>1</v>
      </c>
      <c r="Y59" s="147" t="b">
        <f t="shared" si="30"/>
        <v>1</v>
      </c>
      <c r="Z59" s="146" t="b">
        <f t="shared" si="30"/>
        <v>0</v>
      </c>
      <c r="AA59" s="147" t="b">
        <f t="shared" si="30"/>
        <v>1</v>
      </c>
      <c r="AB59" s="146" t="b">
        <f t="shared" si="30"/>
        <v>0</v>
      </c>
      <c r="AC59" s="146" t="b">
        <f t="shared" si="30"/>
        <v>0</v>
      </c>
      <c r="AD59" s="147" t="b">
        <f t="shared" si="30"/>
        <v>1</v>
      </c>
      <c r="AE59" s="147" t="b">
        <f t="shared" si="30"/>
        <v>1</v>
      </c>
    </row>
    <row r="60" spans="16:31" ht="14.25" customHeight="1">
      <c r="U60" s="132" t="s">
        <v>265</v>
      </c>
      <c r="V60" s="147" t="b">
        <f t="shared" si="30"/>
        <v>1</v>
      </c>
      <c r="W60" s="147" t="b">
        <f t="shared" si="30"/>
        <v>1</v>
      </c>
      <c r="X60" s="147" t="b">
        <f t="shared" si="30"/>
        <v>1</v>
      </c>
      <c r="Y60" s="147" t="b">
        <f t="shared" si="30"/>
        <v>1</v>
      </c>
      <c r="Z60" s="146" t="b">
        <f t="shared" si="30"/>
        <v>0</v>
      </c>
      <c r="AA60" s="147" t="b">
        <f t="shared" si="30"/>
        <v>1</v>
      </c>
      <c r="AB60" s="146" t="b">
        <f t="shared" si="30"/>
        <v>0</v>
      </c>
      <c r="AC60" s="146" t="b">
        <f t="shared" si="30"/>
        <v>0</v>
      </c>
      <c r="AD60" s="147" t="b">
        <f t="shared" si="30"/>
        <v>1</v>
      </c>
      <c r="AE60" s="147" t="b">
        <f t="shared" si="30"/>
        <v>1</v>
      </c>
    </row>
    <row r="61" spans="16:31" ht="14.25" customHeight="1">
      <c r="U61" s="132" t="s">
        <v>570</v>
      </c>
      <c r="V61" s="146" t="b">
        <f t="shared" si="30"/>
        <v>0</v>
      </c>
      <c r="W61" s="147" t="b">
        <f t="shared" si="30"/>
        <v>1</v>
      </c>
      <c r="X61" s="147" t="b">
        <f t="shared" si="30"/>
        <v>1</v>
      </c>
      <c r="Y61" s="147" t="b">
        <f t="shared" si="30"/>
        <v>1</v>
      </c>
      <c r="Z61" s="146" t="b">
        <f t="shared" si="30"/>
        <v>0</v>
      </c>
      <c r="AA61" s="147" t="b">
        <f t="shared" si="30"/>
        <v>1</v>
      </c>
      <c r="AB61" s="146" t="b">
        <f t="shared" si="30"/>
        <v>0</v>
      </c>
      <c r="AC61" s="147" t="b">
        <f t="shared" si="30"/>
        <v>1</v>
      </c>
      <c r="AD61" s="146" t="b">
        <f t="shared" si="30"/>
        <v>0</v>
      </c>
      <c r="AE61" s="146" t="b">
        <f t="shared" si="30"/>
        <v>0</v>
      </c>
    </row>
    <row r="62" spans="16:31" ht="14.25" customHeight="1">
      <c r="U62" s="135" t="s">
        <v>571</v>
      </c>
      <c r="V62" s="146" t="b">
        <f t="shared" si="30"/>
        <v>0</v>
      </c>
      <c r="W62" s="147" t="b">
        <f t="shared" si="30"/>
        <v>1</v>
      </c>
      <c r="X62" s="147" t="b">
        <f t="shared" si="30"/>
        <v>1</v>
      </c>
      <c r="Y62" s="147" t="b">
        <f t="shared" si="30"/>
        <v>1</v>
      </c>
      <c r="Z62" s="146" t="b">
        <f t="shared" si="30"/>
        <v>0</v>
      </c>
      <c r="AA62" s="147" t="b">
        <f t="shared" si="30"/>
        <v>1</v>
      </c>
      <c r="AB62" s="146" t="b">
        <f t="shared" si="30"/>
        <v>0</v>
      </c>
      <c r="AC62" s="147" t="b">
        <f t="shared" si="30"/>
        <v>1</v>
      </c>
      <c r="AD62" s="146" t="b">
        <f t="shared" si="30"/>
        <v>0</v>
      </c>
      <c r="AE62" s="147" t="b">
        <f t="shared" si="30"/>
        <v>1</v>
      </c>
    </row>
    <row r="63" spans="16:31" ht="14.25" customHeight="1"/>
    <row r="64" spans="16:3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P42:Q42"/>
    <mergeCell ref="S42:T42"/>
    <mergeCell ref="P3:Z3"/>
    <mergeCell ref="A10:K10"/>
    <mergeCell ref="P15:Z15"/>
    <mergeCell ref="M18:N18"/>
    <mergeCell ref="P28:Z28"/>
    <mergeCell ref="U41:AE41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7F3A-EC19-4DB7-B7B5-C7AC87BFFA88}">
  <sheetPr>
    <outlinePr summaryBelow="0" summaryRight="0"/>
  </sheetPr>
  <dimension ref="A1:J26"/>
  <sheetViews>
    <sheetView tabSelected="1" topLeftCell="A5" workbookViewId="0">
      <selection activeCell="G16" sqref="G16"/>
    </sheetView>
  </sheetViews>
  <sheetFormatPr defaultColWidth="12.6640625" defaultRowHeight="15.75" customHeight="1"/>
  <cols>
    <col min="1" max="16384" width="12.6640625" style="2"/>
  </cols>
  <sheetData>
    <row r="1" spans="1:10" ht="15.75" customHeight="1">
      <c r="A1" s="32" t="s">
        <v>606</v>
      </c>
      <c r="B1" s="32" t="s">
        <v>607</v>
      </c>
      <c r="C1" s="32"/>
      <c r="D1" s="32"/>
      <c r="E1" s="32" t="s">
        <v>608</v>
      </c>
      <c r="F1" s="32"/>
      <c r="I1" s="32"/>
      <c r="J1" s="32"/>
    </row>
    <row r="2" spans="1:10" ht="15.75" customHeight="1">
      <c r="A2" s="32"/>
      <c r="B2" s="32" t="s">
        <v>609</v>
      </c>
      <c r="C2" s="32"/>
      <c r="D2" s="32" t="s">
        <v>609</v>
      </c>
      <c r="E2" s="32"/>
      <c r="F2" s="32"/>
      <c r="I2" s="32"/>
      <c r="J2" s="32"/>
    </row>
    <row r="3" spans="1:10" ht="15.75" customHeight="1">
      <c r="A3" s="32"/>
      <c r="B3" s="32" t="s">
        <v>610</v>
      </c>
      <c r="C3" s="32" t="s">
        <v>611</v>
      </c>
      <c r="D3" s="32" t="s">
        <v>610</v>
      </c>
      <c r="E3" s="32" t="s">
        <v>611</v>
      </c>
      <c r="F3" s="32"/>
      <c r="I3" s="32"/>
      <c r="J3" s="32"/>
    </row>
    <row r="4" spans="1:10" ht="15.75" customHeight="1">
      <c r="A4" s="34" t="s">
        <v>41</v>
      </c>
      <c r="B4" s="32">
        <v>-0.31850000000000001</v>
      </c>
      <c r="C4" s="32">
        <v>-0.63700000000000001</v>
      </c>
      <c r="D4" s="32">
        <v>-0.55359999999999998</v>
      </c>
      <c r="E4" s="32">
        <v>-1.1072</v>
      </c>
      <c r="F4" s="32"/>
      <c r="I4" s="32"/>
      <c r="J4" s="32"/>
    </row>
    <row r="5" spans="1:10" ht="15.75" customHeight="1">
      <c r="A5" s="34" t="s">
        <v>65</v>
      </c>
      <c r="B5" s="32">
        <v>-0.34350000000000003</v>
      </c>
      <c r="C5" s="32">
        <v>-0.68700000000000006</v>
      </c>
      <c r="D5" s="1">
        <v>-0.49709999999999999</v>
      </c>
      <c r="E5" s="32">
        <v>-0.99419999999999997</v>
      </c>
      <c r="F5" s="32"/>
      <c r="I5" s="32"/>
      <c r="J5" s="32"/>
    </row>
    <row r="6" spans="1:10" ht="15.75" customHeight="1">
      <c r="A6" s="34" t="s">
        <v>68</v>
      </c>
      <c r="B6" s="32">
        <v>-0.44400000000000001</v>
      </c>
      <c r="C6" s="32">
        <v>-0.88800000000000001</v>
      </c>
      <c r="D6" s="32">
        <v>-0.51649999999999996</v>
      </c>
      <c r="E6" s="32">
        <v>-1.0329999999999999</v>
      </c>
      <c r="F6" s="32"/>
      <c r="I6" s="32"/>
      <c r="J6" s="32"/>
    </row>
    <row r="7" spans="1:10" ht="15.75" customHeight="1">
      <c r="A7" s="34" t="s">
        <v>70</v>
      </c>
      <c r="B7" s="32">
        <v>-0.4824</v>
      </c>
      <c r="C7" s="32">
        <v>-0.96479999999999999</v>
      </c>
      <c r="D7" s="32">
        <v>-0.61850000000000005</v>
      </c>
      <c r="E7" s="32">
        <v>-1.2370000000000001</v>
      </c>
      <c r="F7" s="32"/>
      <c r="I7" s="32"/>
      <c r="J7" s="32"/>
    </row>
    <row r="8" spans="1:10" ht="15.75" customHeight="1">
      <c r="A8" s="34" t="s">
        <v>72</v>
      </c>
      <c r="B8" s="32">
        <v>-0.39950000000000002</v>
      </c>
      <c r="C8" s="32">
        <v>-0.79900000000000004</v>
      </c>
      <c r="D8" s="32">
        <v>-0.46820000000000001</v>
      </c>
      <c r="E8" s="32">
        <v>-0.93640000000000001</v>
      </c>
      <c r="F8" s="32"/>
      <c r="I8" s="32"/>
      <c r="J8" s="32"/>
    </row>
    <row r="9" spans="1:10" ht="15.75" customHeight="1">
      <c r="A9" s="34" t="s">
        <v>76</v>
      </c>
      <c r="B9" s="32">
        <v>-0.3851</v>
      </c>
      <c r="C9" s="32">
        <v>-0.7702</v>
      </c>
      <c r="D9" s="32">
        <v>-0.52059999999999995</v>
      </c>
      <c r="E9" s="32">
        <v>-1.0411999999999999</v>
      </c>
      <c r="F9" s="32"/>
      <c r="I9" s="32"/>
      <c r="J9" s="32"/>
    </row>
    <row r="10" spans="1:10" ht="15.75" customHeight="1">
      <c r="A10" s="34" t="s">
        <v>77</v>
      </c>
      <c r="B10" s="1">
        <v>-0.49469999999999997</v>
      </c>
      <c r="C10" s="32">
        <v>-0.98939999999999995</v>
      </c>
      <c r="D10" s="32">
        <v>-0.62119999999999997</v>
      </c>
      <c r="E10" s="32">
        <v>-1.2423999999999999</v>
      </c>
      <c r="F10" s="32"/>
      <c r="I10" s="32"/>
      <c r="J10" s="32"/>
    </row>
    <row r="11" spans="1:10" ht="15.75" customHeight="1">
      <c r="A11" s="34" t="s">
        <v>80</v>
      </c>
      <c r="B11" s="32">
        <v>-0.47599999999999998</v>
      </c>
      <c r="C11" s="32">
        <v>-0.95199999999999996</v>
      </c>
      <c r="D11" s="32">
        <v>-0.62119999999999997</v>
      </c>
      <c r="E11" s="32">
        <v>-1.2423999999999999</v>
      </c>
      <c r="F11" s="32" t="s">
        <v>612</v>
      </c>
      <c r="I11" s="32"/>
      <c r="J11" s="32"/>
    </row>
    <row r="12" spans="1:10" ht="15.75" customHeight="1">
      <c r="A12" s="32"/>
      <c r="B12" s="32" t="s">
        <v>607</v>
      </c>
      <c r="C12" s="32"/>
      <c r="D12" s="32" t="s">
        <v>608</v>
      </c>
      <c r="E12" s="32"/>
      <c r="F12" s="32"/>
      <c r="I12" s="32"/>
      <c r="J12" s="32"/>
    </row>
    <row r="13" spans="1:10" ht="15.75" customHeight="1">
      <c r="A13" s="32"/>
      <c r="B13" s="32" t="s">
        <v>613</v>
      </c>
      <c r="C13" s="32"/>
      <c r="D13" s="32" t="s">
        <v>613</v>
      </c>
      <c r="E13" s="32"/>
      <c r="F13" s="32"/>
      <c r="I13" s="32"/>
      <c r="J13" s="32"/>
    </row>
    <row r="14" spans="1:10" ht="15.75" customHeight="1">
      <c r="A14" s="32"/>
      <c r="B14" s="32" t="s">
        <v>610</v>
      </c>
      <c r="C14" s="32" t="s">
        <v>611</v>
      </c>
      <c r="D14" s="32" t="s">
        <v>610</v>
      </c>
      <c r="E14" s="32" t="s">
        <v>611</v>
      </c>
      <c r="F14" s="32"/>
      <c r="I14" s="32"/>
      <c r="J14" s="32"/>
    </row>
    <row r="15" spans="1:10" ht="15.75" customHeight="1">
      <c r="A15" s="34" t="s">
        <v>41</v>
      </c>
      <c r="B15" s="32">
        <f t="shared" ref="B15:E22" si="0">ABS(B4)</f>
        <v>0.31850000000000001</v>
      </c>
      <c r="C15" s="32">
        <f t="shared" si="0"/>
        <v>0.63700000000000001</v>
      </c>
      <c r="D15" s="32">
        <f t="shared" si="0"/>
        <v>0.55359999999999998</v>
      </c>
      <c r="E15" s="32">
        <f t="shared" si="0"/>
        <v>1.1072</v>
      </c>
      <c r="F15" s="32"/>
      <c r="I15" s="32"/>
      <c r="J15" s="32"/>
    </row>
    <row r="16" spans="1:10" ht="15.75" customHeight="1">
      <c r="A16" s="34" t="s">
        <v>65</v>
      </c>
      <c r="B16" s="32">
        <f t="shared" si="0"/>
        <v>0.34350000000000003</v>
      </c>
      <c r="C16" s="32">
        <f t="shared" si="0"/>
        <v>0.68700000000000006</v>
      </c>
      <c r="D16" s="32">
        <f t="shared" si="0"/>
        <v>0.49709999999999999</v>
      </c>
      <c r="E16" s="32">
        <f t="shared" si="0"/>
        <v>0.99419999999999997</v>
      </c>
      <c r="F16" s="32"/>
      <c r="G16" s="32"/>
      <c r="H16" s="32"/>
      <c r="I16" s="32"/>
      <c r="J16" s="32"/>
    </row>
    <row r="17" spans="1:10" ht="15.75" customHeight="1">
      <c r="A17" s="34" t="s">
        <v>68</v>
      </c>
      <c r="B17" s="32">
        <f t="shared" si="0"/>
        <v>0.44400000000000001</v>
      </c>
      <c r="C17" s="32">
        <f t="shared" si="0"/>
        <v>0.88800000000000001</v>
      </c>
      <c r="D17" s="32">
        <f t="shared" si="0"/>
        <v>0.51649999999999996</v>
      </c>
      <c r="E17" s="32">
        <f t="shared" si="0"/>
        <v>1.0329999999999999</v>
      </c>
      <c r="F17" s="32"/>
      <c r="G17" s="32"/>
      <c r="H17" s="32"/>
      <c r="I17" s="32"/>
      <c r="J17" s="32"/>
    </row>
    <row r="18" spans="1:10" ht="15.75" customHeight="1">
      <c r="A18" s="34" t="s">
        <v>70</v>
      </c>
      <c r="B18" s="32">
        <f t="shared" si="0"/>
        <v>0.4824</v>
      </c>
      <c r="C18" s="32">
        <f t="shared" si="0"/>
        <v>0.96479999999999999</v>
      </c>
      <c r="D18" s="32">
        <f t="shared" si="0"/>
        <v>0.61850000000000005</v>
      </c>
      <c r="E18" s="32">
        <f t="shared" si="0"/>
        <v>1.2370000000000001</v>
      </c>
      <c r="F18" s="32"/>
      <c r="G18" s="32"/>
      <c r="H18" s="32"/>
      <c r="I18" s="32"/>
      <c r="J18" s="32"/>
    </row>
    <row r="19" spans="1:10" ht="15.75" customHeight="1">
      <c r="A19" s="34" t="s">
        <v>72</v>
      </c>
      <c r="B19" s="32">
        <f t="shared" si="0"/>
        <v>0.39950000000000002</v>
      </c>
      <c r="C19" s="32">
        <f t="shared" si="0"/>
        <v>0.79900000000000004</v>
      </c>
      <c r="D19" s="32">
        <f t="shared" si="0"/>
        <v>0.46820000000000001</v>
      </c>
      <c r="E19" s="32">
        <f t="shared" si="0"/>
        <v>0.93640000000000001</v>
      </c>
      <c r="F19" s="32"/>
      <c r="G19" s="32"/>
      <c r="H19" s="32"/>
      <c r="I19" s="32"/>
      <c r="J19" s="32"/>
    </row>
    <row r="20" spans="1:10" ht="15.75" customHeight="1">
      <c r="A20" s="34" t="s">
        <v>76</v>
      </c>
      <c r="B20" s="32">
        <f t="shared" si="0"/>
        <v>0.3851</v>
      </c>
      <c r="C20" s="32">
        <f t="shared" si="0"/>
        <v>0.7702</v>
      </c>
      <c r="D20" s="32">
        <f t="shared" si="0"/>
        <v>0.52059999999999995</v>
      </c>
      <c r="E20" s="32">
        <f t="shared" si="0"/>
        <v>1.0411999999999999</v>
      </c>
      <c r="F20" s="32"/>
      <c r="G20" s="32"/>
      <c r="H20" s="32"/>
      <c r="I20" s="32"/>
      <c r="J20" s="32"/>
    </row>
    <row r="21" spans="1:10" ht="15.75" customHeight="1">
      <c r="A21" s="34" t="s">
        <v>77</v>
      </c>
      <c r="B21" s="32">
        <f t="shared" si="0"/>
        <v>0.49469999999999997</v>
      </c>
      <c r="C21" s="32">
        <f t="shared" si="0"/>
        <v>0.98939999999999995</v>
      </c>
      <c r="D21" s="32">
        <f t="shared" si="0"/>
        <v>0.62119999999999997</v>
      </c>
      <c r="E21" s="32">
        <f t="shared" si="0"/>
        <v>1.2423999999999999</v>
      </c>
      <c r="F21" s="32"/>
      <c r="G21" s="32"/>
      <c r="H21" s="32"/>
      <c r="I21" s="32"/>
      <c r="J21" s="32"/>
    </row>
    <row r="22" spans="1:10" ht="15.75" customHeight="1">
      <c r="A22" s="34" t="s">
        <v>80</v>
      </c>
      <c r="B22" s="32">
        <f t="shared" si="0"/>
        <v>0.47599999999999998</v>
      </c>
      <c r="C22" s="32">
        <f t="shared" si="0"/>
        <v>0.95199999999999996</v>
      </c>
      <c r="D22" s="32">
        <f t="shared" si="0"/>
        <v>0.62119999999999997</v>
      </c>
      <c r="E22" s="32">
        <f t="shared" si="0"/>
        <v>1.2423999999999999</v>
      </c>
      <c r="F22" s="32"/>
      <c r="G22" s="32"/>
      <c r="H22" s="32"/>
      <c r="I22" s="32"/>
      <c r="J22" s="32"/>
    </row>
    <row r="23" spans="1:10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FAF9-600B-4DDA-8337-61C0E3FD3AC3}">
  <sheetPr>
    <outlinePr summaryBelow="0" summaryRight="0"/>
  </sheetPr>
  <dimension ref="A1:J26"/>
  <sheetViews>
    <sheetView workbookViewId="0"/>
  </sheetViews>
  <sheetFormatPr defaultColWidth="12.6640625" defaultRowHeight="15.75" customHeight="1"/>
  <cols>
    <col min="1" max="16384" width="12.6640625" style="2"/>
  </cols>
  <sheetData>
    <row r="1" spans="1:10" ht="15.75" customHeight="1">
      <c r="A1" s="32" t="s">
        <v>606</v>
      </c>
      <c r="B1" s="32" t="s">
        <v>614</v>
      </c>
      <c r="C1" s="32"/>
      <c r="D1" s="32"/>
      <c r="E1" s="32" t="s">
        <v>615</v>
      </c>
      <c r="F1" s="32"/>
      <c r="I1" s="32"/>
      <c r="J1" s="32"/>
    </row>
    <row r="2" spans="1:10" ht="15.75" customHeight="1">
      <c r="A2" s="32"/>
      <c r="B2" s="32" t="s">
        <v>609</v>
      </c>
      <c r="C2" s="32"/>
      <c r="D2" s="32" t="s">
        <v>609</v>
      </c>
      <c r="E2" s="32"/>
      <c r="F2" s="32"/>
      <c r="I2" s="32"/>
      <c r="J2" s="32"/>
    </row>
    <row r="3" spans="1:10" ht="15.75" customHeight="1">
      <c r="A3" s="32"/>
      <c r="B3" s="32" t="s">
        <v>610</v>
      </c>
      <c r="C3" s="32" t="s">
        <v>611</v>
      </c>
      <c r="D3" s="32" t="s">
        <v>610</v>
      </c>
      <c r="E3" s="32" t="s">
        <v>611</v>
      </c>
      <c r="F3" s="32"/>
      <c r="I3" s="32"/>
      <c r="J3" s="32"/>
    </row>
    <row r="4" spans="1:10" ht="15.75" customHeight="1">
      <c r="A4" s="34" t="s">
        <v>41</v>
      </c>
      <c r="B4" s="32">
        <v>-0.3327</v>
      </c>
      <c r="C4" s="32">
        <v>-0.66539999999999999</v>
      </c>
      <c r="D4" s="32">
        <v>-0.45050000000000001</v>
      </c>
      <c r="E4" s="32">
        <v>-0.90100000000000002</v>
      </c>
      <c r="F4" s="32"/>
      <c r="I4" s="32"/>
      <c r="J4" s="32"/>
    </row>
    <row r="5" spans="1:10" ht="15.75" customHeight="1">
      <c r="A5" s="34" t="s">
        <v>65</v>
      </c>
      <c r="B5" s="32">
        <v>-0.33389999999999997</v>
      </c>
      <c r="C5" s="32">
        <v>-0.66779999999999995</v>
      </c>
      <c r="D5" s="1">
        <v>-0.42109999999999997</v>
      </c>
      <c r="E5" s="32">
        <v>-0.84219999999999995</v>
      </c>
      <c r="F5" s="32"/>
      <c r="I5" s="32"/>
      <c r="J5" s="32"/>
    </row>
    <row r="6" spans="1:10" ht="15.75" customHeight="1">
      <c r="A6" s="34" t="s">
        <v>68</v>
      </c>
      <c r="B6" s="32">
        <v>-0.44069999999999998</v>
      </c>
      <c r="C6" s="32">
        <v>-0.88139999999999996</v>
      </c>
      <c r="D6" s="32">
        <v>-0.49690000000000001</v>
      </c>
      <c r="E6" s="32">
        <v>-0.99380000000000002</v>
      </c>
      <c r="F6" s="32"/>
      <c r="I6" s="32"/>
      <c r="J6" s="32"/>
    </row>
    <row r="7" spans="1:10" ht="15.75" customHeight="1">
      <c r="A7" s="34" t="s">
        <v>70</v>
      </c>
      <c r="B7" s="32">
        <v>-0.46610000000000001</v>
      </c>
      <c r="C7" s="32">
        <v>-0.93220000000000003</v>
      </c>
      <c r="D7" s="32">
        <v>-0.59360000000000002</v>
      </c>
      <c r="E7" s="32">
        <v>-1.1872</v>
      </c>
      <c r="F7" s="32"/>
      <c r="I7" s="32"/>
      <c r="J7" s="32"/>
    </row>
    <row r="8" spans="1:10" ht="15.75" customHeight="1">
      <c r="A8" s="34" t="s">
        <v>72</v>
      </c>
      <c r="B8" s="32">
        <v>-0.43</v>
      </c>
      <c r="C8" s="32">
        <v>-0.86</v>
      </c>
      <c r="D8" s="32">
        <v>-0.42849999999999999</v>
      </c>
      <c r="E8" s="32">
        <v>-0.85699999999999998</v>
      </c>
      <c r="F8" s="32"/>
      <c r="I8" s="32"/>
      <c r="J8" s="32"/>
    </row>
    <row r="9" spans="1:10" ht="15.75" customHeight="1">
      <c r="A9" s="34" t="s">
        <v>76</v>
      </c>
      <c r="B9" s="32">
        <v>-0.38490000000000002</v>
      </c>
      <c r="C9" s="32">
        <v>-0.76980000000000004</v>
      </c>
      <c r="D9" s="32">
        <v>-0.48830000000000001</v>
      </c>
      <c r="E9" s="32">
        <v>-0.97660000000000002</v>
      </c>
      <c r="F9" s="32"/>
      <c r="I9" s="32"/>
      <c r="J9" s="32"/>
    </row>
    <row r="10" spans="1:10" ht="15.75" customHeight="1">
      <c r="A10" s="34" t="s">
        <v>77</v>
      </c>
      <c r="B10" s="1">
        <v>-0.48180000000000001</v>
      </c>
      <c r="C10" s="32">
        <v>-0.96360000000000001</v>
      </c>
      <c r="D10" s="32">
        <v>-0.58560000000000001</v>
      </c>
      <c r="E10" s="32">
        <v>-1.1712</v>
      </c>
      <c r="F10" s="32"/>
      <c r="I10" s="32"/>
      <c r="J10" s="32"/>
    </row>
    <row r="11" spans="1:10" ht="15.75" customHeight="1">
      <c r="A11" s="34" t="s">
        <v>80</v>
      </c>
      <c r="B11" s="32">
        <v>-0.4738</v>
      </c>
      <c r="C11" s="32">
        <v>-0.9476</v>
      </c>
      <c r="D11" s="32">
        <v>-0.6109</v>
      </c>
      <c r="E11" s="32">
        <v>-1.2218</v>
      </c>
      <c r="F11" s="32"/>
      <c r="I11" s="32"/>
      <c r="J11" s="32"/>
    </row>
    <row r="12" spans="1:10" ht="15.75" customHeight="1">
      <c r="A12" s="32"/>
      <c r="B12" s="32" t="s">
        <v>614</v>
      </c>
      <c r="C12" s="32"/>
      <c r="D12" s="32"/>
      <c r="E12" s="32" t="s">
        <v>615</v>
      </c>
      <c r="F12" s="32"/>
      <c r="I12" s="32"/>
      <c r="J12" s="32"/>
    </row>
    <row r="13" spans="1:10" ht="15.75" customHeight="1">
      <c r="A13" s="32"/>
      <c r="B13" s="32" t="s">
        <v>613</v>
      </c>
      <c r="C13" s="32"/>
      <c r="D13" s="32" t="s">
        <v>613</v>
      </c>
      <c r="E13" s="32"/>
      <c r="F13" s="32"/>
      <c r="I13" s="32"/>
      <c r="J13" s="32"/>
    </row>
    <row r="14" spans="1:10" ht="15.75" customHeight="1">
      <c r="A14" s="32"/>
      <c r="B14" s="32" t="s">
        <v>610</v>
      </c>
      <c r="C14" s="32" t="s">
        <v>611</v>
      </c>
      <c r="D14" s="32" t="s">
        <v>610</v>
      </c>
      <c r="E14" s="32" t="s">
        <v>611</v>
      </c>
      <c r="F14" s="32"/>
      <c r="I14" s="32"/>
      <c r="J14" s="32"/>
    </row>
    <row r="15" spans="1:10" ht="15.75" customHeight="1">
      <c r="A15" s="34" t="s">
        <v>41</v>
      </c>
      <c r="B15" s="32">
        <f t="shared" ref="B15:E22" si="0">ABS(B4)</f>
        <v>0.3327</v>
      </c>
      <c r="C15" s="32">
        <f t="shared" si="0"/>
        <v>0.66539999999999999</v>
      </c>
      <c r="D15" s="32">
        <f t="shared" si="0"/>
        <v>0.45050000000000001</v>
      </c>
      <c r="E15" s="32">
        <f t="shared" si="0"/>
        <v>0.90100000000000002</v>
      </c>
      <c r="F15" s="32"/>
      <c r="I15" s="32"/>
      <c r="J15" s="32"/>
    </row>
    <row r="16" spans="1:10" ht="15.75" customHeight="1">
      <c r="A16" s="34" t="s">
        <v>65</v>
      </c>
      <c r="B16" s="32">
        <f t="shared" si="0"/>
        <v>0.33389999999999997</v>
      </c>
      <c r="C16" s="32">
        <f t="shared" si="0"/>
        <v>0.66779999999999995</v>
      </c>
      <c r="D16" s="32">
        <f t="shared" si="0"/>
        <v>0.42109999999999997</v>
      </c>
      <c r="E16" s="32">
        <f t="shared" si="0"/>
        <v>0.84219999999999995</v>
      </c>
      <c r="F16" s="32"/>
      <c r="G16" s="32"/>
      <c r="H16" s="32"/>
      <c r="I16" s="32"/>
      <c r="J16" s="32"/>
    </row>
    <row r="17" spans="1:10" ht="15.75" customHeight="1">
      <c r="A17" s="34" t="s">
        <v>68</v>
      </c>
      <c r="B17" s="32">
        <f t="shared" si="0"/>
        <v>0.44069999999999998</v>
      </c>
      <c r="C17" s="32">
        <f t="shared" si="0"/>
        <v>0.88139999999999996</v>
      </c>
      <c r="D17" s="32">
        <f t="shared" si="0"/>
        <v>0.49690000000000001</v>
      </c>
      <c r="E17" s="32">
        <f t="shared" si="0"/>
        <v>0.99380000000000002</v>
      </c>
      <c r="F17" s="32"/>
      <c r="G17" s="32"/>
      <c r="H17" s="32"/>
      <c r="I17" s="32"/>
      <c r="J17" s="32"/>
    </row>
    <row r="18" spans="1:10" ht="15.75" customHeight="1">
      <c r="A18" s="34" t="s">
        <v>70</v>
      </c>
      <c r="B18" s="32">
        <f t="shared" si="0"/>
        <v>0.46610000000000001</v>
      </c>
      <c r="C18" s="32">
        <f t="shared" si="0"/>
        <v>0.93220000000000003</v>
      </c>
      <c r="D18" s="32">
        <f t="shared" si="0"/>
        <v>0.59360000000000002</v>
      </c>
      <c r="E18" s="32">
        <f t="shared" si="0"/>
        <v>1.1872</v>
      </c>
      <c r="F18" s="32"/>
      <c r="G18" s="32"/>
      <c r="H18" s="32"/>
      <c r="I18" s="32"/>
      <c r="J18" s="32"/>
    </row>
    <row r="19" spans="1:10" ht="15.75" customHeight="1">
      <c r="A19" s="34" t="s">
        <v>72</v>
      </c>
      <c r="B19" s="32">
        <f t="shared" si="0"/>
        <v>0.43</v>
      </c>
      <c r="C19" s="32">
        <f t="shared" si="0"/>
        <v>0.86</v>
      </c>
      <c r="D19" s="32">
        <f t="shared" si="0"/>
        <v>0.42849999999999999</v>
      </c>
      <c r="E19" s="32">
        <f t="shared" si="0"/>
        <v>0.85699999999999998</v>
      </c>
      <c r="F19" s="32"/>
      <c r="G19" s="32"/>
      <c r="H19" s="32"/>
      <c r="I19" s="32"/>
      <c r="J19" s="32"/>
    </row>
    <row r="20" spans="1:10" ht="15.75" customHeight="1">
      <c r="A20" s="34" t="s">
        <v>76</v>
      </c>
      <c r="B20" s="32">
        <f t="shared" si="0"/>
        <v>0.38490000000000002</v>
      </c>
      <c r="C20" s="32">
        <f t="shared" si="0"/>
        <v>0.76980000000000004</v>
      </c>
      <c r="D20" s="32">
        <f t="shared" si="0"/>
        <v>0.48830000000000001</v>
      </c>
      <c r="E20" s="32">
        <f t="shared" si="0"/>
        <v>0.97660000000000002</v>
      </c>
      <c r="F20" s="32"/>
      <c r="G20" s="32"/>
      <c r="H20" s="32"/>
      <c r="I20" s="32"/>
      <c r="J20" s="32"/>
    </row>
    <row r="21" spans="1:10" ht="15.75" customHeight="1">
      <c r="A21" s="34" t="s">
        <v>77</v>
      </c>
      <c r="B21" s="32">
        <f t="shared" si="0"/>
        <v>0.48180000000000001</v>
      </c>
      <c r="C21" s="32">
        <f t="shared" si="0"/>
        <v>0.96360000000000001</v>
      </c>
      <c r="D21" s="32">
        <f t="shared" si="0"/>
        <v>0.58560000000000001</v>
      </c>
      <c r="E21" s="32">
        <f t="shared" si="0"/>
        <v>1.1712</v>
      </c>
      <c r="F21" s="32"/>
      <c r="G21" s="32"/>
      <c r="H21" s="32"/>
      <c r="I21" s="32"/>
      <c r="J21" s="32"/>
    </row>
    <row r="22" spans="1:10" ht="15.75" customHeight="1">
      <c r="A22" s="34" t="s">
        <v>80</v>
      </c>
      <c r="B22" s="32">
        <f t="shared" si="0"/>
        <v>0.4738</v>
      </c>
      <c r="C22" s="32">
        <f t="shared" si="0"/>
        <v>0.9476</v>
      </c>
      <c r="D22" s="32">
        <f t="shared" si="0"/>
        <v>0.6109</v>
      </c>
      <c r="E22" s="32">
        <f t="shared" si="0"/>
        <v>1.2218</v>
      </c>
      <c r="F22" s="32"/>
      <c r="G22" s="32"/>
      <c r="H22" s="32"/>
      <c r="I22" s="32"/>
      <c r="J22" s="32"/>
    </row>
    <row r="23" spans="1:10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9598-E730-405E-AF12-E00A666E4720}">
  <sheetPr>
    <outlinePr summaryBelow="0" summaryRight="0"/>
  </sheetPr>
  <dimension ref="A1:J26"/>
  <sheetViews>
    <sheetView workbookViewId="0"/>
  </sheetViews>
  <sheetFormatPr defaultColWidth="12.6640625" defaultRowHeight="15.75" customHeight="1"/>
  <cols>
    <col min="1" max="16384" width="12.6640625" style="2"/>
  </cols>
  <sheetData>
    <row r="1" spans="1:10" ht="15.75" customHeight="1">
      <c r="A1" s="32" t="s">
        <v>606</v>
      </c>
      <c r="B1" s="32" t="s">
        <v>614</v>
      </c>
      <c r="C1" s="32"/>
      <c r="D1" s="32" t="s">
        <v>615</v>
      </c>
      <c r="F1" s="32"/>
      <c r="I1" s="32"/>
      <c r="J1" s="32"/>
    </row>
    <row r="2" spans="1:10" ht="15.75" customHeight="1">
      <c r="A2" s="32"/>
      <c r="B2" s="32" t="s">
        <v>609</v>
      </c>
      <c r="C2" s="32"/>
      <c r="D2" s="32" t="s">
        <v>609</v>
      </c>
      <c r="E2" s="32"/>
      <c r="F2" s="32"/>
      <c r="I2" s="32"/>
      <c r="J2" s="32"/>
    </row>
    <row r="3" spans="1:10" ht="15.75" customHeight="1">
      <c r="A3" s="32"/>
      <c r="B3" s="32" t="s">
        <v>610</v>
      </c>
      <c r="C3" s="32" t="s">
        <v>611</v>
      </c>
      <c r="D3" s="32" t="s">
        <v>610</v>
      </c>
      <c r="E3" s="32" t="s">
        <v>611</v>
      </c>
      <c r="F3" s="32"/>
      <c r="I3" s="32"/>
      <c r="J3" s="32"/>
    </row>
    <row r="4" spans="1:10" ht="15.75" customHeight="1">
      <c r="A4" s="34" t="s">
        <v>41</v>
      </c>
      <c r="B4" s="32">
        <v>-0.33339999999999997</v>
      </c>
      <c r="C4" s="32">
        <v>-0.66679999999999995</v>
      </c>
      <c r="D4" s="32">
        <v>-0.34420000000000001</v>
      </c>
      <c r="E4" s="32">
        <v>-0.68840000000000001</v>
      </c>
      <c r="F4" s="32"/>
      <c r="I4" s="32"/>
      <c r="J4" s="32"/>
    </row>
    <row r="5" spans="1:10" ht="15.75" customHeight="1">
      <c r="A5" s="34" t="s">
        <v>65</v>
      </c>
      <c r="B5" s="32">
        <v>-0.3493</v>
      </c>
      <c r="C5" s="32">
        <v>-0.6986</v>
      </c>
      <c r="D5" s="1">
        <v>-0.3745</v>
      </c>
      <c r="E5" s="32">
        <v>-0.749</v>
      </c>
      <c r="F5" s="32"/>
      <c r="I5" s="32"/>
      <c r="J5" s="32"/>
    </row>
    <row r="6" spans="1:10" ht="15.75" customHeight="1">
      <c r="A6" s="34" t="s">
        <v>68</v>
      </c>
      <c r="B6" s="32">
        <v>-0.4395</v>
      </c>
      <c r="C6" s="32">
        <v>-0.879</v>
      </c>
      <c r="D6" s="32">
        <v>-0.49049999999999999</v>
      </c>
      <c r="E6" s="32">
        <v>-0.98099999999999998</v>
      </c>
      <c r="F6" s="32"/>
      <c r="I6" s="32"/>
      <c r="J6" s="32"/>
    </row>
    <row r="7" spans="1:10" ht="15.75" customHeight="1">
      <c r="A7" s="34" t="s">
        <v>70</v>
      </c>
      <c r="B7" s="32">
        <v>-0.45650000000000002</v>
      </c>
      <c r="C7" s="32">
        <v>-0.91300000000000003</v>
      </c>
      <c r="D7" s="32">
        <v>-0.57769999999999999</v>
      </c>
      <c r="E7" s="32">
        <v>-1.1554</v>
      </c>
      <c r="F7" s="32"/>
      <c r="I7" s="32"/>
      <c r="J7" s="32"/>
    </row>
    <row r="8" spans="1:10" ht="15.75" customHeight="1">
      <c r="A8" s="34" t="s">
        <v>72</v>
      </c>
      <c r="B8" s="32">
        <v>-0.43909999999999999</v>
      </c>
      <c r="C8" s="32">
        <v>-0.87819999999999998</v>
      </c>
      <c r="D8" s="32">
        <v>-0.43909999999999999</v>
      </c>
      <c r="E8" s="32">
        <v>-0.87819999999999998</v>
      </c>
      <c r="F8" s="32"/>
      <c r="I8" s="32"/>
      <c r="J8" s="32"/>
    </row>
    <row r="9" spans="1:10" ht="15.75" customHeight="1">
      <c r="A9" s="34" t="s">
        <v>76</v>
      </c>
      <c r="B9" s="32">
        <v>-0.38090000000000002</v>
      </c>
      <c r="C9" s="32">
        <v>-0.76180000000000003</v>
      </c>
      <c r="D9" s="32">
        <v>-0.42599999999999999</v>
      </c>
      <c r="E9" s="32">
        <v>-0.85199999999999998</v>
      </c>
      <c r="F9" s="32"/>
      <c r="I9" s="32"/>
      <c r="J9" s="32"/>
    </row>
    <row r="10" spans="1:10" ht="15.75" customHeight="1">
      <c r="A10" s="34" t="s">
        <v>77</v>
      </c>
      <c r="B10" s="1">
        <v>-0.4788</v>
      </c>
      <c r="C10" s="32">
        <v>-0.95760000000000001</v>
      </c>
      <c r="D10" s="32">
        <v>-0.57650000000000001</v>
      </c>
      <c r="E10" s="32">
        <v>-1.153</v>
      </c>
      <c r="F10" s="32"/>
      <c r="I10" s="32"/>
      <c r="J10" s="32"/>
    </row>
    <row r="11" spans="1:10" ht="15.75" customHeight="1">
      <c r="A11" s="34" t="s">
        <v>80</v>
      </c>
      <c r="B11" s="32">
        <v>-0.47360000000000002</v>
      </c>
      <c r="C11" s="32">
        <v>-0.94720000000000004</v>
      </c>
      <c r="D11" s="32">
        <v>-0.60529999999999995</v>
      </c>
      <c r="E11" s="32">
        <v>-1.2105999999999999</v>
      </c>
      <c r="F11" s="32"/>
      <c r="I11" s="32"/>
      <c r="J11" s="32"/>
    </row>
    <row r="12" spans="1:10" ht="15.75" customHeight="1">
      <c r="A12" s="32"/>
      <c r="B12" s="32" t="s">
        <v>614</v>
      </c>
      <c r="C12" s="32"/>
      <c r="D12" s="32" t="s">
        <v>615</v>
      </c>
      <c r="F12" s="32"/>
      <c r="I12" s="32"/>
      <c r="J12" s="32"/>
    </row>
    <row r="13" spans="1:10" ht="15.75" customHeight="1">
      <c r="A13" s="32"/>
      <c r="B13" s="32" t="s">
        <v>613</v>
      </c>
      <c r="C13" s="32"/>
      <c r="D13" s="32" t="s">
        <v>613</v>
      </c>
      <c r="E13" s="32"/>
      <c r="F13" s="32"/>
      <c r="I13" s="32"/>
      <c r="J13" s="32"/>
    </row>
    <row r="14" spans="1:10" ht="15.75" customHeight="1">
      <c r="A14" s="32"/>
      <c r="B14" s="32" t="s">
        <v>610</v>
      </c>
      <c r="C14" s="32" t="s">
        <v>611</v>
      </c>
      <c r="D14" s="32" t="s">
        <v>610</v>
      </c>
      <c r="E14" s="32" t="s">
        <v>611</v>
      </c>
      <c r="F14" s="32"/>
      <c r="I14" s="32"/>
      <c r="J14" s="32"/>
    </row>
    <row r="15" spans="1:10" ht="15.75" customHeight="1">
      <c r="A15" s="34" t="s">
        <v>41</v>
      </c>
      <c r="B15" s="32">
        <f t="shared" ref="B15:E22" si="0">ABS(B4)</f>
        <v>0.33339999999999997</v>
      </c>
      <c r="C15" s="32">
        <f t="shared" si="0"/>
        <v>0.66679999999999995</v>
      </c>
      <c r="D15" s="32">
        <f t="shared" si="0"/>
        <v>0.34420000000000001</v>
      </c>
      <c r="E15" s="32">
        <f t="shared" si="0"/>
        <v>0.68840000000000001</v>
      </c>
      <c r="F15" s="32"/>
      <c r="I15" s="32"/>
      <c r="J15" s="32"/>
    </row>
    <row r="16" spans="1:10" ht="15.75" customHeight="1">
      <c r="A16" s="34" t="s">
        <v>65</v>
      </c>
      <c r="B16" s="32">
        <f t="shared" si="0"/>
        <v>0.3493</v>
      </c>
      <c r="C16" s="32">
        <f t="shared" si="0"/>
        <v>0.6986</v>
      </c>
      <c r="D16" s="32">
        <f t="shared" si="0"/>
        <v>0.3745</v>
      </c>
      <c r="E16" s="32">
        <f t="shared" si="0"/>
        <v>0.749</v>
      </c>
      <c r="F16" s="32"/>
      <c r="G16" s="32"/>
      <c r="H16" s="32"/>
      <c r="I16" s="32"/>
      <c r="J16" s="32"/>
    </row>
    <row r="17" spans="1:10" ht="15.75" customHeight="1">
      <c r="A17" s="34" t="s">
        <v>68</v>
      </c>
      <c r="B17" s="32">
        <f t="shared" si="0"/>
        <v>0.4395</v>
      </c>
      <c r="C17" s="32">
        <f t="shared" si="0"/>
        <v>0.879</v>
      </c>
      <c r="D17" s="32">
        <f t="shared" si="0"/>
        <v>0.49049999999999999</v>
      </c>
      <c r="E17" s="32">
        <f t="shared" si="0"/>
        <v>0.98099999999999998</v>
      </c>
      <c r="F17" s="32"/>
      <c r="G17" s="32"/>
      <c r="H17" s="32"/>
      <c r="I17" s="32"/>
      <c r="J17" s="32"/>
    </row>
    <row r="18" spans="1:10" ht="15.75" customHeight="1">
      <c r="A18" s="34" t="s">
        <v>70</v>
      </c>
      <c r="B18" s="32">
        <f t="shared" si="0"/>
        <v>0.45650000000000002</v>
      </c>
      <c r="C18" s="32">
        <f t="shared" si="0"/>
        <v>0.91300000000000003</v>
      </c>
      <c r="D18" s="32">
        <f t="shared" si="0"/>
        <v>0.57769999999999999</v>
      </c>
      <c r="E18" s="32">
        <f t="shared" si="0"/>
        <v>1.1554</v>
      </c>
      <c r="F18" s="32"/>
      <c r="G18" s="32"/>
      <c r="H18" s="32"/>
      <c r="I18" s="32"/>
      <c r="J18" s="32"/>
    </row>
    <row r="19" spans="1:10" ht="15.75" customHeight="1">
      <c r="A19" s="34" t="s">
        <v>72</v>
      </c>
      <c r="B19" s="32">
        <f t="shared" si="0"/>
        <v>0.43909999999999999</v>
      </c>
      <c r="C19" s="32">
        <f t="shared" si="0"/>
        <v>0.87819999999999998</v>
      </c>
      <c r="D19" s="32">
        <f t="shared" si="0"/>
        <v>0.43909999999999999</v>
      </c>
      <c r="E19" s="32">
        <f t="shared" si="0"/>
        <v>0.87819999999999998</v>
      </c>
      <c r="F19" s="32"/>
      <c r="G19" s="32"/>
      <c r="H19" s="32"/>
      <c r="I19" s="32"/>
      <c r="J19" s="32"/>
    </row>
    <row r="20" spans="1:10" ht="15.75" customHeight="1">
      <c r="A20" s="34" t="s">
        <v>76</v>
      </c>
      <c r="B20" s="32">
        <f t="shared" si="0"/>
        <v>0.38090000000000002</v>
      </c>
      <c r="C20" s="32">
        <f t="shared" si="0"/>
        <v>0.76180000000000003</v>
      </c>
      <c r="D20" s="32">
        <f t="shared" si="0"/>
        <v>0.42599999999999999</v>
      </c>
      <c r="E20" s="32">
        <f t="shared" si="0"/>
        <v>0.85199999999999998</v>
      </c>
      <c r="F20" s="32"/>
      <c r="G20" s="32"/>
      <c r="H20" s="32"/>
      <c r="I20" s="32"/>
      <c r="J20" s="32"/>
    </row>
    <row r="21" spans="1:10" ht="15.75" customHeight="1">
      <c r="A21" s="34" t="s">
        <v>77</v>
      </c>
      <c r="B21" s="32">
        <f t="shared" si="0"/>
        <v>0.4788</v>
      </c>
      <c r="C21" s="32">
        <f t="shared" si="0"/>
        <v>0.95760000000000001</v>
      </c>
      <c r="D21" s="32">
        <f t="shared" si="0"/>
        <v>0.57650000000000001</v>
      </c>
      <c r="E21" s="32">
        <f t="shared" si="0"/>
        <v>1.153</v>
      </c>
      <c r="F21" s="32"/>
      <c r="G21" s="32"/>
      <c r="H21" s="32"/>
      <c r="I21" s="32"/>
      <c r="J21" s="32"/>
    </row>
    <row r="22" spans="1:10" ht="15.75" customHeight="1">
      <c r="A22" s="34" t="s">
        <v>80</v>
      </c>
      <c r="B22" s="32">
        <f t="shared" si="0"/>
        <v>0.47360000000000002</v>
      </c>
      <c r="C22" s="32">
        <f t="shared" si="0"/>
        <v>0.94720000000000004</v>
      </c>
      <c r="D22" s="32">
        <f t="shared" si="0"/>
        <v>0.60529999999999995</v>
      </c>
      <c r="E22" s="32">
        <f t="shared" si="0"/>
        <v>1.2105999999999999</v>
      </c>
      <c r="F22" s="32"/>
      <c r="G22" s="32"/>
      <c r="H22" s="32"/>
      <c r="I22" s="32"/>
      <c r="J22" s="32"/>
    </row>
    <row r="23" spans="1:10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29C7-F6F3-4AD0-9664-51B499A44741}">
  <sheetPr>
    <outlinePr summaryBelow="0" summaryRight="0"/>
  </sheetPr>
  <dimension ref="A1:J26"/>
  <sheetViews>
    <sheetView workbookViewId="0"/>
  </sheetViews>
  <sheetFormatPr defaultColWidth="12.6640625" defaultRowHeight="15.75" customHeight="1"/>
  <cols>
    <col min="1" max="16384" width="12.6640625" style="2"/>
  </cols>
  <sheetData>
    <row r="1" spans="1:10" ht="15.75" customHeight="1">
      <c r="A1" s="32" t="s">
        <v>606</v>
      </c>
      <c r="B1" s="32" t="s">
        <v>614</v>
      </c>
      <c r="C1" s="32"/>
      <c r="D1" s="32" t="s">
        <v>615</v>
      </c>
      <c r="E1" s="32"/>
      <c r="F1" s="32"/>
      <c r="I1" s="32"/>
      <c r="J1" s="32"/>
    </row>
    <row r="2" spans="1:10" ht="15.75" customHeight="1">
      <c r="A2" s="32"/>
      <c r="B2" s="32" t="s">
        <v>609</v>
      </c>
      <c r="C2" s="32"/>
      <c r="D2" s="32" t="s">
        <v>609</v>
      </c>
      <c r="E2" s="32"/>
      <c r="F2" s="32"/>
      <c r="I2" s="32"/>
      <c r="J2" s="32"/>
    </row>
    <row r="3" spans="1:10" ht="15.75" customHeight="1">
      <c r="A3" s="32"/>
      <c r="B3" s="32" t="s">
        <v>610</v>
      </c>
      <c r="C3" s="32" t="s">
        <v>611</v>
      </c>
      <c r="D3" s="32" t="s">
        <v>610</v>
      </c>
      <c r="E3" s="32" t="s">
        <v>611</v>
      </c>
      <c r="F3" s="32"/>
      <c r="I3" s="32"/>
      <c r="J3" s="32"/>
    </row>
    <row r="4" spans="1:10" ht="15.75" customHeight="1">
      <c r="A4" s="34" t="s">
        <v>41</v>
      </c>
      <c r="B4" s="32">
        <v>-0.33629999999999999</v>
      </c>
      <c r="C4" s="32">
        <v>-0.67259999999999998</v>
      </c>
      <c r="D4" s="32">
        <v>-0.38769999999999999</v>
      </c>
      <c r="E4" s="32">
        <v>-0.77539999999999998</v>
      </c>
      <c r="F4" s="32"/>
      <c r="I4" s="32"/>
      <c r="J4" s="32"/>
    </row>
    <row r="5" spans="1:10" ht="15.75" customHeight="1">
      <c r="A5" s="34" t="s">
        <v>65</v>
      </c>
      <c r="B5" s="32">
        <v>-0.34810000000000002</v>
      </c>
      <c r="C5" s="32">
        <v>-0.69620000000000004</v>
      </c>
      <c r="D5" s="1">
        <v>-0.39119999999999999</v>
      </c>
      <c r="E5" s="32">
        <v>-0.78239999999999998</v>
      </c>
      <c r="F5" s="32"/>
      <c r="I5" s="32"/>
      <c r="J5" s="32"/>
    </row>
    <row r="6" spans="1:10" ht="15.75" customHeight="1">
      <c r="A6" s="34" t="s">
        <v>68</v>
      </c>
      <c r="B6" s="32">
        <v>-0.44040000000000001</v>
      </c>
      <c r="C6" s="32">
        <v>-0.88080000000000003</v>
      </c>
      <c r="D6" s="32">
        <v>-0.50319999999999998</v>
      </c>
      <c r="E6" s="32">
        <v>-1.0064</v>
      </c>
      <c r="F6" s="32"/>
      <c r="I6" s="32"/>
      <c r="J6" s="32"/>
    </row>
    <row r="7" spans="1:10" ht="15.75" customHeight="1">
      <c r="A7" s="34" t="s">
        <v>70</v>
      </c>
      <c r="B7" s="32">
        <v>-0.4582</v>
      </c>
      <c r="C7" s="32">
        <v>-0.91639999999999999</v>
      </c>
      <c r="D7" s="32">
        <v>-0.58660000000000001</v>
      </c>
      <c r="E7" s="32">
        <v>-1.1732</v>
      </c>
      <c r="F7" s="32"/>
      <c r="I7" s="32"/>
      <c r="J7" s="32"/>
    </row>
    <row r="8" spans="1:10" ht="15.75" customHeight="1">
      <c r="A8" s="34" t="s">
        <v>72</v>
      </c>
      <c r="B8" s="32">
        <v>-0.43969999999999998</v>
      </c>
      <c r="C8" s="32">
        <v>-0.87939999999999996</v>
      </c>
      <c r="D8" s="32">
        <v>-0.436</v>
      </c>
      <c r="E8" s="32">
        <v>-0.872</v>
      </c>
      <c r="F8" s="32"/>
      <c r="I8" s="32"/>
      <c r="J8" s="32"/>
    </row>
    <row r="9" spans="1:10" ht="15.75" customHeight="1">
      <c r="A9" s="34" t="s">
        <v>76</v>
      </c>
      <c r="B9" s="32">
        <v>-0.38429999999999997</v>
      </c>
      <c r="C9" s="32">
        <v>-0.76859999999999995</v>
      </c>
      <c r="D9" s="32">
        <v>-0.44750000000000001</v>
      </c>
      <c r="E9" s="32">
        <v>-0.89500000000000002</v>
      </c>
      <c r="F9" s="32"/>
      <c r="I9" s="32"/>
      <c r="J9" s="32"/>
    </row>
    <row r="10" spans="1:10" ht="15.75" customHeight="1">
      <c r="A10" s="34" t="s">
        <v>77</v>
      </c>
      <c r="B10" s="1">
        <v>-0.47739999999999999</v>
      </c>
      <c r="C10" s="32">
        <v>-0.95479999999999998</v>
      </c>
      <c r="D10" s="32">
        <v>-0.58099999999999996</v>
      </c>
      <c r="E10" s="32">
        <v>-1.1619999999999999</v>
      </c>
      <c r="F10" s="32"/>
      <c r="I10" s="32"/>
      <c r="J10" s="32"/>
    </row>
    <row r="11" spans="1:10" ht="15.75" customHeight="1">
      <c r="A11" s="34" t="s">
        <v>80</v>
      </c>
      <c r="B11" s="32">
        <v>-0.47360000000000002</v>
      </c>
      <c r="C11" s="32">
        <v>-0.94720000000000004</v>
      </c>
      <c r="D11" s="32">
        <v>-0.61209999999999998</v>
      </c>
      <c r="E11" s="32">
        <v>-1.2242</v>
      </c>
      <c r="F11" s="32"/>
      <c r="I11" s="32"/>
      <c r="J11" s="32"/>
    </row>
    <row r="12" spans="1:10" ht="15.75" customHeight="1">
      <c r="A12" s="32"/>
      <c r="B12" s="32" t="s">
        <v>614</v>
      </c>
      <c r="C12" s="32"/>
      <c r="D12" s="32" t="s">
        <v>615</v>
      </c>
      <c r="E12" s="32"/>
      <c r="F12" s="32"/>
      <c r="I12" s="32"/>
      <c r="J12" s="32"/>
    </row>
    <row r="13" spans="1:10" ht="15.75" customHeight="1">
      <c r="A13" s="32"/>
      <c r="B13" s="32" t="s">
        <v>613</v>
      </c>
      <c r="C13" s="32"/>
      <c r="D13" s="32" t="s">
        <v>613</v>
      </c>
      <c r="E13" s="32"/>
      <c r="F13" s="32"/>
      <c r="I13" s="32"/>
      <c r="J13" s="32"/>
    </row>
    <row r="14" spans="1:10" ht="15.75" customHeight="1">
      <c r="A14" s="32"/>
      <c r="B14" s="32" t="s">
        <v>610</v>
      </c>
      <c r="C14" s="32" t="s">
        <v>611</v>
      </c>
      <c r="D14" s="32" t="s">
        <v>610</v>
      </c>
      <c r="E14" s="32" t="s">
        <v>611</v>
      </c>
      <c r="F14" s="32"/>
      <c r="I14" s="32"/>
      <c r="J14" s="32"/>
    </row>
    <row r="15" spans="1:10" ht="15.75" customHeight="1">
      <c r="A15" s="34" t="s">
        <v>41</v>
      </c>
      <c r="B15" s="32">
        <f t="shared" ref="B15:E22" si="0">ABS(B4)</f>
        <v>0.33629999999999999</v>
      </c>
      <c r="C15" s="32">
        <f t="shared" si="0"/>
        <v>0.67259999999999998</v>
      </c>
      <c r="D15" s="32">
        <f t="shared" si="0"/>
        <v>0.38769999999999999</v>
      </c>
      <c r="E15" s="32">
        <f t="shared" si="0"/>
        <v>0.77539999999999998</v>
      </c>
      <c r="F15" s="32"/>
      <c r="I15" s="32"/>
      <c r="J15" s="32"/>
    </row>
    <row r="16" spans="1:10" ht="15.75" customHeight="1">
      <c r="A16" s="34" t="s">
        <v>65</v>
      </c>
      <c r="B16" s="32">
        <f t="shared" si="0"/>
        <v>0.34810000000000002</v>
      </c>
      <c r="C16" s="32">
        <f t="shared" si="0"/>
        <v>0.69620000000000004</v>
      </c>
      <c r="D16" s="32">
        <f t="shared" si="0"/>
        <v>0.39119999999999999</v>
      </c>
      <c r="E16" s="32">
        <f t="shared" si="0"/>
        <v>0.78239999999999998</v>
      </c>
      <c r="F16" s="32"/>
      <c r="G16" s="32"/>
      <c r="H16" s="32"/>
      <c r="I16" s="32"/>
      <c r="J16" s="32"/>
    </row>
    <row r="17" spans="1:10" ht="15.75" customHeight="1">
      <c r="A17" s="34" t="s">
        <v>68</v>
      </c>
      <c r="B17" s="32">
        <f t="shared" si="0"/>
        <v>0.44040000000000001</v>
      </c>
      <c r="C17" s="32">
        <f t="shared" si="0"/>
        <v>0.88080000000000003</v>
      </c>
      <c r="D17" s="32">
        <f t="shared" si="0"/>
        <v>0.50319999999999998</v>
      </c>
      <c r="E17" s="32">
        <f t="shared" si="0"/>
        <v>1.0064</v>
      </c>
      <c r="F17" s="32"/>
      <c r="G17" s="32"/>
      <c r="H17" s="32"/>
      <c r="I17" s="32"/>
      <c r="J17" s="32"/>
    </row>
    <row r="18" spans="1:10" ht="15.75" customHeight="1">
      <c r="A18" s="34" t="s">
        <v>70</v>
      </c>
      <c r="B18" s="32">
        <f t="shared" si="0"/>
        <v>0.4582</v>
      </c>
      <c r="C18" s="32">
        <f t="shared" si="0"/>
        <v>0.91639999999999999</v>
      </c>
      <c r="D18" s="32">
        <f t="shared" si="0"/>
        <v>0.58660000000000001</v>
      </c>
      <c r="E18" s="32">
        <f t="shared" si="0"/>
        <v>1.1732</v>
      </c>
      <c r="F18" s="32"/>
      <c r="G18" s="32"/>
      <c r="H18" s="32"/>
      <c r="I18" s="32"/>
      <c r="J18" s="32"/>
    </row>
    <row r="19" spans="1:10" ht="15.75" customHeight="1">
      <c r="A19" s="34" t="s">
        <v>72</v>
      </c>
      <c r="B19" s="32">
        <f t="shared" si="0"/>
        <v>0.43969999999999998</v>
      </c>
      <c r="C19" s="32">
        <f t="shared" si="0"/>
        <v>0.87939999999999996</v>
      </c>
      <c r="D19" s="32">
        <f t="shared" si="0"/>
        <v>0.436</v>
      </c>
      <c r="E19" s="32">
        <f t="shared" si="0"/>
        <v>0.872</v>
      </c>
      <c r="F19" s="32"/>
      <c r="G19" s="32"/>
      <c r="H19" s="32"/>
      <c r="I19" s="32"/>
      <c r="J19" s="32"/>
    </row>
    <row r="20" spans="1:10" ht="15.75" customHeight="1">
      <c r="A20" s="34" t="s">
        <v>76</v>
      </c>
      <c r="B20" s="32">
        <f t="shared" si="0"/>
        <v>0.38429999999999997</v>
      </c>
      <c r="C20" s="32">
        <f t="shared" si="0"/>
        <v>0.76859999999999995</v>
      </c>
      <c r="D20" s="32">
        <f t="shared" si="0"/>
        <v>0.44750000000000001</v>
      </c>
      <c r="E20" s="32">
        <f t="shared" si="0"/>
        <v>0.89500000000000002</v>
      </c>
      <c r="F20" s="32"/>
      <c r="G20" s="32"/>
      <c r="H20" s="32"/>
      <c r="I20" s="32"/>
      <c r="J20" s="32"/>
    </row>
    <row r="21" spans="1:10" ht="15.75" customHeight="1">
      <c r="A21" s="34" t="s">
        <v>77</v>
      </c>
      <c r="B21" s="32">
        <f t="shared" si="0"/>
        <v>0.47739999999999999</v>
      </c>
      <c r="C21" s="32">
        <f t="shared" si="0"/>
        <v>0.95479999999999998</v>
      </c>
      <c r="D21" s="32">
        <f t="shared" si="0"/>
        <v>0.58099999999999996</v>
      </c>
      <c r="E21" s="32">
        <f t="shared" si="0"/>
        <v>1.1619999999999999</v>
      </c>
      <c r="F21" s="32"/>
      <c r="G21" s="32"/>
      <c r="H21" s="32"/>
      <c r="I21" s="32"/>
      <c r="J21" s="32"/>
    </row>
    <row r="22" spans="1:10" ht="15.75" customHeight="1">
      <c r="A22" s="34" t="s">
        <v>80</v>
      </c>
      <c r="B22" s="32">
        <f t="shared" si="0"/>
        <v>0.47360000000000002</v>
      </c>
      <c r="C22" s="32">
        <f t="shared" si="0"/>
        <v>0.94720000000000004</v>
      </c>
      <c r="D22" s="32">
        <f t="shared" si="0"/>
        <v>0.61209999999999998</v>
      </c>
      <c r="E22" s="32">
        <f t="shared" si="0"/>
        <v>1.2242</v>
      </c>
      <c r="F22" s="32"/>
      <c r="G22" s="32"/>
      <c r="H22" s="32"/>
      <c r="I22" s="32"/>
      <c r="J22" s="32"/>
    </row>
    <row r="23" spans="1:10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9B90-7233-479E-8E7F-0F8054854516}">
  <sheetPr>
    <outlinePr summaryBelow="0" summaryRight="0"/>
  </sheetPr>
  <dimension ref="A1:J26"/>
  <sheetViews>
    <sheetView workbookViewId="0"/>
  </sheetViews>
  <sheetFormatPr defaultColWidth="12.6640625" defaultRowHeight="15.75" customHeight="1"/>
  <cols>
    <col min="1" max="16384" width="12.6640625" style="2"/>
  </cols>
  <sheetData>
    <row r="1" spans="1:10" ht="15.75" customHeight="1">
      <c r="A1" s="32" t="s">
        <v>606</v>
      </c>
      <c r="B1" s="32" t="s">
        <v>614</v>
      </c>
      <c r="C1" s="32"/>
      <c r="D1" s="32" t="s">
        <v>615</v>
      </c>
      <c r="E1" s="32"/>
      <c r="F1" s="32"/>
      <c r="I1" s="32"/>
      <c r="J1" s="32"/>
    </row>
    <row r="2" spans="1:10" ht="15.75" customHeight="1">
      <c r="A2" s="32"/>
      <c r="B2" s="32" t="s">
        <v>609</v>
      </c>
      <c r="C2" s="32"/>
      <c r="D2" s="32" t="s">
        <v>609</v>
      </c>
      <c r="E2" s="32"/>
      <c r="F2" s="32"/>
      <c r="I2" s="32"/>
      <c r="J2" s="32"/>
    </row>
    <row r="3" spans="1:10" ht="15.75" customHeight="1">
      <c r="A3" s="32"/>
      <c r="B3" s="32" t="s">
        <v>610</v>
      </c>
      <c r="C3" s="32" t="s">
        <v>611</v>
      </c>
      <c r="D3" s="32" t="s">
        <v>610</v>
      </c>
      <c r="E3" s="32" t="s">
        <v>611</v>
      </c>
      <c r="F3" s="32"/>
      <c r="I3" s="32"/>
      <c r="J3" s="32"/>
    </row>
    <row r="4" spans="1:10" ht="15.75" customHeight="1">
      <c r="A4" s="34" t="s">
        <v>41</v>
      </c>
      <c r="B4" s="1">
        <v>-0.3342</v>
      </c>
      <c r="C4" s="1">
        <v>-0.66839999999999999</v>
      </c>
      <c r="D4" s="32">
        <v>-0.41170000000000001</v>
      </c>
      <c r="E4" s="32">
        <v>-0.82340000000000002</v>
      </c>
      <c r="F4" s="32"/>
      <c r="I4" s="32"/>
      <c r="J4" s="32"/>
    </row>
    <row r="5" spans="1:10" ht="15.75" customHeight="1">
      <c r="A5" s="34" t="s">
        <v>65</v>
      </c>
      <c r="B5" s="32">
        <v>-0.33450000000000002</v>
      </c>
      <c r="C5" s="32">
        <v>-0.66900000000000004</v>
      </c>
      <c r="D5" s="1">
        <v>-0.40770000000000001</v>
      </c>
      <c r="E5" s="32">
        <v>-0.81540000000000001</v>
      </c>
      <c r="F5" s="32"/>
      <c r="I5" s="32"/>
      <c r="J5" s="32"/>
    </row>
    <row r="6" spans="1:10" ht="15.75" customHeight="1">
      <c r="A6" s="34" t="s">
        <v>68</v>
      </c>
      <c r="B6" s="32">
        <v>-0.44080000000000003</v>
      </c>
      <c r="C6" s="32">
        <v>-0.88160000000000005</v>
      </c>
      <c r="D6" s="32">
        <v>-0.51190000000000002</v>
      </c>
      <c r="E6" s="32">
        <v>-1.0238</v>
      </c>
      <c r="F6" s="32"/>
      <c r="I6" s="32"/>
      <c r="J6" s="32"/>
    </row>
    <row r="7" spans="1:10" ht="15.75" customHeight="1">
      <c r="A7" s="34" t="s">
        <v>70</v>
      </c>
      <c r="B7" s="32">
        <v>-0.46339999999999998</v>
      </c>
      <c r="C7" s="32">
        <v>-0.92679999999999996</v>
      </c>
      <c r="D7" s="32">
        <v>-0.59760000000000002</v>
      </c>
      <c r="E7" s="32">
        <v>-1.1952</v>
      </c>
      <c r="F7" s="32"/>
      <c r="I7" s="32"/>
      <c r="J7" s="32"/>
    </row>
    <row r="8" spans="1:10" ht="15.75" customHeight="1">
      <c r="A8" s="34" t="s">
        <v>72</v>
      </c>
      <c r="B8" s="32">
        <v>-0.43090000000000001</v>
      </c>
      <c r="C8" s="32">
        <v>-0.86180000000000001</v>
      </c>
      <c r="D8" s="32">
        <v>-0.42620000000000002</v>
      </c>
      <c r="E8" s="32">
        <v>-0.85240000000000005</v>
      </c>
      <c r="F8" s="32"/>
      <c r="I8" s="32"/>
      <c r="J8" s="32"/>
    </row>
    <row r="9" spans="1:10" ht="15.75" customHeight="1">
      <c r="A9" s="34" t="s">
        <v>76</v>
      </c>
      <c r="B9" s="32">
        <v>-0.38569999999999999</v>
      </c>
      <c r="C9" s="32">
        <v>-0.77139999999999997</v>
      </c>
      <c r="D9" s="32">
        <v>-0.47910000000000003</v>
      </c>
      <c r="E9" s="32">
        <v>-0.95820000000000005</v>
      </c>
      <c r="F9" s="32"/>
      <c r="I9" s="32"/>
      <c r="J9" s="32"/>
    </row>
    <row r="10" spans="1:10" ht="15.75" customHeight="1">
      <c r="A10" s="34" t="s">
        <v>77</v>
      </c>
      <c r="B10" s="1">
        <v>-0.4758</v>
      </c>
      <c r="C10" s="32">
        <v>-0.9516</v>
      </c>
      <c r="D10" s="32">
        <v>-0.58760000000000001</v>
      </c>
      <c r="E10" s="32">
        <v>-1.1752</v>
      </c>
      <c r="F10" s="32"/>
      <c r="I10" s="32"/>
      <c r="J10" s="32"/>
    </row>
    <row r="11" spans="1:10" ht="15.75" customHeight="1">
      <c r="A11" s="34" t="s">
        <v>80</v>
      </c>
      <c r="B11" s="32">
        <v>-0.47289999999999999</v>
      </c>
      <c r="C11" s="32">
        <v>-0.94579999999999997</v>
      </c>
      <c r="D11" s="32">
        <v>-0.61639999999999995</v>
      </c>
      <c r="E11" s="32">
        <v>-1.2327999999999999</v>
      </c>
      <c r="F11" s="32"/>
      <c r="I11" s="32"/>
      <c r="J11" s="32"/>
    </row>
    <row r="12" spans="1:10" ht="15.75" customHeight="1">
      <c r="A12" s="32"/>
      <c r="B12" s="32" t="s">
        <v>614</v>
      </c>
      <c r="C12" s="32"/>
      <c r="D12" s="32" t="s">
        <v>615</v>
      </c>
      <c r="E12" s="32"/>
      <c r="F12" s="32"/>
      <c r="I12" s="32"/>
      <c r="J12" s="32"/>
    </row>
    <row r="13" spans="1:10" ht="15.75" customHeight="1">
      <c r="A13" s="32"/>
      <c r="B13" s="32" t="s">
        <v>613</v>
      </c>
      <c r="C13" s="32"/>
      <c r="D13" s="32" t="s">
        <v>613</v>
      </c>
      <c r="E13" s="32"/>
      <c r="F13" s="32"/>
      <c r="I13" s="32"/>
      <c r="J13" s="32"/>
    </row>
    <row r="14" spans="1:10" ht="15.75" customHeight="1">
      <c r="A14" s="32"/>
      <c r="B14" s="32" t="s">
        <v>610</v>
      </c>
      <c r="C14" s="32" t="s">
        <v>611</v>
      </c>
      <c r="D14" s="32" t="s">
        <v>610</v>
      </c>
      <c r="E14" s="32" t="s">
        <v>611</v>
      </c>
      <c r="F14" s="32"/>
      <c r="I14" s="32"/>
      <c r="J14" s="32"/>
    </row>
    <row r="15" spans="1:10" ht="15.75" customHeight="1">
      <c r="A15" s="34" t="s">
        <v>41</v>
      </c>
      <c r="B15" s="32">
        <f t="shared" ref="B15:E22" si="0">ABS(B4)</f>
        <v>0.3342</v>
      </c>
      <c r="C15" s="32">
        <f t="shared" si="0"/>
        <v>0.66839999999999999</v>
      </c>
      <c r="D15" s="32">
        <f t="shared" si="0"/>
        <v>0.41170000000000001</v>
      </c>
      <c r="E15" s="32">
        <f t="shared" si="0"/>
        <v>0.82340000000000002</v>
      </c>
      <c r="F15" s="32"/>
      <c r="I15" s="32"/>
      <c r="J15" s="32"/>
    </row>
    <row r="16" spans="1:10" ht="15.75" customHeight="1">
      <c r="A16" s="34" t="s">
        <v>65</v>
      </c>
      <c r="B16" s="32">
        <f t="shared" si="0"/>
        <v>0.33450000000000002</v>
      </c>
      <c r="C16" s="32">
        <f t="shared" si="0"/>
        <v>0.66900000000000004</v>
      </c>
      <c r="D16" s="32">
        <f t="shared" si="0"/>
        <v>0.40770000000000001</v>
      </c>
      <c r="E16" s="32">
        <f t="shared" si="0"/>
        <v>0.81540000000000001</v>
      </c>
      <c r="F16" s="32"/>
      <c r="G16" s="32"/>
      <c r="H16" s="32"/>
      <c r="I16" s="32"/>
      <c r="J16" s="32"/>
    </row>
    <row r="17" spans="1:10" ht="15.75" customHeight="1">
      <c r="A17" s="34" t="s">
        <v>68</v>
      </c>
      <c r="B17" s="32">
        <f t="shared" si="0"/>
        <v>0.44080000000000003</v>
      </c>
      <c r="C17" s="32">
        <f t="shared" si="0"/>
        <v>0.88160000000000005</v>
      </c>
      <c r="D17" s="32">
        <f t="shared" si="0"/>
        <v>0.51190000000000002</v>
      </c>
      <c r="E17" s="32">
        <f t="shared" si="0"/>
        <v>1.0238</v>
      </c>
      <c r="F17" s="32"/>
      <c r="G17" s="32"/>
      <c r="H17" s="32"/>
      <c r="I17" s="32"/>
      <c r="J17" s="32"/>
    </row>
    <row r="18" spans="1:10" ht="15.75" customHeight="1">
      <c r="A18" s="34" t="s">
        <v>70</v>
      </c>
      <c r="B18" s="32">
        <f t="shared" si="0"/>
        <v>0.46339999999999998</v>
      </c>
      <c r="C18" s="32">
        <f t="shared" si="0"/>
        <v>0.92679999999999996</v>
      </c>
      <c r="D18" s="32">
        <f t="shared" si="0"/>
        <v>0.59760000000000002</v>
      </c>
      <c r="E18" s="32">
        <f t="shared" si="0"/>
        <v>1.1952</v>
      </c>
      <c r="F18" s="32"/>
      <c r="G18" s="32"/>
      <c r="H18" s="32"/>
      <c r="I18" s="32"/>
      <c r="J18" s="32"/>
    </row>
    <row r="19" spans="1:10" ht="15.75" customHeight="1">
      <c r="A19" s="34" t="s">
        <v>72</v>
      </c>
      <c r="B19" s="32">
        <f t="shared" si="0"/>
        <v>0.43090000000000001</v>
      </c>
      <c r="C19" s="32">
        <f t="shared" si="0"/>
        <v>0.86180000000000001</v>
      </c>
      <c r="D19" s="32">
        <f t="shared" si="0"/>
        <v>0.42620000000000002</v>
      </c>
      <c r="E19" s="32">
        <f t="shared" si="0"/>
        <v>0.85240000000000005</v>
      </c>
      <c r="F19" s="32"/>
      <c r="G19" s="32"/>
      <c r="H19" s="32"/>
      <c r="I19" s="32"/>
      <c r="J19" s="32"/>
    </row>
    <row r="20" spans="1:10" ht="15.75" customHeight="1">
      <c r="A20" s="34" t="s">
        <v>76</v>
      </c>
      <c r="B20" s="32">
        <f t="shared" si="0"/>
        <v>0.38569999999999999</v>
      </c>
      <c r="C20" s="32">
        <f t="shared" si="0"/>
        <v>0.77139999999999997</v>
      </c>
      <c r="D20" s="32">
        <f t="shared" si="0"/>
        <v>0.47910000000000003</v>
      </c>
      <c r="E20" s="32">
        <f t="shared" si="0"/>
        <v>0.95820000000000005</v>
      </c>
      <c r="F20" s="32"/>
      <c r="G20" s="32"/>
      <c r="H20" s="32"/>
      <c r="I20" s="32"/>
      <c r="J20" s="32"/>
    </row>
    <row r="21" spans="1:10" ht="15.75" customHeight="1">
      <c r="A21" s="34" t="s">
        <v>77</v>
      </c>
      <c r="B21" s="32">
        <f t="shared" si="0"/>
        <v>0.4758</v>
      </c>
      <c r="C21" s="32">
        <f t="shared" si="0"/>
        <v>0.9516</v>
      </c>
      <c r="D21" s="32">
        <f t="shared" si="0"/>
        <v>0.58760000000000001</v>
      </c>
      <c r="E21" s="32">
        <f t="shared" si="0"/>
        <v>1.1752</v>
      </c>
      <c r="F21" s="32"/>
      <c r="G21" s="32"/>
      <c r="H21" s="32"/>
      <c r="I21" s="32"/>
      <c r="J21" s="32"/>
    </row>
    <row r="22" spans="1:10" ht="15.75" customHeight="1">
      <c r="A22" s="34" t="s">
        <v>80</v>
      </c>
      <c r="B22" s="32">
        <f t="shared" si="0"/>
        <v>0.47289999999999999</v>
      </c>
      <c r="C22" s="32">
        <f t="shared" si="0"/>
        <v>0.94579999999999997</v>
      </c>
      <c r="D22" s="32">
        <f t="shared" si="0"/>
        <v>0.61639999999999995</v>
      </c>
      <c r="E22" s="32">
        <f t="shared" si="0"/>
        <v>1.2327999999999999</v>
      </c>
      <c r="F22" s="32"/>
      <c r="G22" s="32"/>
      <c r="H22" s="32"/>
      <c r="I22" s="32"/>
      <c r="J22" s="32"/>
    </row>
    <row r="23" spans="1:10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D3DB-3D04-49D2-8AA4-A68BCBB94AB8}">
  <sheetPr>
    <outlinePr summaryBelow="0" summaryRight="0"/>
  </sheetPr>
  <dimension ref="A1:J26"/>
  <sheetViews>
    <sheetView workbookViewId="0"/>
  </sheetViews>
  <sheetFormatPr defaultColWidth="12.6640625" defaultRowHeight="15.75" customHeight="1"/>
  <cols>
    <col min="1" max="16384" width="12.6640625" style="2"/>
  </cols>
  <sheetData>
    <row r="1" spans="1:10" ht="15.75" customHeight="1">
      <c r="A1" s="32" t="s">
        <v>606</v>
      </c>
      <c r="B1" s="32" t="s">
        <v>614</v>
      </c>
      <c r="C1" s="32"/>
      <c r="D1" s="32" t="s">
        <v>615</v>
      </c>
      <c r="E1" s="32"/>
      <c r="F1" s="32"/>
      <c r="I1" s="32"/>
      <c r="J1" s="32"/>
    </row>
    <row r="2" spans="1:10" ht="15.75" customHeight="1">
      <c r="A2" s="32"/>
      <c r="B2" s="32" t="s">
        <v>609</v>
      </c>
      <c r="C2" s="32"/>
      <c r="D2" s="32" t="s">
        <v>609</v>
      </c>
      <c r="E2" s="32"/>
      <c r="F2" s="32"/>
      <c r="I2" s="32"/>
      <c r="J2" s="32"/>
    </row>
    <row r="3" spans="1:10" ht="15.75" customHeight="1">
      <c r="A3" s="32"/>
      <c r="B3" s="32" t="s">
        <v>610</v>
      </c>
      <c r="C3" s="32" t="s">
        <v>611</v>
      </c>
      <c r="D3" s="32" t="s">
        <v>610</v>
      </c>
      <c r="E3" s="32" t="s">
        <v>611</v>
      </c>
      <c r="F3" s="32"/>
      <c r="I3" s="32"/>
      <c r="J3" s="32"/>
    </row>
    <row r="4" spans="1:10" ht="15.75" customHeight="1">
      <c r="A4" s="34" t="s">
        <v>41</v>
      </c>
      <c r="B4" s="1">
        <v>-0.33210000000000001</v>
      </c>
      <c r="C4" s="1">
        <v>-0.66420000000000001</v>
      </c>
      <c r="D4" s="32">
        <v>-0.40860000000000002</v>
      </c>
      <c r="E4" s="32">
        <v>-0.81720000000000004</v>
      </c>
      <c r="F4" s="32"/>
      <c r="I4" s="32"/>
      <c r="J4" s="32"/>
    </row>
    <row r="5" spans="1:10" ht="15.75" customHeight="1">
      <c r="A5" s="34" t="s">
        <v>65</v>
      </c>
      <c r="B5" s="32">
        <v>-0.33700000000000002</v>
      </c>
      <c r="C5" s="32">
        <v>-0.67400000000000004</v>
      </c>
      <c r="D5" s="1">
        <v>-0.4516</v>
      </c>
      <c r="E5" s="32">
        <v>-0.9032</v>
      </c>
      <c r="F5" s="32"/>
      <c r="I5" s="32"/>
      <c r="J5" s="32"/>
    </row>
    <row r="6" spans="1:10" ht="15.75" customHeight="1">
      <c r="A6" s="34" t="s">
        <v>68</v>
      </c>
      <c r="B6" s="32">
        <v>-0.44159999999999999</v>
      </c>
      <c r="C6" s="32">
        <v>-0.88319999999999999</v>
      </c>
      <c r="D6" s="32">
        <v>-0.51280000000000003</v>
      </c>
      <c r="E6" s="32">
        <v>-1.0256000000000001</v>
      </c>
      <c r="F6" s="32"/>
      <c r="I6" s="32"/>
      <c r="J6" s="32"/>
    </row>
    <row r="7" spans="1:10" ht="15.75" customHeight="1">
      <c r="A7" s="34" t="s">
        <v>70</v>
      </c>
      <c r="B7" s="32">
        <v>-0.46970000000000001</v>
      </c>
      <c r="C7" s="32">
        <v>-0.93940000000000001</v>
      </c>
      <c r="D7" s="32">
        <v>-0.60429999999999995</v>
      </c>
      <c r="E7" s="32">
        <v>-1.2085999999999999</v>
      </c>
      <c r="F7" s="32"/>
      <c r="I7" s="32"/>
      <c r="J7" s="32"/>
    </row>
    <row r="8" spans="1:10" ht="15.75" customHeight="1">
      <c r="A8" s="34" t="s">
        <v>72</v>
      </c>
      <c r="B8" s="32">
        <v>-0.4224</v>
      </c>
      <c r="C8" s="32">
        <v>-0.8448</v>
      </c>
      <c r="D8" s="32">
        <v>-0.42120000000000002</v>
      </c>
      <c r="E8" s="32">
        <v>-0.84240000000000004</v>
      </c>
      <c r="F8" s="32"/>
      <c r="I8" s="32"/>
      <c r="J8" s="32"/>
    </row>
    <row r="9" spans="1:10" ht="15.75" customHeight="1">
      <c r="A9" s="34" t="s">
        <v>76</v>
      </c>
      <c r="B9" s="32">
        <v>-0.38690000000000002</v>
      </c>
      <c r="C9" s="32">
        <v>-0.77380000000000004</v>
      </c>
      <c r="D9" s="32">
        <v>-0.5867</v>
      </c>
      <c r="E9" s="32">
        <v>-1.1734</v>
      </c>
      <c r="F9" s="32"/>
      <c r="I9" s="32"/>
      <c r="J9" s="32"/>
    </row>
    <row r="10" spans="1:10" ht="15.75" customHeight="1">
      <c r="A10" s="34" t="s">
        <v>77</v>
      </c>
      <c r="B10" s="1">
        <v>-0.48409999999999997</v>
      </c>
      <c r="C10" s="32">
        <v>-0.96819999999999995</v>
      </c>
      <c r="D10" s="32">
        <v>-0.59279999999999999</v>
      </c>
      <c r="E10" s="32">
        <v>-1.1856</v>
      </c>
      <c r="F10" s="32"/>
      <c r="I10" s="32"/>
      <c r="J10" s="32"/>
    </row>
    <row r="11" spans="1:10" ht="15.75" customHeight="1">
      <c r="A11" s="34" t="s">
        <v>80</v>
      </c>
      <c r="B11" s="32">
        <v>-0.47460000000000002</v>
      </c>
      <c r="C11" s="32">
        <v>-0.94920000000000004</v>
      </c>
      <c r="D11" s="32">
        <v>-0.61699999999999999</v>
      </c>
      <c r="E11" s="32">
        <v>-1.234</v>
      </c>
      <c r="F11" s="32"/>
      <c r="I11" s="32"/>
      <c r="J11" s="32"/>
    </row>
    <row r="12" spans="1:10" ht="15.75" customHeight="1">
      <c r="A12" s="32"/>
      <c r="B12" s="32" t="s">
        <v>614</v>
      </c>
      <c r="C12" s="32"/>
      <c r="D12" s="32" t="s">
        <v>615</v>
      </c>
      <c r="E12" s="32"/>
      <c r="F12" s="32"/>
      <c r="I12" s="32"/>
      <c r="J12" s="32"/>
    </row>
    <row r="13" spans="1:10" ht="15.75" customHeight="1">
      <c r="A13" s="32"/>
      <c r="B13" s="32" t="s">
        <v>613</v>
      </c>
      <c r="C13" s="32"/>
      <c r="D13" s="32" t="s">
        <v>613</v>
      </c>
      <c r="E13" s="32"/>
      <c r="F13" s="32"/>
      <c r="I13" s="32"/>
      <c r="J13" s="32"/>
    </row>
    <row r="14" spans="1:10" ht="15.75" customHeight="1">
      <c r="A14" s="32"/>
      <c r="B14" s="32" t="s">
        <v>610</v>
      </c>
      <c r="C14" s="32" t="s">
        <v>611</v>
      </c>
      <c r="D14" s="32" t="s">
        <v>610</v>
      </c>
      <c r="E14" s="32" t="s">
        <v>611</v>
      </c>
      <c r="F14" s="32"/>
      <c r="I14" s="32"/>
      <c r="J14" s="32"/>
    </row>
    <row r="15" spans="1:10" ht="15.75" customHeight="1">
      <c r="A15" s="34" t="s">
        <v>41</v>
      </c>
      <c r="B15" s="32">
        <f t="shared" ref="B15:E22" si="0">ABS(B4)</f>
        <v>0.33210000000000001</v>
      </c>
      <c r="C15" s="32">
        <f t="shared" si="0"/>
        <v>0.66420000000000001</v>
      </c>
      <c r="D15" s="32">
        <f t="shared" si="0"/>
        <v>0.40860000000000002</v>
      </c>
      <c r="E15" s="32">
        <f t="shared" si="0"/>
        <v>0.81720000000000004</v>
      </c>
      <c r="F15" s="32"/>
      <c r="I15" s="32"/>
      <c r="J15" s="32"/>
    </row>
    <row r="16" spans="1:10" ht="15.75" customHeight="1">
      <c r="A16" s="34" t="s">
        <v>65</v>
      </c>
      <c r="B16" s="32">
        <f t="shared" si="0"/>
        <v>0.33700000000000002</v>
      </c>
      <c r="C16" s="32">
        <f t="shared" si="0"/>
        <v>0.67400000000000004</v>
      </c>
      <c r="D16" s="32">
        <f t="shared" si="0"/>
        <v>0.4516</v>
      </c>
      <c r="E16" s="32">
        <f t="shared" si="0"/>
        <v>0.9032</v>
      </c>
      <c r="F16" s="32"/>
      <c r="G16" s="32"/>
      <c r="H16" s="32"/>
      <c r="I16" s="32"/>
      <c r="J16" s="32"/>
    </row>
    <row r="17" spans="1:10" ht="15.75" customHeight="1">
      <c r="A17" s="34" t="s">
        <v>68</v>
      </c>
      <c r="B17" s="32">
        <f t="shared" si="0"/>
        <v>0.44159999999999999</v>
      </c>
      <c r="C17" s="32">
        <f t="shared" si="0"/>
        <v>0.88319999999999999</v>
      </c>
      <c r="D17" s="32">
        <f t="shared" si="0"/>
        <v>0.51280000000000003</v>
      </c>
      <c r="E17" s="32">
        <f t="shared" si="0"/>
        <v>1.0256000000000001</v>
      </c>
      <c r="F17" s="32"/>
      <c r="G17" s="32"/>
      <c r="H17" s="32"/>
      <c r="I17" s="32"/>
      <c r="J17" s="32"/>
    </row>
    <row r="18" spans="1:10" ht="15.75" customHeight="1">
      <c r="A18" s="34" t="s">
        <v>70</v>
      </c>
      <c r="B18" s="32">
        <f t="shared" si="0"/>
        <v>0.46970000000000001</v>
      </c>
      <c r="C18" s="32">
        <f t="shared" si="0"/>
        <v>0.93940000000000001</v>
      </c>
      <c r="D18" s="32">
        <f t="shared" si="0"/>
        <v>0.60429999999999995</v>
      </c>
      <c r="E18" s="32">
        <f t="shared" si="0"/>
        <v>1.2085999999999999</v>
      </c>
      <c r="F18" s="32"/>
      <c r="G18" s="32"/>
      <c r="H18" s="32"/>
      <c r="I18" s="32"/>
      <c r="J18" s="32"/>
    </row>
    <row r="19" spans="1:10" ht="15.75" customHeight="1">
      <c r="A19" s="34" t="s">
        <v>72</v>
      </c>
      <c r="B19" s="32">
        <f t="shared" si="0"/>
        <v>0.4224</v>
      </c>
      <c r="C19" s="32">
        <f t="shared" si="0"/>
        <v>0.8448</v>
      </c>
      <c r="D19" s="32">
        <f t="shared" si="0"/>
        <v>0.42120000000000002</v>
      </c>
      <c r="E19" s="32">
        <f t="shared" si="0"/>
        <v>0.84240000000000004</v>
      </c>
      <c r="F19" s="32"/>
      <c r="G19" s="32"/>
      <c r="H19" s="32"/>
      <c r="I19" s="32"/>
      <c r="J19" s="32"/>
    </row>
    <row r="20" spans="1:10" ht="15.75" customHeight="1">
      <c r="A20" s="34" t="s">
        <v>76</v>
      </c>
      <c r="B20" s="32">
        <f t="shared" si="0"/>
        <v>0.38690000000000002</v>
      </c>
      <c r="C20" s="32">
        <f t="shared" si="0"/>
        <v>0.77380000000000004</v>
      </c>
      <c r="D20" s="32">
        <f t="shared" si="0"/>
        <v>0.5867</v>
      </c>
      <c r="E20" s="32">
        <f t="shared" si="0"/>
        <v>1.1734</v>
      </c>
      <c r="F20" s="32"/>
      <c r="G20" s="32"/>
      <c r="H20" s="32"/>
      <c r="I20" s="32"/>
      <c r="J20" s="32"/>
    </row>
    <row r="21" spans="1:10" ht="15.75" customHeight="1">
      <c r="A21" s="34" t="s">
        <v>77</v>
      </c>
      <c r="B21" s="32">
        <f t="shared" si="0"/>
        <v>0.48409999999999997</v>
      </c>
      <c r="C21" s="32">
        <f t="shared" si="0"/>
        <v>0.96819999999999995</v>
      </c>
      <c r="D21" s="32">
        <f t="shared" si="0"/>
        <v>0.59279999999999999</v>
      </c>
      <c r="E21" s="32">
        <f t="shared" si="0"/>
        <v>1.1856</v>
      </c>
      <c r="F21" s="32"/>
      <c r="G21" s="32"/>
      <c r="H21" s="32"/>
      <c r="I21" s="32"/>
      <c r="J21" s="32"/>
    </row>
    <row r="22" spans="1:10" ht="15.75" customHeight="1">
      <c r="A22" s="34" t="s">
        <v>80</v>
      </c>
      <c r="B22" s="32">
        <f t="shared" si="0"/>
        <v>0.47460000000000002</v>
      </c>
      <c r="C22" s="32">
        <f t="shared" si="0"/>
        <v>0.94920000000000004</v>
      </c>
      <c r="D22" s="32">
        <f t="shared" si="0"/>
        <v>0.61699999999999999</v>
      </c>
      <c r="E22" s="32">
        <f t="shared" si="0"/>
        <v>1.234</v>
      </c>
      <c r="F22" s="32"/>
      <c r="G22" s="32"/>
      <c r="H22" s="32"/>
      <c r="I22" s="32"/>
      <c r="J22" s="32"/>
    </row>
    <row r="23" spans="1:10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91D5-EA52-4149-899C-EB7789714829}">
  <sheetPr>
    <outlinePr summaryBelow="0" summaryRight="0"/>
  </sheetPr>
  <dimension ref="A1:L90"/>
  <sheetViews>
    <sheetView workbookViewId="0"/>
  </sheetViews>
  <sheetFormatPr defaultColWidth="12.6640625" defaultRowHeight="15.75" customHeight="1"/>
  <cols>
    <col min="1" max="16384" width="12.6640625" style="2"/>
  </cols>
  <sheetData>
    <row r="1" spans="1:12" ht="15.75" customHeight="1">
      <c r="A1" s="32" t="s">
        <v>606</v>
      </c>
      <c r="B1" s="32" t="s">
        <v>614</v>
      </c>
      <c r="C1" s="151"/>
      <c r="D1" s="32" t="s">
        <v>615</v>
      </c>
      <c r="E1" s="32"/>
      <c r="I1" s="1" t="s">
        <v>607</v>
      </c>
      <c r="K1" s="1" t="s">
        <v>608</v>
      </c>
    </row>
    <row r="2" spans="1:12" ht="15.75" customHeight="1">
      <c r="A2" s="32"/>
      <c r="B2" s="32" t="s">
        <v>613</v>
      </c>
      <c r="C2" s="151"/>
      <c r="D2" s="32" t="s">
        <v>613</v>
      </c>
      <c r="E2" s="32"/>
      <c r="I2" s="1" t="s">
        <v>610</v>
      </c>
      <c r="J2" s="1" t="s">
        <v>611</v>
      </c>
      <c r="K2" s="1" t="s">
        <v>610</v>
      </c>
      <c r="L2" s="1" t="s">
        <v>611</v>
      </c>
    </row>
    <row r="3" spans="1:12" ht="15.75" customHeight="1">
      <c r="A3" s="32"/>
      <c r="B3" s="32" t="s">
        <v>610</v>
      </c>
      <c r="C3" s="151" t="s">
        <v>611</v>
      </c>
      <c r="D3" s="32" t="s">
        <v>610</v>
      </c>
      <c r="E3" s="32" t="s">
        <v>611</v>
      </c>
      <c r="H3" s="1" t="s">
        <v>41</v>
      </c>
      <c r="I3" s="1">
        <v>0.31850000000000001</v>
      </c>
      <c r="J3" s="1">
        <v>0.63700000000000001</v>
      </c>
      <c r="K3" s="1">
        <v>0.55359999999999998</v>
      </c>
      <c r="L3" s="1">
        <v>1.1072</v>
      </c>
    </row>
    <row r="4" spans="1:12" ht="15.75" customHeight="1">
      <c r="A4" s="34" t="s">
        <v>41</v>
      </c>
      <c r="B4" s="152">
        <v>0.3327</v>
      </c>
      <c r="C4" s="153">
        <v>0.66539999999999999</v>
      </c>
      <c r="D4" s="152">
        <v>0.45050000000000001</v>
      </c>
      <c r="E4" s="152">
        <v>0.90100000000000002</v>
      </c>
      <c r="F4" s="1" t="s">
        <v>38</v>
      </c>
      <c r="H4" s="1" t="s">
        <v>65</v>
      </c>
      <c r="I4" s="1">
        <v>0.34350000000000003</v>
      </c>
      <c r="J4" s="1">
        <v>0.68700000000000006</v>
      </c>
      <c r="K4" s="1">
        <v>0.49709999999999999</v>
      </c>
      <c r="L4" s="1">
        <v>0.99419999999999997</v>
      </c>
    </row>
    <row r="5" spans="1:12" ht="15.75" customHeight="1">
      <c r="B5" s="152">
        <v>0.33339999999999997</v>
      </c>
      <c r="C5" s="153">
        <v>0.66679999999999995</v>
      </c>
      <c r="D5" s="74">
        <v>0.34420000000000001</v>
      </c>
      <c r="E5" s="152">
        <v>0.68840000000000001</v>
      </c>
      <c r="F5" s="1" t="s">
        <v>39</v>
      </c>
      <c r="H5" s="1" t="s">
        <v>68</v>
      </c>
      <c r="I5" s="1">
        <v>0.44400000000000001</v>
      </c>
      <c r="J5" s="1">
        <v>0.88800000000000001</v>
      </c>
      <c r="K5" s="1">
        <v>0.51649999999999996</v>
      </c>
      <c r="L5" s="1">
        <v>1.0329999999999999</v>
      </c>
    </row>
    <row r="6" spans="1:12" ht="15.75" customHeight="1">
      <c r="B6" s="152">
        <v>0.33629999999999999</v>
      </c>
      <c r="C6" s="153">
        <v>0.67259999999999998</v>
      </c>
      <c r="D6" s="152">
        <v>0.38769999999999999</v>
      </c>
      <c r="E6" s="152">
        <v>0.77539999999999998</v>
      </c>
      <c r="F6" s="1" t="s">
        <v>40</v>
      </c>
      <c r="H6" s="1" t="s">
        <v>70</v>
      </c>
      <c r="I6" s="1">
        <v>0.4824</v>
      </c>
      <c r="J6" s="1">
        <v>0.96479999999999999</v>
      </c>
      <c r="K6" s="1">
        <v>0.61850000000000005</v>
      </c>
      <c r="L6" s="1">
        <v>1.2370000000000001</v>
      </c>
    </row>
    <row r="7" spans="1:12" ht="15.75" customHeight="1">
      <c r="B7" s="152">
        <v>0.3342</v>
      </c>
      <c r="C7" s="153">
        <v>0.66839999999999999</v>
      </c>
      <c r="D7" s="152">
        <v>0.41170000000000001</v>
      </c>
      <c r="E7" s="152">
        <v>0.82340000000000002</v>
      </c>
      <c r="F7" s="1" t="s">
        <v>63</v>
      </c>
      <c r="H7" s="1" t="s">
        <v>72</v>
      </c>
      <c r="I7" s="1">
        <v>0.39950000000000002</v>
      </c>
      <c r="J7" s="1">
        <v>0.79900000000000004</v>
      </c>
      <c r="K7" s="1">
        <v>0.46820000000000001</v>
      </c>
      <c r="L7" s="1">
        <v>0.93640000000000001</v>
      </c>
    </row>
    <row r="8" spans="1:12" ht="15.75" customHeight="1">
      <c r="A8" s="52"/>
      <c r="B8" s="154">
        <v>0.33210000000000001</v>
      </c>
      <c r="C8" s="155">
        <v>0.66420000000000001</v>
      </c>
      <c r="D8" s="154">
        <v>0.40860000000000002</v>
      </c>
      <c r="E8" s="154">
        <v>0.81720000000000004</v>
      </c>
      <c r="F8" s="52" t="s">
        <v>64</v>
      </c>
      <c r="H8" s="1" t="s">
        <v>76</v>
      </c>
      <c r="I8" s="1">
        <v>0.3851</v>
      </c>
      <c r="J8" s="1">
        <v>0.7702</v>
      </c>
      <c r="K8" s="1">
        <v>0.52059999999999995</v>
      </c>
      <c r="L8" s="1">
        <v>1.0411999999999999</v>
      </c>
    </row>
    <row r="9" spans="1:12" ht="15.75" customHeight="1">
      <c r="A9" s="1" t="s">
        <v>616</v>
      </c>
      <c r="B9" s="156">
        <f t="shared" ref="B9:B13" si="0">ABS(B4-$I$3)</f>
        <v>1.419999999999999E-2</v>
      </c>
      <c r="C9" s="157">
        <f t="shared" ref="C9:C13" si="1">ABS(C4-$J$3)</f>
        <v>2.8399999999999981E-2</v>
      </c>
      <c r="D9" s="156">
        <f t="shared" ref="D9:D13" si="2">ABS(D4-$K$3)</f>
        <v>0.10309999999999997</v>
      </c>
      <c r="E9" s="156">
        <f t="shared" ref="E9:E13" si="3">ABS(E4-$L$3)</f>
        <v>0.20619999999999994</v>
      </c>
      <c r="F9" s="1" t="s">
        <v>38</v>
      </c>
      <c r="H9" s="1" t="s">
        <v>77</v>
      </c>
      <c r="I9" s="1">
        <v>0.49469999999999997</v>
      </c>
      <c r="J9" s="1">
        <v>0.98939999999999995</v>
      </c>
      <c r="K9" s="1">
        <v>0.62119999999999997</v>
      </c>
      <c r="L9" s="1">
        <v>1.2423999999999999</v>
      </c>
    </row>
    <row r="10" spans="1:12" ht="15.75" customHeight="1">
      <c r="B10" s="156">
        <f t="shared" si="0"/>
        <v>1.4899999999999969E-2</v>
      </c>
      <c r="C10" s="157">
        <f t="shared" si="1"/>
        <v>2.9799999999999938E-2</v>
      </c>
      <c r="D10" s="156">
        <f t="shared" si="2"/>
        <v>0.20939999999999998</v>
      </c>
      <c r="E10" s="156">
        <f t="shared" si="3"/>
        <v>0.41879999999999995</v>
      </c>
      <c r="F10" s="1" t="s">
        <v>39</v>
      </c>
      <c r="H10" s="1" t="s">
        <v>80</v>
      </c>
      <c r="I10" s="1">
        <v>0.47599999999999998</v>
      </c>
      <c r="J10" s="1">
        <v>0.95199999999999996</v>
      </c>
      <c r="K10" s="1">
        <v>0.62119999999999997</v>
      </c>
      <c r="L10" s="1">
        <v>1.2423999999999999</v>
      </c>
    </row>
    <row r="11" spans="1:12" ht="15.75" customHeight="1">
      <c r="B11" s="156">
        <f t="shared" si="0"/>
        <v>1.7799999999999983E-2</v>
      </c>
      <c r="C11" s="157">
        <f t="shared" si="1"/>
        <v>3.5599999999999965E-2</v>
      </c>
      <c r="D11" s="156">
        <f t="shared" si="2"/>
        <v>0.16589999999999999</v>
      </c>
      <c r="E11" s="156">
        <f t="shared" si="3"/>
        <v>0.33179999999999998</v>
      </c>
      <c r="F11" s="1" t="s">
        <v>40</v>
      </c>
    </row>
    <row r="12" spans="1:12" ht="15.75" customHeight="1">
      <c r="B12" s="156">
        <f t="shared" si="0"/>
        <v>1.5699999999999992E-2</v>
      </c>
      <c r="C12" s="157">
        <f t="shared" si="1"/>
        <v>3.1399999999999983E-2</v>
      </c>
      <c r="D12" s="156">
        <f t="shared" si="2"/>
        <v>0.14189999999999997</v>
      </c>
      <c r="E12" s="156">
        <f t="shared" si="3"/>
        <v>0.28379999999999994</v>
      </c>
      <c r="F12" s="1" t="s">
        <v>63</v>
      </c>
    </row>
    <row r="13" spans="1:12" ht="15.75" customHeight="1">
      <c r="B13" s="156">
        <f t="shared" si="0"/>
        <v>1.3600000000000001E-2</v>
      </c>
      <c r="C13" s="157">
        <f t="shared" si="1"/>
        <v>2.7200000000000002E-2</v>
      </c>
      <c r="D13" s="156">
        <f t="shared" si="2"/>
        <v>0.14499999999999996</v>
      </c>
      <c r="E13" s="156">
        <f t="shared" si="3"/>
        <v>0.28999999999999992</v>
      </c>
      <c r="F13" s="1" t="s">
        <v>64</v>
      </c>
    </row>
    <row r="14" spans="1:12" ht="15.75" customHeight="1">
      <c r="A14" s="32"/>
      <c r="B14" s="152"/>
      <c r="C14" s="153"/>
      <c r="D14" s="152"/>
      <c r="E14" s="152"/>
      <c r="G14" s="32"/>
      <c r="H14" s="32"/>
      <c r="I14" s="32"/>
      <c r="J14" s="32"/>
      <c r="K14" s="32"/>
    </row>
    <row r="15" spans="1:12" ht="15.75" customHeight="1">
      <c r="A15" s="16" t="s">
        <v>43</v>
      </c>
      <c r="B15" s="152">
        <v>0.33389999999999997</v>
      </c>
      <c r="C15" s="153">
        <v>0.66779999999999995</v>
      </c>
      <c r="D15" s="152">
        <v>0.42109999999999997</v>
      </c>
      <c r="E15" s="152">
        <v>0.84219999999999995</v>
      </c>
      <c r="F15" s="1" t="s">
        <v>38</v>
      </c>
      <c r="G15" s="32"/>
      <c r="H15" s="32"/>
      <c r="I15" s="32"/>
      <c r="J15" s="32"/>
      <c r="K15" s="32"/>
    </row>
    <row r="16" spans="1:12" ht="15.75" customHeight="1">
      <c r="A16" s="32"/>
      <c r="B16" s="152">
        <v>0.3493</v>
      </c>
      <c r="C16" s="153">
        <v>0.6986</v>
      </c>
      <c r="D16" s="152">
        <v>0.3745</v>
      </c>
      <c r="E16" s="152">
        <v>0.749</v>
      </c>
      <c r="F16" s="1" t="s">
        <v>39</v>
      </c>
      <c r="G16" s="34"/>
      <c r="H16" s="32"/>
      <c r="I16" s="32"/>
      <c r="J16" s="32"/>
      <c r="K16" s="32"/>
    </row>
    <row r="17" spans="1:11" ht="15.75" customHeight="1">
      <c r="B17" s="74">
        <v>0.34810000000000002</v>
      </c>
      <c r="C17" s="158">
        <v>0.69620000000000004</v>
      </c>
      <c r="D17" s="74">
        <v>0.39119999999999999</v>
      </c>
      <c r="E17" s="74">
        <v>0.78239999999999998</v>
      </c>
      <c r="F17" s="1" t="s">
        <v>40</v>
      </c>
      <c r="G17" s="34"/>
      <c r="H17" s="32"/>
      <c r="I17" s="32"/>
      <c r="J17" s="32"/>
      <c r="K17" s="32"/>
    </row>
    <row r="18" spans="1:11" ht="15.75" customHeight="1">
      <c r="B18" s="74">
        <v>0.33450000000000002</v>
      </c>
      <c r="C18" s="158">
        <v>0.66900000000000004</v>
      </c>
      <c r="D18" s="74">
        <v>0.40770000000000001</v>
      </c>
      <c r="E18" s="74">
        <v>0.81540000000000001</v>
      </c>
      <c r="F18" s="1" t="s">
        <v>63</v>
      </c>
      <c r="G18" s="34"/>
      <c r="H18" s="32"/>
      <c r="I18" s="32"/>
      <c r="J18" s="32"/>
      <c r="K18" s="32"/>
    </row>
    <row r="19" spans="1:11" ht="15.75" customHeight="1">
      <c r="A19" s="52"/>
      <c r="B19" s="159">
        <v>0.33700000000000002</v>
      </c>
      <c r="C19" s="160">
        <v>0.67400000000000004</v>
      </c>
      <c r="D19" s="159">
        <v>0.4516</v>
      </c>
      <c r="E19" s="159">
        <v>0.9032</v>
      </c>
      <c r="F19" s="52" t="s">
        <v>64</v>
      </c>
      <c r="G19" s="34"/>
      <c r="H19" s="32"/>
      <c r="I19" s="32"/>
      <c r="J19" s="32"/>
      <c r="K19" s="32"/>
    </row>
    <row r="20" spans="1:11" ht="15.75" customHeight="1">
      <c r="A20" s="1" t="s">
        <v>616</v>
      </c>
      <c r="B20" s="156">
        <f t="shared" ref="B20:B24" si="4">ABS(B15-$I$4)</f>
        <v>9.6000000000000529E-3</v>
      </c>
      <c r="C20" s="157">
        <f t="shared" ref="C20:C24" si="5">ABS(C15-$J$4)</f>
        <v>1.9200000000000106E-2</v>
      </c>
      <c r="D20" s="156">
        <f t="shared" ref="D20:D24" si="6">ABS(D15-$K$4)</f>
        <v>7.6000000000000012E-2</v>
      </c>
      <c r="E20" s="156">
        <f t="shared" ref="E20:E24" si="7">ABS(E15-$L$4)</f>
        <v>0.15200000000000002</v>
      </c>
      <c r="F20" s="1" t="s">
        <v>38</v>
      </c>
      <c r="G20" s="34"/>
      <c r="H20" s="32"/>
      <c r="I20" s="32"/>
      <c r="J20" s="32"/>
      <c r="K20" s="32"/>
    </row>
    <row r="21" spans="1:11" ht="15.75" customHeight="1">
      <c r="B21" s="156">
        <f t="shared" si="4"/>
        <v>5.7999999999999718E-3</v>
      </c>
      <c r="C21" s="157">
        <f t="shared" si="5"/>
        <v>1.1599999999999944E-2</v>
      </c>
      <c r="D21" s="156">
        <f t="shared" si="6"/>
        <v>0.12259999999999999</v>
      </c>
      <c r="E21" s="156">
        <f t="shared" si="7"/>
        <v>0.24519999999999997</v>
      </c>
      <c r="F21" s="1" t="s">
        <v>39</v>
      </c>
      <c r="G21" s="34"/>
      <c r="H21" s="32"/>
      <c r="I21" s="32"/>
      <c r="J21" s="32"/>
      <c r="K21" s="32"/>
    </row>
    <row r="22" spans="1:11" ht="15.75" customHeight="1">
      <c r="B22" s="156">
        <f t="shared" si="4"/>
        <v>4.599999999999993E-3</v>
      </c>
      <c r="C22" s="157">
        <f t="shared" si="5"/>
        <v>9.199999999999986E-3</v>
      </c>
      <c r="D22" s="156">
        <f t="shared" si="6"/>
        <v>0.10589999999999999</v>
      </c>
      <c r="E22" s="156">
        <f t="shared" si="7"/>
        <v>0.21179999999999999</v>
      </c>
      <c r="F22" s="1" t="s">
        <v>40</v>
      </c>
      <c r="G22" s="34"/>
      <c r="H22" s="32"/>
      <c r="I22" s="32"/>
      <c r="J22" s="32"/>
      <c r="K22" s="32"/>
    </row>
    <row r="23" spans="1:11" ht="15.75" customHeight="1">
      <c r="B23" s="156">
        <f t="shared" si="4"/>
        <v>9.000000000000008E-3</v>
      </c>
      <c r="C23" s="157">
        <f t="shared" si="5"/>
        <v>1.8000000000000016E-2</v>
      </c>
      <c r="D23" s="156">
        <f t="shared" si="6"/>
        <v>8.9399999999999979E-2</v>
      </c>
      <c r="E23" s="156">
        <f t="shared" si="7"/>
        <v>0.17879999999999996</v>
      </c>
      <c r="F23" s="1" t="s">
        <v>63</v>
      </c>
      <c r="G23" s="34"/>
      <c r="H23" s="32"/>
      <c r="I23" s="32"/>
      <c r="J23" s="32"/>
      <c r="K23" s="32"/>
    </row>
    <row r="24" spans="1:11" ht="15.75" customHeight="1">
      <c r="B24" s="156">
        <f t="shared" si="4"/>
        <v>6.5000000000000058E-3</v>
      </c>
      <c r="C24" s="157">
        <f t="shared" si="5"/>
        <v>1.3000000000000012E-2</v>
      </c>
      <c r="D24" s="156">
        <f t="shared" si="6"/>
        <v>4.5499999999999985E-2</v>
      </c>
      <c r="E24" s="156">
        <f t="shared" si="7"/>
        <v>9.099999999999997E-2</v>
      </c>
      <c r="F24" s="1" t="s">
        <v>64</v>
      </c>
    </row>
    <row r="25" spans="1:11" ht="15.75" customHeight="1">
      <c r="B25" s="74"/>
      <c r="C25" s="158"/>
      <c r="D25" s="74"/>
      <c r="E25" s="74"/>
    </row>
    <row r="26" spans="1:11" ht="15.75" customHeight="1">
      <c r="A26" s="34" t="s">
        <v>68</v>
      </c>
      <c r="B26" s="74">
        <v>0.44069999999999998</v>
      </c>
      <c r="C26" s="158">
        <v>0.88139999999999996</v>
      </c>
      <c r="D26" s="74">
        <v>0.49690000000000001</v>
      </c>
      <c r="E26" s="74">
        <v>0.99380000000000002</v>
      </c>
      <c r="F26" s="1" t="s">
        <v>38</v>
      </c>
    </row>
    <row r="27" spans="1:11" ht="15.75" customHeight="1">
      <c r="B27" s="74">
        <v>0.4395</v>
      </c>
      <c r="C27" s="158">
        <v>0.879</v>
      </c>
      <c r="D27" s="74">
        <v>0.49049999999999999</v>
      </c>
      <c r="E27" s="74">
        <v>0.98099999999999998</v>
      </c>
      <c r="F27" s="1" t="s">
        <v>39</v>
      </c>
    </row>
    <row r="28" spans="1:11" ht="15.75" customHeight="1">
      <c r="B28" s="74">
        <v>0.44040000000000001</v>
      </c>
      <c r="C28" s="158">
        <v>0.88080000000000003</v>
      </c>
      <c r="D28" s="74">
        <v>0.50319999999999998</v>
      </c>
      <c r="E28" s="74">
        <v>1.0064</v>
      </c>
      <c r="F28" s="1" t="s">
        <v>40</v>
      </c>
    </row>
    <row r="29" spans="1:11" ht="15.75" customHeight="1">
      <c r="B29" s="74">
        <v>0.44080000000000003</v>
      </c>
      <c r="C29" s="158">
        <v>0.88160000000000005</v>
      </c>
      <c r="D29" s="74">
        <v>0.51190000000000002</v>
      </c>
      <c r="E29" s="74">
        <v>1.0238</v>
      </c>
      <c r="F29" s="1" t="s">
        <v>63</v>
      </c>
    </row>
    <row r="30" spans="1:11" ht="15.75" customHeight="1">
      <c r="A30" s="52"/>
      <c r="B30" s="159">
        <v>0.44159999999999999</v>
      </c>
      <c r="C30" s="160">
        <v>0.88319999999999999</v>
      </c>
      <c r="D30" s="159">
        <v>0.51280000000000003</v>
      </c>
      <c r="E30" s="159">
        <v>1.0256000000000001</v>
      </c>
      <c r="F30" s="52" t="s">
        <v>64</v>
      </c>
    </row>
    <row r="31" spans="1:11" ht="15.75" customHeight="1">
      <c r="A31" s="1" t="s">
        <v>616</v>
      </c>
      <c r="B31" s="156">
        <f t="shared" ref="B31:B35" si="8">ABS(B26-$I$5)</f>
        <v>3.3000000000000251E-3</v>
      </c>
      <c r="C31" s="157">
        <f t="shared" ref="C31:C35" si="9">ABS(C26-$J$5)</f>
        <v>6.6000000000000503E-3</v>
      </c>
      <c r="D31" s="156">
        <f t="shared" ref="D31:D35" si="10">ABS(D26-$K$5)</f>
        <v>1.9599999999999951E-2</v>
      </c>
      <c r="E31" s="156">
        <f t="shared" ref="E31:E35" si="11">ABS(E26-$L$5)</f>
        <v>3.9199999999999902E-2</v>
      </c>
      <c r="F31" s="1" t="s">
        <v>38</v>
      </c>
    </row>
    <row r="32" spans="1:11" ht="15.75" customHeight="1">
      <c r="B32" s="156">
        <f t="shared" si="8"/>
        <v>4.500000000000004E-3</v>
      </c>
      <c r="C32" s="157">
        <f t="shared" si="9"/>
        <v>9.000000000000008E-3</v>
      </c>
      <c r="D32" s="156">
        <f t="shared" si="10"/>
        <v>2.5999999999999968E-2</v>
      </c>
      <c r="E32" s="156">
        <f t="shared" si="11"/>
        <v>5.1999999999999935E-2</v>
      </c>
      <c r="F32" s="1" t="s">
        <v>39</v>
      </c>
    </row>
    <row r="33" spans="1:6" ht="15.75" customHeight="1">
      <c r="B33" s="156">
        <f t="shared" si="8"/>
        <v>3.5999999999999921E-3</v>
      </c>
      <c r="C33" s="157">
        <f t="shared" si="9"/>
        <v>7.1999999999999842E-3</v>
      </c>
      <c r="D33" s="156">
        <f t="shared" si="10"/>
        <v>1.3299999999999979E-2</v>
      </c>
      <c r="E33" s="156">
        <f t="shared" si="11"/>
        <v>2.6599999999999957E-2</v>
      </c>
      <c r="F33" s="1" t="s">
        <v>40</v>
      </c>
    </row>
    <row r="34" spans="1:6" ht="15.75" customHeight="1">
      <c r="B34" s="156">
        <f t="shared" si="8"/>
        <v>3.1999999999999806E-3</v>
      </c>
      <c r="C34" s="157">
        <f t="shared" si="9"/>
        <v>6.3999999999999613E-3</v>
      </c>
      <c r="D34" s="156">
        <f t="shared" si="10"/>
        <v>4.5999999999999375E-3</v>
      </c>
      <c r="E34" s="156">
        <f t="shared" si="11"/>
        <v>9.1999999999998749E-3</v>
      </c>
      <c r="F34" s="1" t="s">
        <v>63</v>
      </c>
    </row>
    <row r="35" spans="1:6" ht="15.75" customHeight="1">
      <c r="B35" s="156">
        <f t="shared" si="8"/>
        <v>2.4000000000000132E-3</v>
      </c>
      <c r="C35" s="157">
        <f t="shared" si="9"/>
        <v>4.8000000000000265E-3</v>
      </c>
      <c r="D35" s="156">
        <f t="shared" si="10"/>
        <v>3.6999999999999256E-3</v>
      </c>
      <c r="E35" s="156">
        <f t="shared" si="11"/>
        <v>7.3999999999998511E-3</v>
      </c>
      <c r="F35" s="1" t="s">
        <v>64</v>
      </c>
    </row>
    <row r="36" spans="1:6" ht="15.75" customHeight="1">
      <c r="B36" s="74"/>
      <c r="C36" s="158"/>
      <c r="D36" s="74"/>
      <c r="E36" s="74"/>
    </row>
    <row r="37" spans="1:6" ht="15.75" customHeight="1">
      <c r="A37" s="34" t="s">
        <v>70</v>
      </c>
      <c r="B37" s="74">
        <v>0.46610000000000001</v>
      </c>
      <c r="C37" s="158">
        <v>0.93220000000000003</v>
      </c>
      <c r="D37" s="74">
        <v>0.59360000000000002</v>
      </c>
      <c r="E37" s="74">
        <v>1.1872</v>
      </c>
      <c r="F37" s="1" t="s">
        <v>38</v>
      </c>
    </row>
    <row r="38" spans="1:6" ht="15.75" customHeight="1">
      <c r="B38" s="74">
        <v>0.45650000000000002</v>
      </c>
      <c r="C38" s="158">
        <v>0.91300000000000003</v>
      </c>
      <c r="D38" s="74">
        <v>0.57769999999999999</v>
      </c>
      <c r="E38" s="74">
        <v>1.1554</v>
      </c>
      <c r="F38" s="1" t="s">
        <v>39</v>
      </c>
    </row>
    <row r="39" spans="1:6" ht="15.75" customHeight="1">
      <c r="B39" s="74">
        <v>0.4582</v>
      </c>
      <c r="C39" s="158">
        <v>0.91639999999999999</v>
      </c>
      <c r="D39" s="74">
        <v>0.58660000000000001</v>
      </c>
      <c r="E39" s="74">
        <v>1.1732</v>
      </c>
      <c r="F39" s="1" t="s">
        <v>40</v>
      </c>
    </row>
    <row r="40" spans="1:6" ht="15.75" customHeight="1">
      <c r="B40" s="74">
        <v>0.46339999999999998</v>
      </c>
      <c r="C40" s="158">
        <v>0.92679999999999996</v>
      </c>
      <c r="D40" s="74">
        <v>0.59760000000000002</v>
      </c>
      <c r="E40" s="74">
        <v>1.1952</v>
      </c>
      <c r="F40" s="1" t="s">
        <v>63</v>
      </c>
    </row>
    <row r="41" spans="1:6" ht="15.75" customHeight="1">
      <c r="A41" s="52"/>
      <c r="B41" s="159">
        <v>0.46970000000000001</v>
      </c>
      <c r="C41" s="160">
        <v>0.93940000000000001</v>
      </c>
      <c r="D41" s="159">
        <v>0.60429999999999995</v>
      </c>
      <c r="E41" s="159">
        <v>1.2085999999999999</v>
      </c>
      <c r="F41" s="52" t="s">
        <v>64</v>
      </c>
    </row>
    <row r="42" spans="1:6" ht="15.75" customHeight="1">
      <c r="A42" s="1" t="s">
        <v>616</v>
      </c>
      <c r="B42" s="156">
        <f t="shared" ref="B42:B46" si="12">ABS(B37-$I$6)</f>
        <v>1.6299999999999981E-2</v>
      </c>
      <c r="C42" s="157">
        <f t="shared" ref="C42:C46" si="13">ABS(C37-$J$6)</f>
        <v>3.2599999999999962E-2</v>
      </c>
      <c r="D42" s="156">
        <f t="shared" ref="D42:D46" si="14">ABS(D37-$K$6)</f>
        <v>2.4900000000000033E-2</v>
      </c>
      <c r="E42" s="156">
        <f t="shared" ref="E42:E46" si="15">ABS(E37-$L$6)</f>
        <v>4.9800000000000066E-2</v>
      </c>
      <c r="F42" s="1" t="s">
        <v>38</v>
      </c>
    </row>
    <row r="43" spans="1:6" ht="15.75" customHeight="1">
      <c r="A43" s="34"/>
      <c r="B43" s="156">
        <f t="shared" si="12"/>
        <v>2.5899999999999979E-2</v>
      </c>
      <c r="C43" s="157">
        <f t="shared" si="13"/>
        <v>5.1799999999999957E-2</v>
      </c>
      <c r="D43" s="156">
        <f t="shared" si="14"/>
        <v>4.0800000000000058E-2</v>
      </c>
      <c r="E43" s="156">
        <f t="shared" si="15"/>
        <v>8.1600000000000117E-2</v>
      </c>
      <c r="F43" s="1" t="s">
        <v>39</v>
      </c>
    </row>
    <row r="44" spans="1:6" ht="15.75" customHeight="1">
      <c r="B44" s="156">
        <f t="shared" si="12"/>
        <v>2.4199999999999999E-2</v>
      </c>
      <c r="C44" s="157">
        <f t="shared" si="13"/>
        <v>4.8399999999999999E-2</v>
      </c>
      <c r="D44" s="156">
        <f t="shared" si="14"/>
        <v>3.1900000000000039E-2</v>
      </c>
      <c r="E44" s="156">
        <f t="shared" si="15"/>
        <v>6.3800000000000079E-2</v>
      </c>
      <c r="F44" s="1" t="s">
        <v>40</v>
      </c>
    </row>
    <row r="45" spans="1:6" ht="15.75" customHeight="1">
      <c r="B45" s="156">
        <f t="shared" si="12"/>
        <v>1.9000000000000017E-2</v>
      </c>
      <c r="C45" s="157">
        <f t="shared" si="13"/>
        <v>3.8000000000000034E-2</v>
      </c>
      <c r="D45" s="156">
        <f t="shared" si="14"/>
        <v>2.090000000000003E-2</v>
      </c>
      <c r="E45" s="156">
        <f t="shared" si="15"/>
        <v>4.1800000000000059E-2</v>
      </c>
      <c r="F45" s="1" t="s">
        <v>63</v>
      </c>
    </row>
    <row r="46" spans="1:6" ht="15.75" customHeight="1">
      <c r="B46" s="156">
        <f t="shared" si="12"/>
        <v>1.2699999999999989E-2</v>
      </c>
      <c r="C46" s="157">
        <f t="shared" si="13"/>
        <v>2.5399999999999978E-2</v>
      </c>
      <c r="D46" s="156">
        <f t="shared" si="14"/>
        <v>1.4200000000000101E-2</v>
      </c>
      <c r="E46" s="156">
        <f t="shared" si="15"/>
        <v>2.8400000000000203E-2</v>
      </c>
      <c r="F46" s="1" t="s">
        <v>64</v>
      </c>
    </row>
    <row r="47" spans="1:6" ht="15.75" customHeight="1">
      <c r="B47" s="74"/>
      <c r="C47" s="158"/>
      <c r="D47" s="74"/>
      <c r="E47" s="74"/>
    </row>
    <row r="48" spans="1:6" ht="15.75" customHeight="1">
      <c r="A48" s="34" t="s">
        <v>72</v>
      </c>
      <c r="B48" s="74">
        <v>0.43</v>
      </c>
      <c r="C48" s="158">
        <v>0.86</v>
      </c>
      <c r="D48" s="74">
        <v>0.42849999999999999</v>
      </c>
      <c r="E48" s="74">
        <v>0.85699999999999998</v>
      </c>
      <c r="F48" s="1" t="s">
        <v>38</v>
      </c>
    </row>
    <row r="49" spans="1:6" ht="15.75" customHeight="1">
      <c r="B49" s="74">
        <v>0.43909999999999999</v>
      </c>
      <c r="C49" s="158">
        <v>0.87819999999999998</v>
      </c>
      <c r="D49" s="74">
        <v>0.43909999999999999</v>
      </c>
      <c r="E49" s="74">
        <v>0.87819999999999998</v>
      </c>
      <c r="F49" s="1" t="s">
        <v>39</v>
      </c>
    </row>
    <row r="50" spans="1:6" ht="15.75" customHeight="1">
      <c r="B50" s="74">
        <v>0.43969999999999998</v>
      </c>
      <c r="C50" s="158">
        <v>0.87939999999999996</v>
      </c>
      <c r="D50" s="74">
        <v>0.436</v>
      </c>
      <c r="E50" s="74">
        <v>0.872</v>
      </c>
      <c r="F50" s="1" t="s">
        <v>40</v>
      </c>
    </row>
    <row r="51" spans="1:6" ht="15.75" customHeight="1">
      <c r="B51" s="74">
        <v>0.43090000000000001</v>
      </c>
      <c r="C51" s="158">
        <v>0.86180000000000001</v>
      </c>
      <c r="D51" s="74">
        <v>0.42620000000000002</v>
      </c>
      <c r="E51" s="74">
        <v>0.85240000000000005</v>
      </c>
      <c r="F51" s="1" t="s">
        <v>63</v>
      </c>
    </row>
    <row r="52" spans="1:6" ht="15.75" customHeight="1">
      <c r="A52" s="161"/>
      <c r="B52" s="159">
        <v>0.4224</v>
      </c>
      <c r="C52" s="160">
        <v>0.8448</v>
      </c>
      <c r="D52" s="159">
        <v>0.42120000000000002</v>
      </c>
      <c r="E52" s="159">
        <v>0.84240000000000004</v>
      </c>
      <c r="F52" s="52" t="s">
        <v>64</v>
      </c>
    </row>
    <row r="53" spans="1:6" ht="15.75" customHeight="1">
      <c r="A53" s="1" t="s">
        <v>616</v>
      </c>
      <c r="B53" s="156">
        <f t="shared" ref="B53:B57" si="16">ABS(B48-$I$7)</f>
        <v>3.0499999999999972E-2</v>
      </c>
      <c r="C53" s="157">
        <f t="shared" ref="C53:C57" si="17">ABS(C48-$J$7)</f>
        <v>6.0999999999999943E-2</v>
      </c>
      <c r="D53" s="156">
        <f t="shared" ref="D53:D57" si="18">ABS(D48-$K$7)</f>
        <v>3.9700000000000013E-2</v>
      </c>
      <c r="E53" s="156">
        <f t="shared" ref="E53:E57" si="19">ABS(E48-$L$7)</f>
        <v>7.9400000000000026E-2</v>
      </c>
      <c r="F53" s="1" t="s">
        <v>38</v>
      </c>
    </row>
    <row r="54" spans="1:6" ht="15.75" customHeight="1">
      <c r="B54" s="156">
        <f t="shared" si="16"/>
        <v>3.9599999999999969E-2</v>
      </c>
      <c r="C54" s="157">
        <f t="shared" si="17"/>
        <v>7.9199999999999937E-2</v>
      </c>
      <c r="D54" s="156">
        <f t="shared" si="18"/>
        <v>2.9100000000000015E-2</v>
      </c>
      <c r="E54" s="156">
        <f t="shared" si="19"/>
        <v>5.8200000000000029E-2</v>
      </c>
      <c r="F54" s="1" t="s">
        <v>39</v>
      </c>
    </row>
    <row r="55" spans="1:6" ht="15.75" customHeight="1">
      <c r="B55" s="156">
        <f t="shared" si="16"/>
        <v>4.0199999999999958E-2</v>
      </c>
      <c r="C55" s="157">
        <f t="shared" si="17"/>
        <v>8.0399999999999916E-2</v>
      </c>
      <c r="D55" s="156">
        <f t="shared" si="18"/>
        <v>3.2200000000000006E-2</v>
      </c>
      <c r="E55" s="156">
        <f t="shared" si="19"/>
        <v>6.4400000000000013E-2</v>
      </c>
      <c r="F55" s="1" t="s">
        <v>40</v>
      </c>
    </row>
    <row r="56" spans="1:6" ht="15.75" customHeight="1">
      <c r="B56" s="156">
        <f t="shared" si="16"/>
        <v>3.1399999999999983E-2</v>
      </c>
      <c r="C56" s="157">
        <f t="shared" si="17"/>
        <v>6.2799999999999967E-2</v>
      </c>
      <c r="D56" s="156">
        <f t="shared" si="18"/>
        <v>4.1999999999999982E-2</v>
      </c>
      <c r="E56" s="156">
        <f t="shared" si="19"/>
        <v>8.3999999999999964E-2</v>
      </c>
      <c r="F56" s="1" t="s">
        <v>63</v>
      </c>
    </row>
    <row r="57" spans="1:6" ht="15.75" customHeight="1">
      <c r="B57" s="156">
        <f t="shared" si="16"/>
        <v>2.2899999999999976E-2</v>
      </c>
      <c r="C57" s="157">
        <f t="shared" si="17"/>
        <v>4.5799999999999952E-2</v>
      </c>
      <c r="D57" s="156">
        <f t="shared" si="18"/>
        <v>4.6999999999999986E-2</v>
      </c>
      <c r="E57" s="156">
        <f t="shared" si="19"/>
        <v>9.3999999999999972E-2</v>
      </c>
      <c r="F57" s="1" t="s">
        <v>64</v>
      </c>
    </row>
    <row r="58" spans="1:6" ht="15.75" customHeight="1">
      <c r="B58" s="74"/>
      <c r="C58" s="158"/>
      <c r="D58" s="74"/>
      <c r="E58" s="74"/>
    </row>
    <row r="59" spans="1:6" ht="15.75" customHeight="1">
      <c r="A59" s="34" t="s">
        <v>76</v>
      </c>
      <c r="B59" s="74">
        <v>0.38490000000000002</v>
      </c>
      <c r="C59" s="158">
        <v>0.76980000000000004</v>
      </c>
      <c r="D59" s="74">
        <v>0.48830000000000001</v>
      </c>
      <c r="E59" s="74">
        <v>0.97660000000000002</v>
      </c>
      <c r="F59" s="1" t="s">
        <v>38</v>
      </c>
    </row>
    <row r="60" spans="1:6" ht="15.75" customHeight="1">
      <c r="B60" s="74">
        <v>0.38090000000000002</v>
      </c>
      <c r="C60" s="158">
        <v>0.76180000000000003</v>
      </c>
      <c r="D60" s="74">
        <v>0.42599999999999999</v>
      </c>
      <c r="E60" s="74">
        <v>0.85199999999999998</v>
      </c>
      <c r="F60" s="1" t="s">
        <v>39</v>
      </c>
    </row>
    <row r="61" spans="1:6" ht="15.75" customHeight="1">
      <c r="B61" s="74">
        <v>0.38429999999999997</v>
      </c>
      <c r="C61" s="158">
        <v>0.76859999999999995</v>
      </c>
      <c r="D61" s="74">
        <v>0.44750000000000001</v>
      </c>
      <c r="E61" s="74">
        <v>0.89500000000000002</v>
      </c>
      <c r="F61" s="1" t="s">
        <v>40</v>
      </c>
    </row>
    <row r="62" spans="1:6" ht="15.75" customHeight="1">
      <c r="B62" s="74">
        <v>0.38569999999999999</v>
      </c>
      <c r="C62" s="158">
        <v>0.77139999999999997</v>
      </c>
      <c r="D62" s="74">
        <v>0.47910000000000003</v>
      </c>
      <c r="E62" s="74">
        <v>0.95820000000000005</v>
      </c>
      <c r="F62" s="1" t="s">
        <v>63</v>
      </c>
    </row>
    <row r="63" spans="1:6" ht="15.75" customHeight="1">
      <c r="A63" s="52"/>
      <c r="B63" s="159">
        <v>0.38690000000000002</v>
      </c>
      <c r="C63" s="160">
        <v>0.77380000000000004</v>
      </c>
      <c r="D63" s="159">
        <v>0.5867</v>
      </c>
      <c r="E63" s="159">
        <v>1.1734</v>
      </c>
      <c r="F63" s="52" t="s">
        <v>64</v>
      </c>
    </row>
    <row r="64" spans="1:6" ht="15.75" customHeight="1">
      <c r="A64" s="1" t="s">
        <v>616</v>
      </c>
      <c r="B64" s="156">
        <f t="shared" ref="B64:B68" si="20">ABS(B59-$I$8)</f>
        <v>1.9999999999997797E-4</v>
      </c>
      <c r="C64" s="157">
        <f t="shared" ref="C64:C68" si="21">ABS(C59-$J$8)</f>
        <v>3.9999999999995595E-4</v>
      </c>
      <c r="D64" s="156">
        <f t="shared" ref="D64:D68" si="22">ABS(D59-$K$8)</f>
        <v>3.229999999999994E-2</v>
      </c>
      <c r="E64" s="156">
        <f t="shared" ref="E64:E68" si="23">ABS(E59-$L$8)</f>
        <v>6.459999999999988E-2</v>
      </c>
      <c r="F64" s="1" t="s">
        <v>38</v>
      </c>
    </row>
    <row r="65" spans="1:6" ht="15.75" customHeight="1">
      <c r="B65" s="156">
        <f t="shared" si="20"/>
        <v>4.1999999999999815E-3</v>
      </c>
      <c r="C65" s="157">
        <f t="shared" si="21"/>
        <v>8.3999999999999631E-3</v>
      </c>
      <c r="D65" s="156">
        <f t="shared" si="22"/>
        <v>9.4599999999999962E-2</v>
      </c>
      <c r="E65" s="156">
        <f t="shared" si="23"/>
        <v>0.18919999999999992</v>
      </c>
      <c r="F65" s="1" t="s">
        <v>39</v>
      </c>
    </row>
    <row r="66" spans="1:6" ht="15.75" customHeight="1">
      <c r="A66" s="34"/>
      <c r="B66" s="156">
        <f t="shared" si="20"/>
        <v>8.0000000000002292E-4</v>
      </c>
      <c r="C66" s="157">
        <f t="shared" si="21"/>
        <v>1.6000000000000458E-3</v>
      </c>
      <c r="D66" s="156">
        <f t="shared" si="22"/>
        <v>7.3099999999999943E-2</v>
      </c>
      <c r="E66" s="156">
        <f t="shared" si="23"/>
        <v>0.14619999999999989</v>
      </c>
      <c r="F66" s="1" t="s">
        <v>40</v>
      </c>
    </row>
    <row r="67" spans="1:6" ht="15.75" customHeight="1">
      <c r="B67" s="156">
        <f t="shared" si="20"/>
        <v>5.9999999999998943E-4</v>
      </c>
      <c r="C67" s="157">
        <f t="shared" si="21"/>
        <v>1.1999999999999789E-3</v>
      </c>
      <c r="D67" s="156">
        <f t="shared" si="22"/>
        <v>4.1499999999999926E-2</v>
      </c>
      <c r="E67" s="156">
        <f t="shared" si="23"/>
        <v>8.2999999999999852E-2</v>
      </c>
      <c r="F67" s="1" t="s">
        <v>63</v>
      </c>
    </row>
    <row r="68" spans="1:6" ht="15.75" customHeight="1">
      <c r="B68" s="156">
        <f t="shared" si="20"/>
        <v>1.8000000000000238E-3</v>
      </c>
      <c r="C68" s="157">
        <f t="shared" si="21"/>
        <v>3.6000000000000476E-3</v>
      </c>
      <c r="D68" s="156">
        <f t="shared" si="22"/>
        <v>6.6100000000000048E-2</v>
      </c>
      <c r="E68" s="156">
        <f t="shared" si="23"/>
        <v>0.1322000000000001</v>
      </c>
      <c r="F68" s="1" t="s">
        <v>64</v>
      </c>
    </row>
    <row r="69" spans="1:6" ht="15.75" customHeight="1">
      <c r="B69" s="74"/>
      <c r="C69" s="158"/>
      <c r="D69" s="74"/>
      <c r="E69" s="74"/>
    </row>
    <row r="70" spans="1:6" ht="15.75" customHeight="1">
      <c r="A70" s="34" t="s">
        <v>77</v>
      </c>
      <c r="B70" s="74">
        <v>0.48180000000000001</v>
      </c>
      <c r="C70" s="158">
        <v>0.96360000000000001</v>
      </c>
      <c r="D70" s="74">
        <v>0.58560000000000001</v>
      </c>
      <c r="E70" s="74">
        <v>1.1712</v>
      </c>
      <c r="F70" s="1" t="s">
        <v>38</v>
      </c>
    </row>
    <row r="71" spans="1:6" ht="15.75" customHeight="1">
      <c r="B71" s="74">
        <v>0.4788</v>
      </c>
      <c r="C71" s="158">
        <v>0.95760000000000001</v>
      </c>
      <c r="D71" s="74">
        <v>0.57650000000000001</v>
      </c>
      <c r="E71" s="74">
        <v>1.153</v>
      </c>
      <c r="F71" s="1" t="s">
        <v>39</v>
      </c>
    </row>
    <row r="72" spans="1:6" ht="15.75" customHeight="1">
      <c r="B72" s="74">
        <v>0.47739999999999999</v>
      </c>
      <c r="C72" s="158">
        <v>0.95479999999999998</v>
      </c>
      <c r="D72" s="74">
        <v>0.58099999999999996</v>
      </c>
      <c r="E72" s="74">
        <v>1.1619999999999999</v>
      </c>
      <c r="F72" s="1" t="s">
        <v>40</v>
      </c>
    </row>
    <row r="73" spans="1:6" ht="15.75" customHeight="1">
      <c r="B73" s="74">
        <v>0.4758</v>
      </c>
      <c r="C73" s="158">
        <v>0.9516</v>
      </c>
      <c r="D73" s="74">
        <v>0.58760000000000001</v>
      </c>
      <c r="E73" s="74">
        <v>1.1752</v>
      </c>
      <c r="F73" s="1" t="s">
        <v>63</v>
      </c>
    </row>
    <row r="74" spans="1:6" ht="15.75" customHeight="1">
      <c r="A74" s="52"/>
      <c r="B74" s="159">
        <v>0.48409999999999997</v>
      </c>
      <c r="C74" s="160">
        <v>0.96819999999999995</v>
      </c>
      <c r="D74" s="159">
        <v>0.59279999999999999</v>
      </c>
      <c r="E74" s="159">
        <v>1.1856</v>
      </c>
      <c r="F74" s="52" t="s">
        <v>64</v>
      </c>
    </row>
    <row r="75" spans="1:6" ht="15.75" customHeight="1">
      <c r="A75" s="1" t="s">
        <v>616</v>
      </c>
      <c r="B75" s="156">
        <f t="shared" ref="B75:B79" si="24">ABS(B70-$I$9)</f>
        <v>1.2899999999999967E-2</v>
      </c>
      <c r="C75" s="157">
        <f t="shared" ref="C75:C79" si="25">ABS(C70-$J$9)</f>
        <v>2.5799999999999934E-2</v>
      </c>
      <c r="D75" s="156">
        <f t="shared" ref="D75:D79" si="26">ABS(D70-$K$9)</f>
        <v>3.5599999999999965E-2</v>
      </c>
      <c r="E75" s="156">
        <f t="shared" ref="E75:E79" si="27">ABS(E70-$L$9)</f>
        <v>7.119999999999993E-2</v>
      </c>
      <c r="F75" s="1" t="s">
        <v>38</v>
      </c>
    </row>
    <row r="76" spans="1:6" ht="15.75" customHeight="1">
      <c r="B76" s="156">
        <f t="shared" si="24"/>
        <v>1.589999999999997E-2</v>
      </c>
      <c r="C76" s="157">
        <f t="shared" si="25"/>
        <v>3.1799999999999939E-2</v>
      </c>
      <c r="D76" s="156">
        <f t="shared" si="26"/>
        <v>4.4699999999999962E-2</v>
      </c>
      <c r="E76" s="156">
        <f t="shared" si="27"/>
        <v>8.9399999999999924E-2</v>
      </c>
      <c r="F76" s="1" t="s">
        <v>39</v>
      </c>
    </row>
    <row r="77" spans="1:6" ht="15.75" customHeight="1">
      <c r="B77" s="156">
        <f t="shared" si="24"/>
        <v>1.7299999999999982E-2</v>
      </c>
      <c r="C77" s="157">
        <f t="shared" si="25"/>
        <v>3.4599999999999964E-2</v>
      </c>
      <c r="D77" s="156">
        <f t="shared" si="26"/>
        <v>4.0200000000000014E-2</v>
      </c>
      <c r="E77" s="156">
        <f t="shared" si="27"/>
        <v>8.0400000000000027E-2</v>
      </c>
      <c r="F77" s="1" t="s">
        <v>40</v>
      </c>
    </row>
    <row r="78" spans="1:6" ht="15.75" customHeight="1">
      <c r="B78" s="156">
        <f t="shared" si="24"/>
        <v>1.8899999999999972E-2</v>
      </c>
      <c r="C78" s="157">
        <f t="shared" si="25"/>
        <v>3.7799999999999945E-2</v>
      </c>
      <c r="D78" s="156">
        <f t="shared" si="26"/>
        <v>3.3599999999999963E-2</v>
      </c>
      <c r="E78" s="156">
        <f t="shared" si="27"/>
        <v>6.7199999999999926E-2</v>
      </c>
      <c r="F78" s="1" t="s">
        <v>63</v>
      </c>
    </row>
    <row r="79" spans="1:6" ht="15.75" customHeight="1">
      <c r="A79" s="34"/>
      <c r="B79" s="156">
        <f t="shared" si="24"/>
        <v>1.0599999999999998E-2</v>
      </c>
      <c r="C79" s="157">
        <f t="shared" si="25"/>
        <v>2.1199999999999997E-2</v>
      </c>
      <c r="D79" s="156">
        <f t="shared" si="26"/>
        <v>2.8399999999999981E-2</v>
      </c>
      <c r="E79" s="156">
        <f t="shared" si="27"/>
        <v>5.6799999999999962E-2</v>
      </c>
      <c r="F79" s="1" t="s">
        <v>64</v>
      </c>
    </row>
    <row r="80" spans="1:6" ht="15.75" customHeight="1">
      <c r="B80" s="74"/>
      <c r="C80" s="158"/>
      <c r="D80" s="74"/>
      <c r="E80" s="74"/>
    </row>
    <row r="81" spans="1:6" ht="15.75" customHeight="1">
      <c r="A81" s="34" t="s">
        <v>80</v>
      </c>
      <c r="B81" s="74">
        <v>0.4738</v>
      </c>
      <c r="C81" s="158">
        <v>0.9476</v>
      </c>
      <c r="D81" s="74">
        <v>0.6109</v>
      </c>
      <c r="E81" s="74">
        <v>1.2218</v>
      </c>
      <c r="F81" s="1" t="s">
        <v>38</v>
      </c>
    </row>
    <row r="82" spans="1:6" ht="15.75" customHeight="1">
      <c r="B82" s="74">
        <v>0.47360000000000002</v>
      </c>
      <c r="C82" s="158">
        <v>0.94720000000000004</v>
      </c>
      <c r="D82" s="74">
        <v>0.60529999999999995</v>
      </c>
      <c r="E82" s="74">
        <v>1.2105999999999999</v>
      </c>
      <c r="F82" s="1" t="s">
        <v>39</v>
      </c>
    </row>
    <row r="83" spans="1:6" ht="15.75" customHeight="1">
      <c r="B83" s="74">
        <v>0.47360000000000002</v>
      </c>
      <c r="C83" s="158">
        <v>0.94720000000000004</v>
      </c>
      <c r="D83" s="74">
        <v>0.61209999999999998</v>
      </c>
      <c r="E83" s="74">
        <v>1.2242</v>
      </c>
      <c r="F83" s="1" t="s">
        <v>40</v>
      </c>
    </row>
    <row r="84" spans="1:6" ht="15.75" customHeight="1">
      <c r="B84" s="74">
        <v>0.47289999999999999</v>
      </c>
      <c r="C84" s="158">
        <v>0.94579999999999997</v>
      </c>
      <c r="D84" s="74">
        <v>0.61639999999999995</v>
      </c>
      <c r="E84" s="74">
        <v>1.2327999999999999</v>
      </c>
      <c r="F84" s="1" t="s">
        <v>63</v>
      </c>
    </row>
    <row r="85" spans="1:6" ht="15.75" customHeight="1">
      <c r="A85" s="52"/>
      <c r="B85" s="159">
        <v>0.47460000000000002</v>
      </c>
      <c r="C85" s="160">
        <v>0.94920000000000004</v>
      </c>
      <c r="D85" s="159">
        <v>0.61699999999999999</v>
      </c>
      <c r="E85" s="159">
        <v>1.234</v>
      </c>
      <c r="F85" s="52" t="s">
        <v>64</v>
      </c>
    </row>
    <row r="86" spans="1:6" ht="15.75" customHeight="1">
      <c r="A86" s="1" t="s">
        <v>616</v>
      </c>
      <c r="B86" s="156">
        <f t="shared" ref="B86:B90" si="28">ABS(B81-$I$10)</f>
        <v>2.1999999999999797E-3</v>
      </c>
      <c r="C86" s="157">
        <f t="shared" ref="C86:C90" si="29">ABS(C81-$J$10)</f>
        <v>4.3999999999999595E-3</v>
      </c>
      <c r="D86" s="156">
        <f t="shared" ref="D86:D90" si="30">ABS(D81-$K$10)</f>
        <v>1.0299999999999976E-2</v>
      </c>
      <c r="E86" s="156">
        <f t="shared" ref="E86:E90" si="31">ABS(E81-$L$10)</f>
        <v>2.0599999999999952E-2</v>
      </c>
      <c r="F86" s="1" t="s">
        <v>38</v>
      </c>
    </row>
    <row r="87" spans="1:6" ht="15.75" customHeight="1">
      <c r="B87" s="156">
        <f t="shared" si="28"/>
        <v>2.3999999999999577E-3</v>
      </c>
      <c r="C87" s="157">
        <f t="shared" si="29"/>
        <v>4.7999999999999154E-3</v>
      </c>
      <c r="D87" s="156">
        <f t="shared" si="30"/>
        <v>1.5900000000000025E-2</v>
      </c>
      <c r="E87" s="156">
        <f t="shared" si="31"/>
        <v>3.180000000000005E-2</v>
      </c>
      <c r="F87" s="1" t="s">
        <v>39</v>
      </c>
    </row>
    <row r="88" spans="1:6" ht="15.75" customHeight="1">
      <c r="B88" s="156">
        <f t="shared" si="28"/>
        <v>2.3999999999999577E-3</v>
      </c>
      <c r="C88" s="157">
        <f t="shared" si="29"/>
        <v>4.7999999999999154E-3</v>
      </c>
      <c r="D88" s="156">
        <f t="shared" si="30"/>
        <v>9.099999999999997E-3</v>
      </c>
      <c r="E88" s="156">
        <f t="shared" si="31"/>
        <v>1.8199999999999994E-2</v>
      </c>
      <c r="F88" s="1" t="s">
        <v>40</v>
      </c>
    </row>
    <row r="89" spans="1:6" ht="15.75" customHeight="1">
      <c r="B89" s="156">
        <f t="shared" si="28"/>
        <v>3.0999999999999917E-3</v>
      </c>
      <c r="C89" s="157">
        <f t="shared" si="29"/>
        <v>6.1999999999999833E-3</v>
      </c>
      <c r="D89" s="156">
        <f t="shared" si="30"/>
        <v>4.8000000000000265E-3</v>
      </c>
      <c r="E89" s="156">
        <f t="shared" si="31"/>
        <v>9.6000000000000529E-3</v>
      </c>
      <c r="F89" s="1" t="s">
        <v>63</v>
      </c>
    </row>
    <row r="90" spans="1:6" ht="15.75" customHeight="1">
      <c r="B90" s="156">
        <f t="shared" si="28"/>
        <v>1.3999999999999568E-3</v>
      </c>
      <c r="C90" s="157">
        <f t="shared" si="29"/>
        <v>2.7999999999999137E-3</v>
      </c>
      <c r="D90" s="156">
        <f t="shared" si="30"/>
        <v>4.1999999999999815E-3</v>
      </c>
      <c r="E90" s="156">
        <f t="shared" si="31"/>
        <v>8.3999999999999631E-3</v>
      </c>
      <c r="F90" s="1" t="s">
        <v>64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A5F-E8C9-4DA3-9F3D-4904AE5E1467}">
  <sheetPr>
    <outlinePr summaryBelow="0" summaryRight="0"/>
    <pageSetUpPr fitToPage="1"/>
  </sheetPr>
  <dimension ref="A1:H57"/>
  <sheetViews>
    <sheetView workbookViewId="0"/>
  </sheetViews>
  <sheetFormatPr defaultColWidth="12.6640625" defaultRowHeight="15.75" customHeight="1"/>
  <cols>
    <col min="1" max="1" width="8" style="2" customWidth="1"/>
    <col min="2" max="3" width="16.88671875" style="2" customWidth="1"/>
    <col min="4" max="4" width="15" style="2" customWidth="1"/>
    <col min="5" max="5" width="15.21875" style="2" customWidth="1"/>
    <col min="6" max="7" width="16.6640625" style="2" customWidth="1"/>
    <col min="8" max="16384" width="12.6640625" style="2"/>
  </cols>
  <sheetData>
    <row r="1" spans="1:8" ht="15.75" customHeight="1">
      <c r="A1" s="16" t="s">
        <v>617</v>
      </c>
      <c r="D1" s="1" t="s">
        <v>618</v>
      </c>
    </row>
    <row r="2" spans="1:8" ht="15.75" customHeight="1">
      <c r="B2" s="1" t="s">
        <v>619</v>
      </c>
      <c r="C2" s="1" t="s">
        <v>620</v>
      </c>
      <c r="D2" s="1" t="s">
        <v>621</v>
      </c>
      <c r="E2" s="1" t="s">
        <v>622</v>
      </c>
      <c r="F2" s="1" t="s">
        <v>623</v>
      </c>
      <c r="G2" s="1" t="s">
        <v>624</v>
      </c>
    </row>
    <row r="3" spans="1:8" ht="15.75" customHeight="1">
      <c r="A3" s="16" t="s">
        <v>41</v>
      </c>
      <c r="B3" s="77" t="s">
        <v>625</v>
      </c>
      <c r="C3" s="77" t="s">
        <v>625</v>
      </c>
      <c r="D3" s="77" t="s">
        <v>625</v>
      </c>
      <c r="E3" s="77" t="s">
        <v>625</v>
      </c>
      <c r="F3" s="77" t="s">
        <v>625</v>
      </c>
      <c r="G3" s="77" t="s">
        <v>625</v>
      </c>
      <c r="H3" s="1" t="s">
        <v>38</v>
      </c>
    </row>
    <row r="4" spans="1:8" ht="15.75" customHeight="1">
      <c r="B4" s="77" t="s">
        <v>625</v>
      </c>
      <c r="C4" s="77" t="s">
        <v>625</v>
      </c>
      <c r="D4" s="77" t="s">
        <v>625</v>
      </c>
      <c r="E4" s="77" t="s">
        <v>625</v>
      </c>
      <c r="F4" s="77" t="s">
        <v>625</v>
      </c>
      <c r="G4" s="77" t="s">
        <v>625</v>
      </c>
      <c r="H4" s="1" t="s">
        <v>39</v>
      </c>
    </row>
    <row r="5" spans="1:8" ht="15.75" customHeight="1">
      <c r="B5" s="77" t="s">
        <v>625</v>
      </c>
      <c r="C5" s="77" t="s">
        <v>625</v>
      </c>
      <c r="D5" s="77" t="s">
        <v>625</v>
      </c>
      <c r="E5" s="77" t="s">
        <v>625</v>
      </c>
      <c r="F5" s="77" t="s">
        <v>625</v>
      </c>
      <c r="G5" s="77" t="s">
        <v>625</v>
      </c>
      <c r="H5" s="1" t="s">
        <v>40</v>
      </c>
    </row>
    <row r="6" spans="1:8" ht="15.75" customHeight="1">
      <c r="B6" s="77" t="s">
        <v>625</v>
      </c>
      <c r="C6" s="77" t="s">
        <v>625</v>
      </c>
      <c r="D6" s="77" t="s">
        <v>625</v>
      </c>
      <c r="E6" s="77" t="s">
        <v>625</v>
      </c>
      <c r="F6" s="77" t="s">
        <v>625</v>
      </c>
      <c r="G6" s="77" t="s">
        <v>625</v>
      </c>
      <c r="H6" s="1" t="s">
        <v>63</v>
      </c>
    </row>
    <row r="7" spans="1:8" ht="15.75" customHeight="1">
      <c r="B7" s="77" t="s">
        <v>625</v>
      </c>
      <c r="C7" s="77" t="s">
        <v>625</v>
      </c>
      <c r="D7" s="77" t="s">
        <v>625</v>
      </c>
      <c r="E7" s="77" t="s">
        <v>625</v>
      </c>
      <c r="F7" s="77" t="s">
        <v>625</v>
      </c>
      <c r="G7" s="77" t="s">
        <v>625</v>
      </c>
      <c r="H7" s="1" t="s">
        <v>64</v>
      </c>
    </row>
    <row r="9" spans="1:8" ht="15.75" customHeight="1">
      <c r="A9" s="16" t="s">
        <v>65</v>
      </c>
      <c r="B9" s="77" t="s">
        <v>625</v>
      </c>
      <c r="C9" s="77" t="s">
        <v>625</v>
      </c>
      <c r="D9" s="77" t="s">
        <v>625</v>
      </c>
      <c r="E9" s="77" t="s">
        <v>625</v>
      </c>
      <c r="F9" s="77" t="s">
        <v>625</v>
      </c>
      <c r="G9" s="77" t="s">
        <v>625</v>
      </c>
      <c r="H9" s="1" t="s">
        <v>38</v>
      </c>
    </row>
    <row r="10" spans="1:8" ht="15.75" customHeight="1">
      <c r="B10" s="77" t="s">
        <v>625</v>
      </c>
      <c r="C10" s="77" t="s">
        <v>625</v>
      </c>
      <c r="D10" s="162" t="s">
        <v>626</v>
      </c>
      <c r="E10" s="162" t="s">
        <v>626</v>
      </c>
      <c r="F10" s="77" t="s">
        <v>625</v>
      </c>
      <c r="G10" s="77" t="s">
        <v>625</v>
      </c>
      <c r="H10" s="1" t="s">
        <v>39</v>
      </c>
    </row>
    <row r="11" spans="1:8" ht="15.75" customHeight="1">
      <c r="B11" s="77" t="s">
        <v>625</v>
      </c>
      <c r="C11" s="77" t="s">
        <v>625</v>
      </c>
      <c r="D11" s="162" t="s">
        <v>626</v>
      </c>
      <c r="E11" s="162" t="s">
        <v>626</v>
      </c>
      <c r="F11" s="162" t="s">
        <v>626</v>
      </c>
      <c r="G11" s="77" t="s">
        <v>625</v>
      </c>
      <c r="H11" s="1" t="s">
        <v>40</v>
      </c>
    </row>
    <row r="12" spans="1:8" ht="15.75" customHeight="1">
      <c r="B12" s="77" t="s">
        <v>625</v>
      </c>
      <c r="C12" s="77" t="s">
        <v>625</v>
      </c>
      <c r="D12" s="77" t="s">
        <v>625</v>
      </c>
      <c r="E12" s="77" t="s">
        <v>625</v>
      </c>
      <c r="F12" s="77" t="s">
        <v>625</v>
      </c>
      <c r="G12" s="77" t="s">
        <v>625</v>
      </c>
      <c r="H12" s="1" t="s">
        <v>63</v>
      </c>
    </row>
    <row r="13" spans="1:8" ht="15.75" customHeight="1">
      <c r="B13" s="77" t="s">
        <v>625</v>
      </c>
      <c r="C13" s="77" t="s">
        <v>625</v>
      </c>
      <c r="D13" s="77" t="s">
        <v>625</v>
      </c>
      <c r="E13" s="77" t="s">
        <v>625</v>
      </c>
      <c r="F13" s="77" t="s">
        <v>625</v>
      </c>
      <c r="G13" s="77" t="s">
        <v>625</v>
      </c>
      <c r="H13" s="1" t="s">
        <v>64</v>
      </c>
    </row>
    <row r="15" spans="1:8" ht="15.75" customHeight="1">
      <c r="A15" s="16" t="s">
        <v>68</v>
      </c>
      <c r="B15" s="162" t="s">
        <v>626</v>
      </c>
      <c r="C15" s="162" t="s">
        <v>626</v>
      </c>
      <c r="D15" s="162" t="s">
        <v>626</v>
      </c>
      <c r="E15" s="77" t="s">
        <v>625</v>
      </c>
      <c r="F15" s="162" t="s">
        <v>626</v>
      </c>
      <c r="G15" s="77" t="s">
        <v>625</v>
      </c>
      <c r="H15" s="1" t="s">
        <v>38</v>
      </c>
    </row>
    <row r="16" spans="1:8" ht="15.75" customHeight="1">
      <c r="B16" s="162" t="s">
        <v>626</v>
      </c>
      <c r="C16" s="162" t="s">
        <v>626</v>
      </c>
      <c r="D16" s="162" t="s">
        <v>626</v>
      </c>
      <c r="E16" s="77" t="s">
        <v>625</v>
      </c>
      <c r="F16" s="162" t="s">
        <v>626</v>
      </c>
      <c r="G16" s="77" t="s">
        <v>625</v>
      </c>
      <c r="H16" s="1" t="s">
        <v>39</v>
      </c>
    </row>
    <row r="17" spans="1:8" ht="15.75" customHeight="1">
      <c r="B17" s="162" t="s">
        <v>626</v>
      </c>
      <c r="C17" s="77" t="s">
        <v>625</v>
      </c>
      <c r="D17" s="162" t="s">
        <v>626</v>
      </c>
      <c r="E17" s="77" t="s">
        <v>625</v>
      </c>
      <c r="F17" s="162" t="s">
        <v>626</v>
      </c>
      <c r="G17" s="77" t="s">
        <v>625</v>
      </c>
      <c r="H17" s="1" t="s">
        <v>40</v>
      </c>
    </row>
    <row r="18" spans="1:8" ht="15.75" customHeight="1">
      <c r="B18" s="162" t="s">
        <v>626</v>
      </c>
      <c r="C18" s="77" t="s">
        <v>625</v>
      </c>
      <c r="D18" s="162" t="s">
        <v>626</v>
      </c>
      <c r="E18" s="77" t="s">
        <v>625</v>
      </c>
      <c r="F18" s="162" t="s">
        <v>626</v>
      </c>
      <c r="G18" s="77" t="s">
        <v>625</v>
      </c>
      <c r="H18" s="1" t="s">
        <v>63</v>
      </c>
    </row>
    <row r="19" spans="1:8" ht="15.75" customHeight="1">
      <c r="B19" s="77" t="s">
        <v>625</v>
      </c>
      <c r="C19" s="77" t="s">
        <v>625</v>
      </c>
      <c r="D19" s="162" t="s">
        <v>626</v>
      </c>
      <c r="E19" s="77" t="s">
        <v>625</v>
      </c>
      <c r="F19" s="162" t="s">
        <v>626</v>
      </c>
      <c r="G19" s="162" t="s">
        <v>626</v>
      </c>
      <c r="H19" s="1" t="s">
        <v>64</v>
      </c>
    </row>
    <row r="21" spans="1:8" ht="15.75" customHeight="1">
      <c r="A21" s="16" t="s">
        <v>70</v>
      </c>
      <c r="B21" s="77" t="s">
        <v>625</v>
      </c>
      <c r="C21" s="77" t="s">
        <v>625</v>
      </c>
      <c r="D21" s="162" t="s">
        <v>626</v>
      </c>
      <c r="E21" s="77" t="s">
        <v>625</v>
      </c>
      <c r="F21" s="77" t="s">
        <v>625</v>
      </c>
      <c r="G21" s="77" t="s">
        <v>625</v>
      </c>
      <c r="H21" s="1" t="s">
        <v>38</v>
      </c>
    </row>
    <row r="22" spans="1:8" ht="15.75" customHeight="1">
      <c r="B22" s="77" t="s">
        <v>625</v>
      </c>
      <c r="C22" s="77" t="s">
        <v>625</v>
      </c>
      <c r="D22" s="162" t="s">
        <v>626</v>
      </c>
      <c r="E22" s="77" t="s">
        <v>625</v>
      </c>
      <c r="F22" s="77" t="s">
        <v>625</v>
      </c>
      <c r="G22" s="77" t="s">
        <v>625</v>
      </c>
      <c r="H22" s="1" t="s">
        <v>39</v>
      </c>
    </row>
    <row r="23" spans="1:8" ht="15.75" customHeight="1">
      <c r="B23" s="77" t="s">
        <v>625</v>
      </c>
      <c r="C23" s="77" t="s">
        <v>625</v>
      </c>
      <c r="D23" s="162" t="s">
        <v>626</v>
      </c>
      <c r="E23" s="77" t="s">
        <v>625</v>
      </c>
      <c r="F23" s="77" t="s">
        <v>625</v>
      </c>
      <c r="G23" s="77" t="s">
        <v>625</v>
      </c>
      <c r="H23" s="1" t="s">
        <v>40</v>
      </c>
    </row>
    <row r="24" spans="1:8" ht="15.75" customHeight="1">
      <c r="B24" s="77" t="s">
        <v>625</v>
      </c>
      <c r="C24" s="77" t="s">
        <v>625</v>
      </c>
      <c r="D24" s="162" t="s">
        <v>626</v>
      </c>
      <c r="E24" s="77" t="s">
        <v>625</v>
      </c>
      <c r="F24" s="77" t="s">
        <v>625</v>
      </c>
      <c r="G24" s="77" t="s">
        <v>625</v>
      </c>
      <c r="H24" s="1" t="s">
        <v>63</v>
      </c>
    </row>
    <row r="25" spans="1:8" ht="15.75" customHeight="1">
      <c r="B25" s="77" t="s">
        <v>625</v>
      </c>
      <c r="C25" s="77" t="s">
        <v>625</v>
      </c>
      <c r="D25" s="162" t="s">
        <v>626</v>
      </c>
      <c r="E25" s="77" t="s">
        <v>625</v>
      </c>
      <c r="F25" s="77" t="s">
        <v>625</v>
      </c>
      <c r="G25" s="77" t="s">
        <v>625</v>
      </c>
      <c r="H25" s="1" t="s">
        <v>64</v>
      </c>
    </row>
    <row r="27" spans="1:8" ht="15.75" customHeight="1">
      <c r="A27" s="16" t="s">
        <v>72</v>
      </c>
      <c r="B27" s="77" t="s">
        <v>625</v>
      </c>
      <c r="C27" s="77" t="s">
        <v>625</v>
      </c>
      <c r="D27" s="77" t="s">
        <v>625</v>
      </c>
      <c r="E27" s="77" t="s">
        <v>625</v>
      </c>
      <c r="F27" s="77" t="s">
        <v>625</v>
      </c>
      <c r="G27" s="77" t="s">
        <v>625</v>
      </c>
      <c r="H27" s="1" t="s">
        <v>38</v>
      </c>
    </row>
    <row r="28" spans="1:8" ht="15.75" customHeight="1">
      <c r="B28" s="77" t="s">
        <v>625</v>
      </c>
      <c r="C28" s="77" t="s">
        <v>625</v>
      </c>
      <c r="D28" s="77" t="s">
        <v>625</v>
      </c>
      <c r="E28" s="77" t="s">
        <v>625</v>
      </c>
      <c r="F28" s="77" t="s">
        <v>625</v>
      </c>
      <c r="G28" s="77" t="s">
        <v>625</v>
      </c>
      <c r="H28" s="1" t="s">
        <v>39</v>
      </c>
    </row>
    <row r="29" spans="1:8" ht="15.75" customHeight="1">
      <c r="B29" s="77" t="s">
        <v>625</v>
      </c>
      <c r="C29" s="77" t="s">
        <v>625</v>
      </c>
      <c r="D29" s="77" t="s">
        <v>625</v>
      </c>
      <c r="E29" s="77" t="s">
        <v>625</v>
      </c>
      <c r="F29" s="77" t="s">
        <v>625</v>
      </c>
      <c r="G29" s="77" t="s">
        <v>625</v>
      </c>
      <c r="H29" s="1" t="s">
        <v>40</v>
      </c>
    </row>
    <row r="30" spans="1:8" ht="15.75" customHeight="1">
      <c r="B30" s="77" t="s">
        <v>625</v>
      </c>
      <c r="C30" s="77" t="s">
        <v>625</v>
      </c>
      <c r="D30" s="77" t="s">
        <v>625</v>
      </c>
      <c r="E30" s="77" t="s">
        <v>625</v>
      </c>
      <c r="F30" s="77" t="s">
        <v>625</v>
      </c>
      <c r="G30" s="77" t="s">
        <v>625</v>
      </c>
      <c r="H30" s="1" t="s">
        <v>63</v>
      </c>
    </row>
    <row r="31" spans="1:8" ht="15.75" customHeight="1">
      <c r="B31" s="77" t="s">
        <v>625</v>
      </c>
      <c r="C31" s="77" t="s">
        <v>625</v>
      </c>
      <c r="D31" s="77" t="s">
        <v>625</v>
      </c>
      <c r="E31" s="77" t="s">
        <v>625</v>
      </c>
      <c r="F31" s="77" t="s">
        <v>625</v>
      </c>
      <c r="G31" s="77" t="s">
        <v>625</v>
      </c>
      <c r="H31" s="1" t="s">
        <v>64</v>
      </c>
    </row>
    <row r="33" spans="1:8" ht="15.75" customHeight="1">
      <c r="A33" s="16" t="s">
        <v>76</v>
      </c>
      <c r="B33" s="77" t="s">
        <v>625</v>
      </c>
      <c r="C33" s="77" t="s">
        <v>625</v>
      </c>
      <c r="D33" s="77" t="s">
        <v>625</v>
      </c>
      <c r="E33" s="77" t="s">
        <v>625</v>
      </c>
      <c r="F33" s="162" t="s">
        <v>626</v>
      </c>
      <c r="G33" s="162" t="s">
        <v>626</v>
      </c>
      <c r="H33" s="1" t="s">
        <v>38</v>
      </c>
    </row>
    <row r="34" spans="1:8" ht="15.75" customHeight="1">
      <c r="B34" s="77" t="s">
        <v>625</v>
      </c>
      <c r="C34" s="77" t="s">
        <v>625</v>
      </c>
      <c r="D34" s="77" t="s">
        <v>625</v>
      </c>
      <c r="E34" s="77" t="s">
        <v>625</v>
      </c>
      <c r="F34" s="162" t="s">
        <v>626</v>
      </c>
      <c r="G34" s="77" t="s">
        <v>625</v>
      </c>
      <c r="H34" s="1" t="s">
        <v>39</v>
      </c>
    </row>
    <row r="35" spans="1:8" ht="15.75" customHeight="1">
      <c r="B35" s="77" t="s">
        <v>625</v>
      </c>
      <c r="C35" s="77" t="s">
        <v>625</v>
      </c>
      <c r="D35" s="77" t="s">
        <v>625</v>
      </c>
      <c r="E35" s="77" t="s">
        <v>625</v>
      </c>
      <c r="F35" s="162" t="s">
        <v>626</v>
      </c>
      <c r="G35" s="162" t="s">
        <v>626</v>
      </c>
      <c r="H35" s="1" t="s">
        <v>40</v>
      </c>
    </row>
    <row r="36" spans="1:8" ht="15.75" customHeight="1">
      <c r="B36" s="77" t="s">
        <v>625</v>
      </c>
      <c r="C36" s="77" t="s">
        <v>625</v>
      </c>
      <c r="D36" s="77" t="s">
        <v>625</v>
      </c>
      <c r="E36" s="77" t="s">
        <v>625</v>
      </c>
      <c r="F36" s="162" t="s">
        <v>626</v>
      </c>
      <c r="G36" s="162" t="s">
        <v>626</v>
      </c>
      <c r="H36" s="1" t="s">
        <v>63</v>
      </c>
    </row>
    <row r="37" spans="1:8" ht="15.75" customHeight="1">
      <c r="B37" s="77" t="s">
        <v>625</v>
      </c>
      <c r="C37" s="77" t="s">
        <v>625</v>
      </c>
      <c r="D37" s="77" t="s">
        <v>625</v>
      </c>
      <c r="E37" s="77" t="s">
        <v>625</v>
      </c>
      <c r="F37" s="162" t="s">
        <v>626</v>
      </c>
      <c r="G37" s="162" t="s">
        <v>626</v>
      </c>
      <c r="H37" s="1" t="s">
        <v>64</v>
      </c>
    </row>
    <row r="39" spans="1:8" ht="15.75" customHeight="1">
      <c r="A39" s="16" t="s">
        <v>77</v>
      </c>
      <c r="B39" s="77" t="s">
        <v>625</v>
      </c>
      <c r="C39" s="77" t="s">
        <v>625</v>
      </c>
      <c r="D39" s="162" t="s">
        <v>626</v>
      </c>
      <c r="E39" s="77" t="s">
        <v>625</v>
      </c>
      <c r="F39" s="77" t="s">
        <v>625</v>
      </c>
      <c r="G39" s="77" t="s">
        <v>625</v>
      </c>
      <c r="H39" s="1" t="s">
        <v>38</v>
      </c>
    </row>
    <row r="40" spans="1:8" ht="15.75" customHeight="1">
      <c r="B40" s="77" t="s">
        <v>625</v>
      </c>
      <c r="C40" s="77" t="s">
        <v>625</v>
      </c>
      <c r="D40" s="162" t="s">
        <v>626</v>
      </c>
      <c r="E40" s="77" t="s">
        <v>625</v>
      </c>
      <c r="F40" s="77" t="s">
        <v>625</v>
      </c>
      <c r="G40" s="77" t="s">
        <v>625</v>
      </c>
      <c r="H40" s="1" t="s">
        <v>39</v>
      </c>
    </row>
    <row r="41" spans="1:8" ht="15.75" customHeight="1">
      <c r="B41" s="77" t="s">
        <v>625</v>
      </c>
      <c r="C41" s="77" t="s">
        <v>625</v>
      </c>
      <c r="D41" s="162" t="s">
        <v>626</v>
      </c>
      <c r="E41" s="77" t="s">
        <v>625</v>
      </c>
      <c r="F41" s="77" t="s">
        <v>625</v>
      </c>
      <c r="G41" s="77" t="s">
        <v>625</v>
      </c>
      <c r="H41" s="1" t="s">
        <v>40</v>
      </c>
    </row>
    <row r="42" spans="1:8" ht="15.75" customHeight="1">
      <c r="B42" s="77" t="s">
        <v>625</v>
      </c>
      <c r="C42" s="77" t="s">
        <v>625</v>
      </c>
      <c r="D42" s="162" t="s">
        <v>626</v>
      </c>
      <c r="E42" s="77" t="s">
        <v>625</v>
      </c>
      <c r="F42" s="77" t="s">
        <v>625</v>
      </c>
      <c r="G42" s="77" t="s">
        <v>625</v>
      </c>
      <c r="H42" s="1" t="s">
        <v>63</v>
      </c>
    </row>
    <row r="43" spans="1:8" ht="15.75" customHeight="1">
      <c r="B43" s="77" t="s">
        <v>625</v>
      </c>
      <c r="C43" s="77" t="s">
        <v>625</v>
      </c>
      <c r="D43" s="162" t="s">
        <v>626</v>
      </c>
      <c r="E43" s="77" t="s">
        <v>625</v>
      </c>
      <c r="F43" s="77" t="s">
        <v>625</v>
      </c>
      <c r="G43" s="77" t="s">
        <v>625</v>
      </c>
      <c r="H43" s="1" t="s">
        <v>64</v>
      </c>
    </row>
    <row r="45" spans="1:8" ht="15.75" customHeight="1">
      <c r="A45" s="16" t="s">
        <v>80</v>
      </c>
      <c r="B45" s="162" t="s">
        <v>626</v>
      </c>
      <c r="C45" s="77" t="s">
        <v>625</v>
      </c>
      <c r="D45" s="162" t="s">
        <v>626</v>
      </c>
      <c r="E45" s="77" t="s">
        <v>625</v>
      </c>
      <c r="F45" s="162" t="s">
        <v>626</v>
      </c>
      <c r="G45" s="162" t="s">
        <v>626</v>
      </c>
      <c r="H45" s="1" t="s">
        <v>38</v>
      </c>
    </row>
    <row r="46" spans="1:8" ht="15.75" customHeight="1">
      <c r="B46" s="162" t="s">
        <v>626</v>
      </c>
      <c r="C46" s="162" t="s">
        <v>626</v>
      </c>
      <c r="D46" s="77" t="s">
        <v>625</v>
      </c>
      <c r="E46" s="77" t="s">
        <v>625</v>
      </c>
      <c r="F46" s="162" t="s">
        <v>626</v>
      </c>
      <c r="G46" s="162" t="s">
        <v>626</v>
      </c>
      <c r="H46" s="1" t="s">
        <v>39</v>
      </c>
    </row>
    <row r="47" spans="1:8" ht="15.75" customHeight="1">
      <c r="B47" s="162" t="s">
        <v>626</v>
      </c>
      <c r="C47" s="162" t="s">
        <v>626</v>
      </c>
      <c r="D47" s="77" t="s">
        <v>625</v>
      </c>
      <c r="E47" s="77" t="s">
        <v>625</v>
      </c>
      <c r="F47" s="162" t="s">
        <v>626</v>
      </c>
      <c r="G47" s="162" t="s">
        <v>626</v>
      </c>
      <c r="H47" s="1" t="s">
        <v>40</v>
      </c>
    </row>
    <row r="48" spans="1:8" ht="15.75" customHeight="1">
      <c r="B48" s="162" t="s">
        <v>626</v>
      </c>
      <c r="C48" s="77" t="s">
        <v>625</v>
      </c>
      <c r="D48" s="162" t="s">
        <v>626</v>
      </c>
      <c r="E48" s="77" t="s">
        <v>625</v>
      </c>
      <c r="F48" s="162" t="s">
        <v>626</v>
      </c>
      <c r="G48" s="77" t="s">
        <v>625</v>
      </c>
      <c r="H48" s="1" t="s">
        <v>63</v>
      </c>
    </row>
    <row r="49" spans="1:8" ht="15.75" customHeight="1">
      <c r="B49" s="77" t="s">
        <v>625</v>
      </c>
      <c r="C49" s="77" t="s">
        <v>625</v>
      </c>
      <c r="D49" s="162" t="s">
        <v>626</v>
      </c>
      <c r="E49" s="77" t="s">
        <v>625</v>
      </c>
      <c r="F49" s="162" t="s">
        <v>626</v>
      </c>
      <c r="G49" s="162" t="s">
        <v>626</v>
      </c>
      <c r="H49" s="1" t="s">
        <v>64</v>
      </c>
    </row>
    <row r="53" spans="1:8" ht="15.75" customHeight="1">
      <c r="A53" s="1" t="s">
        <v>627</v>
      </c>
      <c r="B53" s="1" t="s">
        <v>628</v>
      </c>
      <c r="D53" s="1" t="s">
        <v>627</v>
      </c>
      <c r="E53" s="1" t="s">
        <v>629</v>
      </c>
    </row>
    <row r="54" spans="1:8" ht="15.75" customHeight="1">
      <c r="A54" s="1" t="s">
        <v>278</v>
      </c>
      <c r="B54" s="1" t="s">
        <v>41</v>
      </c>
      <c r="D54" s="1" t="s">
        <v>278</v>
      </c>
      <c r="E54" s="1" t="s">
        <v>68</v>
      </c>
    </row>
    <row r="55" spans="1:8" ht="15.75" customHeight="1">
      <c r="A55" s="1" t="s">
        <v>273</v>
      </c>
      <c r="B55" s="1" t="s">
        <v>43</v>
      </c>
      <c r="D55" s="1" t="s">
        <v>278</v>
      </c>
      <c r="E55" s="1" t="s">
        <v>70</v>
      </c>
    </row>
    <row r="56" spans="1:8" ht="15.75" customHeight="1">
      <c r="A56" s="1" t="s">
        <v>273</v>
      </c>
      <c r="B56" s="1" t="s">
        <v>72</v>
      </c>
      <c r="D56" s="1" t="s">
        <v>278</v>
      </c>
      <c r="E56" s="1" t="s">
        <v>77</v>
      </c>
    </row>
    <row r="57" spans="1:8" ht="15.75" customHeight="1">
      <c r="A57" s="1" t="s">
        <v>273</v>
      </c>
      <c r="B57" s="1" t="s">
        <v>76</v>
      </c>
      <c r="D57" s="1" t="s">
        <v>278</v>
      </c>
      <c r="E57" s="1" t="s">
        <v>80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4707-55F0-4C77-9469-F7754B75DA03}">
  <sheetPr>
    <outlinePr summaryBelow="0" summaryRight="0"/>
    <pageSetUpPr fitToPage="1"/>
  </sheetPr>
  <dimension ref="A1:I57"/>
  <sheetViews>
    <sheetView topLeftCell="A5" workbookViewId="0"/>
  </sheetViews>
  <sheetFormatPr defaultColWidth="12.6640625" defaultRowHeight="15.75" customHeight="1"/>
  <cols>
    <col min="1" max="1" width="8" style="2" customWidth="1"/>
    <col min="2" max="3" width="16.88671875" style="2" customWidth="1"/>
    <col min="4" max="4" width="14.6640625" style="2" customWidth="1"/>
    <col min="5" max="5" width="16.44140625" style="2" customWidth="1"/>
    <col min="6" max="6" width="14.88671875" style="2" customWidth="1"/>
    <col min="7" max="7" width="15.21875" style="2" customWidth="1"/>
    <col min="8" max="8" width="16.6640625" style="2" customWidth="1"/>
    <col min="9" max="16384" width="12.6640625" style="2"/>
  </cols>
  <sheetData>
    <row r="1" spans="1:9" ht="15.75" customHeight="1">
      <c r="A1" s="16" t="s">
        <v>630</v>
      </c>
      <c r="D1" s="1" t="s">
        <v>618</v>
      </c>
    </row>
    <row r="2" spans="1:9" ht="15.75" customHeight="1">
      <c r="B2" s="1" t="s">
        <v>619</v>
      </c>
      <c r="C2" s="1" t="s">
        <v>620</v>
      </c>
      <c r="D2" s="1" t="s">
        <v>621</v>
      </c>
      <c r="E2" s="1" t="s">
        <v>631</v>
      </c>
      <c r="F2" s="1" t="s">
        <v>622</v>
      </c>
      <c r="G2" s="1" t="s">
        <v>623</v>
      </c>
      <c r="H2" s="1" t="s">
        <v>624</v>
      </c>
    </row>
    <row r="3" spans="1:9" ht="15.75" customHeight="1">
      <c r="A3" s="16" t="s">
        <v>41</v>
      </c>
      <c r="B3" s="77" t="s">
        <v>625</v>
      </c>
      <c r="C3" s="77" t="s">
        <v>625</v>
      </c>
      <c r="D3" s="162" t="s">
        <v>626</v>
      </c>
      <c r="E3" s="162" t="s">
        <v>626</v>
      </c>
      <c r="F3" s="77" t="s">
        <v>625</v>
      </c>
      <c r="G3" s="77" t="s">
        <v>625</v>
      </c>
      <c r="H3" s="77" t="s">
        <v>625</v>
      </c>
      <c r="I3" s="1" t="s">
        <v>38</v>
      </c>
    </row>
    <row r="4" spans="1:9" ht="15.75" customHeight="1">
      <c r="B4" s="77" t="s">
        <v>625</v>
      </c>
      <c r="C4" s="77" t="s">
        <v>625</v>
      </c>
      <c r="D4" s="77" t="s">
        <v>625</v>
      </c>
      <c r="E4" s="162" t="s">
        <v>626</v>
      </c>
      <c r="F4" s="77" t="s">
        <v>625</v>
      </c>
      <c r="G4" s="77" t="s">
        <v>625</v>
      </c>
      <c r="H4" s="77" t="s">
        <v>625</v>
      </c>
      <c r="I4" s="1" t="s">
        <v>39</v>
      </c>
    </row>
    <row r="5" spans="1:9" ht="15.75" customHeight="1">
      <c r="B5" s="77" t="s">
        <v>625</v>
      </c>
      <c r="C5" s="77" t="s">
        <v>625</v>
      </c>
      <c r="D5" s="77" t="s">
        <v>625</v>
      </c>
      <c r="E5" s="162" t="s">
        <v>626</v>
      </c>
      <c r="F5" s="77" t="s">
        <v>625</v>
      </c>
      <c r="G5" s="77" t="s">
        <v>625</v>
      </c>
      <c r="H5" s="77" t="s">
        <v>625</v>
      </c>
      <c r="I5" s="1" t="s">
        <v>40</v>
      </c>
    </row>
    <row r="6" spans="1:9" ht="15.75" customHeight="1">
      <c r="B6" s="77" t="s">
        <v>625</v>
      </c>
      <c r="C6" s="77" t="s">
        <v>625</v>
      </c>
      <c r="D6" s="162" t="s">
        <v>626</v>
      </c>
      <c r="E6" s="162" t="s">
        <v>626</v>
      </c>
      <c r="F6" s="77" t="s">
        <v>625</v>
      </c>
      <c r="G6" s="77" t="s">
        <v>625</v>
      </c>
      <c r="H6" s="77" t="s">
        <v>625</v>
      </c>
      <c r="I6" s="1" t="s">
        <v>63</v>
      </c>
    </row>
    <row r="7" spans="1:9" ht="15.75" customHeight="1">
      <c r="B7" s="77" t="s">
        <v>625</v>
      </c>
      <c r="C7" s="77" t="s">
        <v>625</v>
      </c>
      <c r="D7" s="162" t="s">
        <v>626</v>
      </c>
      <c r="E7" s="162" t="s">
        <v>626</v>
      </c>
      <c r="F7" s="77" t="s">
        <v>625</v>
      </c>
      <c r="G7" s="77" t="s">
        <v>625</v>
      </c>
      <c r="H7" s="77" t="s">
        <v>625</v>
      </c>
      <c r="I7" s="1" t="s">
        <v>64</v>
      </c>
    </row>
    <row r="9" spans="1:9" ht="15.75" customHeight="1">
      <c r="A9" s="16" t="s">
        <v>65</v>
      </c>
      <c r="B9" s="77" t="s">
        <v>625</v>
      </c>
      <c r="C9" s="77" t="s">
        <v>625</v>
      </c>
      <c r="D9" s="77" t="s">
        <v>625</v>
      </c>
      <c r="E9" s="162" t="s">
        <v>626</v>
      </c>
      <c r="F9" s="162" t="s">
        <v>626</v>
      </c>
      <c r="G9" s="77" t="s">
        <v>625</v>
      </c>
      <c r="H9" s="77" t="s">
        <v>625</v>
      </c>
      <c r="I9" s="1" t="s">
        <v>38</v>
      </c>
    </row>
    <row r="10" spans="1:9" ht="15.75" customHeight="1">
      <c r="B10" s="77" t="s">
        <v>625</v>
      </c>
      <c r="C10" s="77" t="s">
        <v>625</v>
      </c>
      <c r="D10" s="77" t="s">
        <v>625</v>
      </c>
      <c r="E10" s="162" t="s">
        <v>626</v>
      </c>
      <c r="F10" s="77" t="s">
        <v>625</v>
      </c>
      <c r="G10" s="77" t="s">
        <v>625</v>
      </c>
      <c r="H10" s="77" t="s">
        <v>625</v>
      </c>
      <c r="I10" s="1" t="s">
        <v>39</v>
      </c>
    </row>
    <row r="11" spans="1:9" ht="15.75" customHeight="1">
      <c r="B11" s="162" t="s">
        <v>626</v>
      </c>
      <c r="C11" s="77" t="s">
        <v>625</v>
      </c>
      <c r="D11" s="77" t="s">
        <v>625</v>
      </c>
      <c r="E11" s="77" t="s">
        <v>625</v>
      </c>
      <c r="F11" s="77" t="s">
        <v>625</v>
      </c>
      <c r="G11" s="77" t="s">
        <v>625</v>
      </c>
      <c r="H11" s="77" t="s">
        <v>625</v>
      </c>
      <c r="I11" s="1" t="s">
        <v>40</v>
      </c>
    </row>
    <row r="12" spans="1:9" ht="15.75" customHeight="1">
      <c r="B12" s="162" t="s">
        <v>626</v>
      </c>
      <c r="C12" s="77" t="s">
        <v>625</v>
      </c>
      <c r="D12" s="77" t="s">
        <v>625</v>
      </c>
      <c r="E12" s="77" t="s">
        <v>625</v>
      </c>
      <c r="F12" s="77" t="s">
        <v>625</v>
      </c>
      <c r="G12" s="77" t="s">
        <v>625</v>
      </c>
      <c r="H12" s="77" t="s">
        <v>625</v>
      </c>
      <c r="I12" s="1" t="s">
        <v>63</v>
      </c>
    </row>
    <row r="13" spans="1:9" ht="15.75" customHeight="1">
      <c r="B13" s="77" t="s">
        <v>625</v>
      </c>
      <c r="C13" s="77" t="s">
        <v>625</v>
      </c>
      <c r="D13" s="77" t="s">
        <v>625</v>
      </c>
      <c r="E13" s="162" t="s">
        <v>626</v>
      </c>
      <c r="F13" s="162" t="s">
        <v>626</v>
      </c>
      <c r="G13" s="77" t="s">
        <v>625</v>
      </c>
      <c r="H13" s="77" t="s">
        <v>625</v>
      </c>
      <c r="I13" s="1" t="s">
        <v>64</v>
      </c>
    </row>
    <row r="15" spans="1:9" ht="15.75" customHeight="1">
      <c r="A15" s="16" t="s">
        <v>68</v>
      </c>
      <c r="B15" s="77" t="s">
        <v>625</v>
      </c>
      <c r="C15" s="162" t="s">
        <v>626</v>
      </c>
      <c r="D15" s="77" t="s">
        <v>625</v>
      </c>
      <c r="E15" s="162" t="s">
        <v>626</v>
      </c>
      <c r="F15" s="77" t="s">
        <v>625</v>
      </c>
      <c r="G15" s="77" t="s">
        <v>625</v>
      </c>
      <c r="H15" s="77" t="s">
        <v>625</v>
      </c>
      <c r="I15" s="1" t="s">
        <v>38</v>
      </c>
    </row>
    <row r="16" spans="1:9" ht="15.75" customHeight="1">
      <c r="B16" s="77" t="s">
        <v>625</v>
      </c>
      <c r="C16" s="162" t="s">
        <v>626</v>
      </c>
      <c r="D16" s="162" t="s">
        <v>626</v>
      </c>
      <c r="E16" s="162" t="s">
        <v>626</v>
      </c>
      <c r="F16" s="77" t="s">
        <v>625</v>
      </c>
      <c r="G16" s="77" t="s">
        <v>625</v>
      </c>
      <c r="H16" s="77" t="s">
        <v>625</v>
      </c>
      <c r="I16" s="1" t="s">
        <v>39</v>
      </c>
    </row>
    <row r="17" spans="1:9" ht="15.75" customHeight="1">
      <c r="B17" s="77" t="s">
        <v>625</v>
      </c>
      <c r="C17" s="77" t="s">
        <v>625</v>
      </c>
      <c r="D17" s="162" t="s">
        <v>626</v>
      </c>
      <c r="E17" s="162" t="s">
        <v>626</v>
      </c>
      <c r="F17" s="77" t="s">
        <v>625</v>
      </c>
      <c r="G17" s="77" t="s">
        <v>625</v>
      </c>
      <c r="H17" s="77" t="s">
        <v>625</v>
      </c>
      <c r="I17" s="1" t="s">
        <v>40</v>
      </c>
    </row>
    <row r="18" spans="1:9" ht="15.75" customHeight="1">
      <c r="B18" s="162" t="s">
        <v>626</v>
      </c>
      <c r="C18" s="77" t="s">
        <v>625</v>
      </c>
      <c r="D18" s="162" t="s">
        <v>626</v>
      </c>
      <c r="E18" s="162" t="s">
        <v>626</v>
      </c>
      <c r="F18" s="77" t="s">
        <v>625</v>
      </c>
      <c r="G18" s="162" t="s">
        <v>626</v>
      </c>
      <c r="H18" s="77" t="s">
        <v>625</v>
      </c>
      <c r="I18" s="1" t="s">
        <v>63</v>
      </c>
    </row>
    <row r="19" spans="1:9" ht="15.75" customHeight="1">
      <c r="B19" s="162" t="s">
        <v>626</v>
      </c>
      <c r="C19" s="77" t="s">
        <v>625</v>
      </c>
      <c r="D19" s="162" t="s">
        <v>626</v>
      </c>
      <c r="E19" s="162" t="s">
        <v>626</v>
      </c>
      <c r="F19" s="77" t="s">
        <v>625</v>
      </c>
      <c r="G19" s="162" t="s">
        <v>626</v>
      </c>
      <c r="H19" s="77" t="s">
        <v>625</v>
      </c>
      <c r="I19" s="1" t="s">
        <v>64</v>
      </c>
    </row>
    <row r="21" spans="1:9" ht="15.75" customHeight="1">
      <c r="A21" s="16" t="s">
        <v>70</v>
      </c>
      <c r="B21" s="77" t="s">
        <v>625</v>
      </c>
      <c r="C21" s="77" t="s">
        <v>625</v>
      </c>
      <c r="D21" s="77" t="s">
        <v>625</v>
      </c>
      <c r="E21" s="77" t="s">
        <v>625</v>
      </c>
      <c r="F21" s="77" t="s">
        <v>625</v>
      </c>
      <c r="G21" s="77" t="s">
        <v>625</v>
      </c>
      <c r="H21" s="77" t="s">
        <v>625</v>
      </c>
      <c r="I21" s="1" t="s">
        <v>38</v>
      </c>
    </row>
    <row r="22" spans="1:9" ht="15.75" customHeight="1">
      <c r="B22" s="77" t="s">
        <v>625</v>
      </c>
      <c r="C22" s="77" t="s">
        <v>625</v>
      </c>
      <c r="D22" s="77" t="s">
        <v>625</v>
      </c>
      <c r="E22" s="77" t="s">
        <v>625</v>
      </c>
      <c r="F22" s="77" t="s">
        <v>625</v>
      </c>
      <c r="G22" s="77" t="s">
        <v>625</v>
      </c>
      <c r="H22" s="77" t="s">
        <v>625</v>
      </c>
      <c r="I22" s="1" t="s">
        <v>39</v>
      </c>
    </row>
    <row r="23" spans="1:9" ht="15.75" customHeight="1">
      <c r="B23" s="77" t="s">
        <v>625</v>
      </c>
      <c r="C23" s="77" t="s">
        <v>625</v>
      </c>
      <c r="D23" s="77" t="s">
        <v>625</v>
      </c>
      <c r="E23" s="77" t="s">
        <v>625</v>
      </c>
      <c r="F23" s="77" t="s">
        <v>625</v>
      </c>
      <c r="G23" s="77" t="s">
        <v>625</v>
      </c>
      <c r="H23" s="77" t="s">
        <v>625</v>
      </c>
      <c r="I23" s="1" t="s">
        <v>40</v>
      </c>
    </row>
    <row r="24" spans="1:9" ht="15.75" customHeight="1">
      <c r="B24" s="77" t="s">
        <v>625</v>
      </c>
      <c r="C24" s="77" t="s">
        <v>625</v>
      </c>
      <c r="D24" s="77" t="s">
        <v>625</v>
      </c>
      <c r="E24" s="77" t="s">
        <v>625</v>
      </c>
      <c r="F24" s="77" t="s">
        <v>625</v>
      </c>
      <c r="G24" s="77" t="s">
        <v>625</v>
      </c>
      <c r="H24" s="77" t="s">
        <v>625</v>
      </c>
      <c r="I24" s="1" t="s">
        <v>63</v>
      </c>
    </row>
    <row r="25" spans="1:9" ht="15.75" customHeight="1">
      <c r="B25" s="77" t="s">
        <v>625</v>
      </c>
      <c r="C25" s="77" t="s">
        <v>625</v>
      </c>
      <c r="D25" s="77" t="s">
        <v>625</v>
      </c>
      <c r="E25" s="77" t="s">
        <v>625</v>
      </c>
      <c r="F25" s="77" t="s">
        <v>625</v>
      </c>
      <c r="G25" s="77" t="s">
        <v>625</v>
      </c>
      <c r="H25" s="77" t="s">
        <v>625</v>
      </c>
      <c r="I25" s="1" t="s">
        <v>64</v>
      </c>
    </row>
    <row r="27" spans="1:9" ht="15.75" customHeight="1">
      <c r="A27" s="16" t="s">
        <v>72</v>
      </c>
      <c r="B27" s="162" t="s">
        <v>626</v>
      </c>
      <c r="C27" s="77" t="s">
        <v>625</v>
      </c>
      <c r="D27" s="77" t="s">
        <v>625</v>
      </c>
      <c r="E27" s="162" t="s">
        <v>626</v>
      </c>
      <c r="F27" s="77" t="s">
        <v>625</v>
      </c>
      <c r="G27" s="77" t="s">
        <v>625</v>
      </c>
      <c r="H27" s="77" t="s">
        <v>625</v>
      </c>
      <c r="I27" s="1" t="s">
        <v>38</v>
      </c>
    </row>
    <row r="28" spans="1:9" ht="15.75" customHeight="1">
      <c r="B28" s="77" t="s">
        <v>625</v>
      </c>
      <c r="C28" s="77" t="s">
        <v>625</v>
      </c>
      <c r="D28" s="77" t="s">
        <v>625</v>
      </c>
      <c r="E28" s="162" t="s">
        <v>626</v>
      </c>
      <c r="F28" s="77" t="s">
        <v>625</v>
      </c>
      <c r="G28" s="77" t="s">
        <v>625</v>
      </c>
      <c r="H28" s="77" t="s">
        <v>625</v>
      </c>
      <c r="I28" s="1" t="s">
        <v>39</v>
      </c>
    </row>
    <row r="29" spans="1:9" ht="15.75" customHeight="1">
      <c r="B29" s="162" t="s">
        <v>626</v>
      </c>
      <c r="C29" s="77" t="s">
        <v>625</v>
      </c>
      <c r="D29" s="77" t="s">
        <v>625</v>
      </c>
      <c r="E29" s="162" t="s">
        <v>626</v>
      </c>
      <c r="F29" s="77" t="s">
        <v>625</v>
      </c>
      <c r="G29" s="77" t="s">
        <v>625</v>
      </c>
      <c r="H29" s="77" t="s">
        <v>625</v>
      </c>
      <c r="I29" s="1" t="s">
        <v>40</v>
      </c>
    </row>
    <row r="30" spans="1:9" ht="15.75" customHeight="1">
      <c r="B30" s="162" t="s">
        <v>626</v>
      </c>
      <c r="C30" s="77" t="s">
        <v>625</v>
      </c>
      <c r="D30" s="77" t="s">
        <v>625</v>
      </c>
      <c r="E30" s="162" t="s">
        <v>626</v>
      </c>
      <c r="F30" s="77" t="s">
        <v>625</v>
      </c>
      <c r="G30" s="77" t="s">
        <v>625</v>
      </c>
      <c r="H30" s="77" t="s">
        <v>625</v>
      </c>
      <c r="I30" s="1" t="s">
        <v>63</v>
      </c>
    </row>
    <row r="31" spans="1:9" ht="15.75" customHeight="1">
      <c r="B31" s="162" t="s">
        <v>626</v>
      </c>
      <c r="C31" s="77" t="s">
        <v>625</v>
      </c>
      <c r="D31" s="77" t="s">
        <v>625</v>
      </c>
      <c r="E31" s="162" t="s">
        <v>626</v>
      </c>
      <c r="F31" s="77" t="s">
        <v>625</v>
      </c>
      <c r="G31" s="77" t="s">
        <v>625</v>
      </c>
      <c r="H31" s="77" t="s">
        <v>625</v>
      </c>
      <c r="I31" s="1" t="s">
        <v>64</v>
      </c>
    </row>
    <row r="33" spans="1:9" ht="15.75" customHeight="1">
      <c r="A33" s="16" t="s">
        <v>76</v>
      </c>
      <c r="B33" s="162" t="s">
        <v>626</v>
      </c>
      <c r="C33" s="77" t="s">
        <v>625</v>
      </c>
      <c r="D33" s="77" t="s">
        <v>625</v>
      </c>
      <c r="E33" s="162" t="s">
        <v>626</v>
      </c>
      <c r="F33" s="162" t="s">
        <v>626</v>
      </c>
      <c r="G33" s="77" t="s">
        <v>625</v>
      </c>
      <c r="H33" s="77" t="s">
        <v>625</v>
      </c>
      <c r="I33" s="1" t="s">
        <v>38</v>
      </c>
    </row>
    <row r="34" spans="1:9" ht="15.75" customHeight="1">
      <c r="B34" s="77" t="s">
        <v>625</v>
      </c>
      <c r="C34" s="77" t="s">
        <v>625</v>
      </c>
      <c r="D34" s="77" t="s">
        <v>625</v>
      </c>
      <c r="E34" s="77" t="s">
        <v>625</v>
      </c>
      <c r="F34" s="77" t="s">
        <v>625</v>
      </c>
      <c r="G34" s="77" t="s">
        <v>625</v>
      </c>
      <c r="H34" s="77" t="s">
        <v>625</v>
      </c>
      <c r="I34" s="1" t="s">
        <v>39</v>
      </c>
    </row>
    <row r="35" spans="1:9" ht="15.75" customHeight="1">
      <c r="B35" s="162" t="s">
        <v>626</v>
      </c>
      <c r="C35" s="77" t="s">
        <v>625</v>
      </c>
      <c r="D35" s="77" t="s">
        <v>625</v>
      </c>
      <c r="E35" s="77" t="s">
        <v>625</v>
      </c>
      <c r="F35" s="77" t="s">
        <v>625</v>
      </c>
      <c r="G35" s="77" t="s">
        <v>625</v>
      </c>
      <c r="H35" s="77" t="s">
        <v>625</v>
      </c>
      <c r="I35" s="1" t="s">
        <v>40</v>
      </c>
    </row>
    <row r="36" spans="1:9" ht="15.75" customHeight="1">
      <c r="B36" s="77" t="s">
        <v>625</v>
      </c>
      <c r="C36" s="77" t="s">
        <v>625</v>
      </c>
      <c r="D36" s="77" t="s">
        <v>625</v>
      </c>
      <c r="E36" s="162" t="s">
        <v>626</v>
      </c>
      <c r="F36" s="162" t="s">
        <v>626</v>
      </c>
      <c r="G36" s="77" t="s">
        <v>625</v>
      </c>
      <c r="H36" s="77" t="s">
        <v>625</v>
      </c>
      <c r="I36" s="1" t="s">
        <v>63</v>
      </c>
    </row>
    <row r="37" spans="1:9" ht="15.75" customHeight="1">
      <c r="B37" s="77" t="s">
        <v>625</v>
      </c>
      <c r="C37" s="77" t="s">
        <v>625</v>
      </c>
      <c r="D37" s="77" t="s">
        <v>625</v>
      </c>
      <c r="E37" s="162" t="s">
        <v>626</v>
      </c>
      <c r="F37" s="162" t="s">
        <v>626</v>
      </c>
      <c r="G37" s="77" t="s">
        <v>625</v>
      </c>
      <c r="H37" s="77" t="s">
        <v>625</v>
      </c>
      <c r="I37" s="1" t="s">
        <v>64</v>
      </c>
    </row>
    <row r="39" spans="1:9" ht="15.75" customHeight="1">
      <c r="A39" s="16" t="s">
        <v>77</v>
      </c>
      <c r="B39" s="77" t="s">
        <v>625</v>
      </c>
      <c r="C39" s="77" t="s">
        <v>625</v>
      </c>
      <c r="D39" s="77" t="s">
        <v>625</v>
      </c>
      <c r="E39" s="77" t="s">
        <v>625</v>
      </c>
      <c r="F39" s="77" t="s">
        <v>625</v>
      </c>
      <c r="G39" s="77" t="s">
        <v>625</v>
      </c>
      <c r="H39" s="77" t="s">
        <v>625</v>
      </c>
      <c r="I39" s="1" t="s">
        <v>38</v>
      </c>
    </row>
    <row r="40" spans="1:9" ht="15.75" customHeight="1">
      <c r="B40" s="77" t="s">
        <v>625</v>
      </c>
      <c r="C40" s="77" t="s">
        <v>625</v>
      </c>
      <c r="D40" s="77" t="s">
        <v>625</v>
      </c>
      <c r="E40" s="77" t="s">
        <v>625</v>
      </c>
      <c r="F40" s="77" t="s">
        <v>625</v>
      </c>
      <c r="G40" s="77" t="s">
        <v>625</v>
      </c>
      <c r="H40" s="77" t="s">
        <v>625</v>
      </c>
      <c r="I40" s="1" t="s">
        <v>39</v>
      </c>
    </row>
    <row r="41" spans="1:9" ht="15.75" customHeight="1">
      <c r="B41" s="77" t="s">
        <v>625</v>
      </c>
      <c r="C41" s="77" t="s">
        <v>625</v>
      </c>
      <c r="D41" s="77" t="s">
        <v>625</v>
      </c>
      <c r="E41" s="77" t="s">
        <v>625</v>
      </c>
      <c r="F41" s="77" t="s">
        <v>625</v>
      </c>
      <c r="G41" s="77" t="s">
        <v>625</v>
      </c>
      <c r="H41" s="77" t="s">
        <v>625</v>
      </c>
      <c r="I41" s="1" t="s">
        <v>40</v>
      </c>
    </row>
    <row r="42" spans="1:9" ht="15.75" customHeight="1">
      <c r="B42" s="77" t="s">
        <v>625</v>
      </c>
      <c r="C42" s="77" t="s">
        <v>625</v>
      </c>
      <c r="D42" s="77" t="s">
        <v>625</v>
      </c>
      <c r="E42" s="77" t="s">
        <v>625</v>
      </c>
      <c r="F42" s="77" t="s">
        <v>625</v>
      </c>
      <c r="G42" s="77" t="s">
        <v>625</v>
      </c>
      <c r="H42" s="77" t="s">
        <v>625</v>
      </c>
      <c r="I42" s="1" t="s">
        <v>63</v>
      </c>
    </row>
    <row r="43" spans="1:9" ht="15.75" customHeight="1">
      <c r="B43" s="77" t="s">
        <v>625</v>
      </c>
      <c r="C43" s="77" t="s">
        <v>625</v>
      </c>
      <c r="D43" s="77" t="s">
        <v>625</v>
      </c>
      <c r="E43" s="77" t="s">
        <v>625</v>
      </c>
      <c r="F43" s="77" t="s">
        <v>625</v>
      </c>
      <c r="G43" s="77" t="s">
        <v>625</v>
      </c>
      <c r="H43" s="77" t="s">
        <v>625</v>
      </c>
      <c r="I43" s="1" t="s">
        <v>64</v>
      </c>
    </row>
    <row r="45" spans="1:9" ht="15.75" customHeight="1">
      <c r="A45" s="16" t="s">
        <v>80</v>
      </c>
      <c r="B45" s="162" t="s">
        <v>626</v>
      </c>
      <c r="C45" s="77" t="s">
        <v>625</v>
      </c>
      <c r="D45" s="77" t="s">
        <v>625</v>
      </c>
      <c r="E45" s="77" t="s">
        <v>625</v>
      </c>
      <c r="F45" s="77" t="s">
        <v>625</v>
      </c>
      <c r="G45" s="77" t="s">
        <v>625</v>
      </c>
      <c r="H45" s="77" t="s">
        <v>625</v>
      </c>
      <c r="I45" s="1" t="s">
        <v>38</v>
      </c>
    </row>
    <row r="46" spans="1:9" ht="15.75" customHeight="1">
      <c r="B46" s="162" t="s">
        <v>626</v>
      </c>
      <c r="C46" s="162" t="s">
        <v>626</v>
      </c>
      <c r="D46" s="77" t="s">
        <v>625</v>
      </c>
      <c r="E46" s="77" t="s">
        <v>625</v>
      </c>
      <c r="F46" s="77" t="s">
        <v>625</v>
      </c>
      <c r="G46" s="77" t="s">
        <v>625</v>
      </c>
      <c r="H46" s="77" t="s">
        <v>625</v>
      </c>
      <c r="I46" s="1" t="s">
        <v>39</v>
      </c>
    </row>
    <row r="47" spans="1:9" ht="15.75" customHeight="1">
      <c r="B47" s="162" t="s">
        <v>626</v>
      </c>
      <c r="C47" s="162" t="s">
        <v>626</v>
      </c>
      <c r="D47" s="77" t="s">
        <v>625</v>
      </c>
      <c r="E47" s="77" t="s">
        <v>625</v>
      </c>
      <c r="F47" s="77" t="s">
        <v>625</v>
      </c>
      <c r="G47" s="77" t="s">
        <v>625</v>
      </c>
      <c r="H47" s="77" t="s">
        <v>625</v>
      </c>
      <c r="I47" s="1" t="s">
        <v>40</v>
      </c>
    </row>
    <row r="48" spans="1:9" ht="15.75" customHeight="1">
      <c r="B48" s="77" t="s">
        <v>625</v>
      </c>
      <c r="C48" s="77" t="s">
        <v>625</v>
      </c>
      <c r="D48" s="162" t="s">
        <v>626</v>
      </c>
      <c r="E48" s="77" t="s">
        <v>625</v>
      </c>
      <c r="F48" s="77" t="s">
        <v>625</v>
      </c>
      <c r="G48" s="162" t="s">
        <v>626</v>
      </c>
      <c r="H48" s="77" t="s">
        <v>625</v>
      </c>
      <c r="I48" s="1" t="s">
        <v>63</v>
      </c>
    </row>
    <row r="49" spans="1:9" ht="15.75" customHeight="1">
      <c r="B49" s="77" t="s">
        <v>625</v>
      </c>
      <c r="C49" s="77" t="s">
        <v>625</v>
      </c>
      <c r="D49" s="162" t="s">
        <v>626</v>
      </c>
      <c r="E49" s="77" t="s">
        <v>625</v>
      </c>
      <c r="F49" s="77" t="s">
        <v>625</v>
      </c>
      <c r="G49" s="162" t="s">
        <v>626</v>
      </c>
      <c r="H49" s="77" t="s">
        <v>625</v>
      </c>
      <c r="I49" s="1" t="s">
        <v>64</v>
      </c>
    </row>
    <row r="53" spans="1:9" ht="15.75" customHeight="1">
      <c r="A53" s="1" t="s">
        <v>627</v>
      </c>
      <c r="B53" s="1" t="s">
        <v>628</v>
      </c>
      <c r="D53" s="1" t="s">
        <v>627</v>
      </c>
      <c r="E53" s="1" t="s">
        <v>629</v>
      </c>
    </row>
    <row r="54" spans="1:9" ht="15.75" customHeight="1">
      <c r="A54" s="1" t="s">
        <v>278</v>
      </c>
      <c r="B54" s="1" t="s">
        <v>41</v>
      </c>
      <c r="D54" s="1" t="s">
        <v>278</v>
      </c>
      <c r="E54" s="1" t="s">
        <v>68</v>
      </c>
    </row>
    <row r="55" spans="1:9" ht="15.75" customHeight="1">
      <c r="A55" s="1" t="s">
        <v>273</v>
      </c>
      <c r="B55" s="1" t="s">
        <v>43</v>
      </c>
      <c r="D55" s="1" t="s">
        <v>278</v>
      </c>
      <c r="E55" s="1" t="s">
        <v>70</v>
      </c>
    </row>
    <row r="56" spans="1:9" ht="15.75" customHeight="1">
      <c r="A56" s="1" t="s">
        <v>273</v>
      </c>
      <c r="B56" s="1" t="s">
        <v>72</v>
      </c>
      <c r="D56" s="1" t="s">
        <v>278</v>
      </c>
      <c r="E56" s="1" t="s">
        <v>77</v>
      </c>
    </row>
    <row r="57" spans="1:9" ht="15.75" customHeight="1">
      <c r="A57" s="1" t="s">
        <v>273</v>
      </c>
      <c r="B57" s="1" t="s">
        <v>76</v>
      </c>
      <c r="D57" s="1" t="s">
        <v>278</v>
      </c>
      <c r="E57" s="1" t="s">
        <v>80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SFigure7</vt:lpstr>
      <vt:lpstr>STable7</vt:lpstr>
      <vt:lpstr>SFigure25-27</vt:lpstr>
      <vt:lpstr>SFigure28-32</vt:lpstr>
      <vt:lpstr>SFigure33-38</vt:lpstr>
      <vt:lpstr>SFigure39-45</vt:lpstr>
      <vt:lpstr>SFigure7-Data-1</vt:lpstr>
      <vt:lpstr>SFigure7-Data-2</vt:lpstr>
      <vt:lpstr>SFigure7-Data-3</vt:lpstr>
      <vt:lpstr>SFigure7-Data-4</vt:lpstr>
      <vt:lpstr>SFigure7-Data-5</vt:lpstr>
      <vt:lpstr>SFigure7-Data-6</vt:lpstr>
      <vt:lpstr>SFigure7-Data-7</vt:lpstr>
      <vt:lpstr>SFigure7-Data-8</vt:lpstr>
      <vt:lpstr>STable8</vt:lpstr>
      <vt:lpstr>SFigure15</vt:lpstr>
      <vt:lpstr>SFigure20</vt:lpstr>
      <vt:lpstr>SFigure16-17-Data-1</vt:lpstr>
      <vt:lpstr>SFigure16-17-Data-2</vt:lpstr>
      <vt:lpstr>SFigure19-Data-1</vt:lpstr>
      <vt:lpstr>SFigure19-Data-2</vt:lpstr>
      <vt:lpstr>SFigure18-Data-1</vt:lpstr>
      <vt:lpstr>SFigure18-Data-2</vt:lpstr>
      <vt:lpstr>SFIgure21-22 STable9</vt:lpstr>
      <vt:lpstr>SFigure26-Data-1</vt:lpstr>
      <vt:lpstr>SFigure26-Data-2</vt:lpstr>
      <vt:lpstr>SFIgure26-Data-3-Specific Table</vt:lpstr>
      <vt:lpstr>SFigure27-Data-1</vt:lpstr>
      <vt:lpstr>SFigure27-Data-2</vt:lpstr>
      <vt:lpstr>SFigure26-Data-4-T1-repeat</vt:lpstr>
      <vt:lpstr>SFigure26-Data-5-T1-repeat</vt:lpstr>
      <vt:lpstr>SFigure26-Data-6-T1-repeat-BS</vt:lpstr>
      <vt:lpstr>STable10 SFigure10</vt:lpstr>
      <vt:lpstr>SFigure13</vt:lpstr>
      <vt:lpstr>Table1-metal</vt:lpstr>
      <vt:lpstr>SFigure11</vt:lpstr>
      <vt:lpstr>SFigure23</vt:lpstr>
      <vt:lpstr>SFigure24</vt:lpstr>
      <vt:lpstr>Table1-main</vt:lpstr>
      <vt:lpstr>SFigure6-Data-1</vt:lpstr>
      <vt:lpstr>SFigure6-Data-2</vt:lpstr>
      <vt:lpstr>SFigure6-Data-3</vt:lpstr>
      <vt:lpstr>SFigure6-Data-4</vt:lpstr>
      <vt:lpstr>SFigure6-Data-5</vt:lpstr>
      <vt:lpstr>Figure1-Data-1</vt:lpstr>
      <vt:lpstr>Figure1-Data-2</vt:lpstr>
      <vt:lpstr>Figure1-Data-3</vt:lpstr>
      <vt:lpstr>SFigure48</vt:lpstr>
      <vt:lpstr>SFigure49-50</vt:lpstr>
      <vt:lpstr>SFigure51-52</vt:lpstr>
      <vt:lpstr>SFigure46-47-HF</vt:lpstr>
      <vt:lpstr>SFigure46-47-B3LYP</vt:lpstr>
      <vt:lpstr>SFigure46-47-LDA</vt:lpstr>
      <vt:lpstr>SFigure46-47-revPBE</vt:lpstr>
      <vt:lpstr>SFigure46-47-SCAN</vt:lpstr>
      <vt:lpstr>SFigure46-47-SCAN0</vt:lpstr>
      <vt:lpstr>SFigure46-47-all</vt:lpstr>
      <vt:lpstr>SFigure46-47-Restricted</vt:lpstr>
      <vt:lpstr>SFigure46-47-Unrestricted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</dc:creator>
  <cp:lastModifiedBy>Abdul</cp:lastModifiedBy>
  <dcterms:created xsi:type="dcterms:W3CDTF">2015-06-05T18:17:20Z</dcterms:created>
  <dcterms:modified xsi:type="dcterms:W3CDTF">2026-07-01T01:38:56Z</dcterms:modified>
</cp:coreProperties>
</file>